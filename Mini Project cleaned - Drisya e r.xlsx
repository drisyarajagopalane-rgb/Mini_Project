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0B9F6C1F-453B-4D2F-8031-B97331A7A1CF}" xr6:coauthVersionLast="47" xr6:coauthVersionMax="47" xr10:uidLastSave="{00000000-0000-0000-0000-000000000000}"/>
  <bookViews>
    <workbookView xWindow="-120" yWindow="-120" windowWidth="20730" windowHeight="11040" xr2:uid="{58A6C5D0-76A4-4C49-95AB-99A9CE6F0213}"/>
  </bookViews>
  <sheets>
    <sheet name="Sheet1 (2)" sheetId="2" r:id="rId1"/>
    <sheet name="Sheet1" sheetId="1" r:id="rId2"/>
  </sheets>
  <definedNames>
    <definedName name="ExternalData_1" localSheetId="0" hidden="1">'Sheet1 (2)'!$A$1:$R$1001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2" i="2" l="1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AA8" i="2"/>
  <c r="AA9" i="2"/>
  <c r="AA13" i="2"/>
  <c r="AA21" i="2"/>
  <c r="AA24" i="2"/>
  <c r="AA32" i="2"/>
  <c r="AA33" i="2"/>
  <c r="AA40" i="2"/>
  <c r="AA41" i="2"/>
  <c r="AA45" i="2"/>
  <c r="AA53" i="2"/>
  <c r="AA56" i="2"/>
  <c r="AA64" i="2"/>
  <c r="AA65" i="2"/>
  <c r="AA72" i="2"/>
  <c r="AA73" i="2"/>
  <c r="AA77" i="2"/>
  <c r="AA85" i="2"/>
  <c r="AA88" i="2"/>
  <c r="AA96" i="2"/>
  <c r="AA97" i="2"/>
  <c r="AA104" i="2"/>
  <c r="AA105" i="2"/>
  <c r="AA109" i="2"/>
  <c r="AA117" i="2"/>
  <c r="AA120" i="2"/>
  <c r="AA128" i="2"/>
  <c r="AA129" i="2"/>
  <c r="AA136" i="2"/>
  <c r="AA137" i="2"/>
  <c r="AA141" i="2"/>
  <c r="AA149" i="2"/>
  <c r="AA152" i="2"/>
  <c r="AA160" i="2"/>
  <c r="AA161" i="2"/>
  <c r="AA168" i="2"/>
  <c r="AA169" i="2"/>
  <c r="AA173" i="2"/>
  <c r="AA181" i="2"/>
  <c r="AA184" i="2"/>
  <c r="AA192" i="2"/>
  <c r="AA193" i="2"/>
  <c r="AA200" i="2"/>
  <c r="AA201" i="2"/>
  <c r="AA205" i="2"/>
  <c r="AA213" i="2"/>
  <c r="AA216" i="2"/>
  <c r="AA224" i="2"/>
  <c r="AA225" i="2"/>
  <c r="AA232" i="2"/>
  <c r="AA233" i="2"/>
  <c r="AA237" i="2"/>
  <c r="AA245" i="2"/>
  <c r="AA248" i="2"/>
  <c r="AA256" i="2"/>
  <c r="AA257" i="2"/>
  <c r="AA264" i="2"/>
  <c r="AA265" i="2"/>
  <c r="AA269" i="2"/>
  <c r="AA277" i="2"/>
  <c r="AA280" i="2"/>
  <c r="AA288" i="2"/>
  <c r="AA289" i="2"/>
  <c r="AA296" i="2"/>
  <c r="AA297" i="2"/>
  <c r="AA301" i="2"/>
  <c r="AA309" i="2"/>
  <c r="AA312" i="2"/>
  <c r="AA320" i="2"/>
  <c r="AA321" i="2"/>
  <c r="AA328" i="2"/>
  <c r="AA329" i="2"/>
  <c r="AA333" i="2"/>
  <c r="AA341" i="2"/>
  <c r="AA347" i="2"/>
  <c r="AA353" i="2"/>
  <c r="AA357" i="2"/>
  <c r="AA363" i="2"/>
  <c r="AA369" i="2"/>
  <c r="AA373" i="2"/>
  <c r="AA379" i="2"/>
  <c r="AA385" i="2"/>
  <c r="AA389" i="2"/>
  <c r="AA395" i="2"/>
  <c r="AA401" i="2"/>
  <c r="AA405" i="2"/>
  <c r="AA411" i="2"/>
  <c r="AA417" i="2"/>
  <c r="AA421" i="2"/>
  <c r="AA427" i="2"/>
  <c r="AA433" i="2"/>
  <c r="AA437" i="2"/>
  <c r="AA449" i="2"/>
  <c r="AA453" i="2"/>
  <c r="AA459" i="2"/>
  <c r="AA463" i="2"/>
  <c r="AA465" i="2"/>
  <c r="AA469" i="2"/>
  <c r="AA481" i="2"/>
  <c r="AA485" i="2"/>
  <c r="AA491" i="2"/>
  <c r="AA495" i="2"/>
  <c r="AA497" i="2"/>
  <c r="AA501" i="2"/>
  <c r="AA513" i="2"/>
  <c r="AA517" i="2"/>
  <c r="AA523" i="2"/>
  <c r="AA527" i="2"/>
  <c r="AA529" i="2"/>
  <c r="AA533" i="2"/>
  <c r="AA545" i="2"/>
  <c r="AA549" i="2"/>
  <c r="AA555" i="2"/>
  <c r="AA559" i="2"/>
  <c r="AA561" i="2"/>
  <c r="AA577" i="2"/>
  <c r="AA587" i="2"/>
  <c r="AA591" i="2"/>
  <c r="AA593" i="2"/>
  <c r="AA609" i="2"/>
  <c r="AA613" i="2"/>
  <c r="AA619" i="2"/>
  <c r="AA623" i="2"/>
  <c r="AA625" i="2"/>
  <c r="AA641" i="2"/>
  <c r="AA645" i="2"/>
  <c r="AA651" i="2"/>
  <c r="AA655" i="2"/>
  <c r="AA657" i="2"/>
  <c r="AA673" i="2"/>
  <c r="AA677" i="2"/>
  <c r="AA687" i="2"/>
  <c r="AA689" i="2"/>
  <c r="AA705" i="2"/>
  <c r="AA719" i="2"/>
  <c r="AA721" i="2"/>
  <c r="AA737" i="2"/>
  <c r="AA741" i="2"/>
  <c r="AA751" i="2"/>
  <c r="AA753" i="2"/>
  <c r="AA769" i="2"/>
  <c r="AA773" i="2"/>
  <c r="AA783" i="2"/>
  <c r="AA785" i="2"/>
  <c r="AA801" i="2"/>
  <c r="AA805" i="2"/>
  <c r="AA815" i="2"/>
  <c r="AA817" i="2"/>
  <c r="AA821" i="2"/>
  <c r="AA833" i="2"/>
  <c r="AA837" i="2"/>
  <c r="AA847" i="2"/>
  <c r="AA849" i="2"/>
  <c r="AA852" i="2"/>
  <c r="AA853" i="2"/>
  <c r="AA856" i="2"/>
  <c r="AA857" i="2"/>
  <c r="AA860" i="2"/>
  <c r="AA861" i="2"/>
  <c r="AA864" i="2"/>
  <c r="AA865" i="2"/>
  <c r="AA868" i="2"/>
  <c r="AA869" i="2"/>
  <c r="AA872" i="2"/>
  <c r="AA873" i="2"/>
  <c r="AA876" i="2"/>
  <c r="AA877" i="2"/>
  <c r="AA880" i="2"/>
  <c r="AA881" i="2"/>
  <c r="AA884" i="2"/>
  <c r="AA885" i="2"/>
  <c r="AA888" i="2"/>
  <c r="AA889" i="2"/>
  <c r="AA892" i="2"/>
  <c r="AA893" i="2"/>
  <c r="AA896" i="2"/>
  <c r="AA897" i="2"/>
  <c r="AA900" i="2"/>
  <c r="AA901" i="2"/>
  <c r="AA904" i="2"/>
  <c r="AA905" i="2"/>
  <c r="AA908" i="2"/>
  <c r="AA909" i="2"/>
  <c r="AA912" i="2"/>
  <c r="AA913" i="2"/>
  <c r="AA916" i="2"/>
  <c r="AA917" i="2"/>
  <c r="AA920" i="2"/>
  <c r="AA921" i="2"/>
  <c r="AA924" i="2"/>
  <c r="AA925" i="2"/>
  <c r="AA928" i="2"/>
  <c r="AA929" i="2"/>
  <c r="AA932" i="2"/>
  <c r="AA933" i="2"/>
  <c r="AA936" i="2"/>
  <c r="AA937" i="2"/>
  <c r="AA940" i="2"/>
  <c r="AA941" i="2"/>
  <c r="AA944" i="2"/>
  <c r="AA945" i="2"/>
  <c r="AA948" i="2"/>
  <c r="AA949" i="2"/>
  <c r="AA952" i="2"/>
  <c r="AA953" i="2"/>
  <c r="AA956" i="2"/>
  <c r="AA957" i="2"/>
  <c r="AA960" i="2"/>
  <c r="AA961" i="2"/>
  <c r="AA964" i="2"/>
  <c r="AA965" i="2"/>
  <c r="AA968" i="2"/>
  <c r="AA969" i="2"/>
  <c r="AA972" i="2"/>
  <c r="AA973" i="2"/>
  <c r="AA976" i="2"/>
  <c r="AA977" i="2"/>
  <c r="AA980" i="2"/>
  <c r="AA981" i="2"/>
  <c r="AA984" i="2"/>
  <c r="AA985" i="2"/>
  <c r="AA988" i="2"/>
  <c r="AA989" i="2"/>
  <c r="AA992" i="2"/>
  <c r="AA993" i="2"/>
  <c r="AA996" i="2"/>
  <c r="AA997" i="2"/>
  <c r="AA1000" i="2"/>
  <c r="AA1001" i="2"/>
  <c r="Z581" i="2"/>
  <c r="AA581" i="2" s="1"/>
  <c r="Z597" i="2"/>
  <c r="AA597" i="2" s="1"/>
  <c r="Z645" i="2"/>
  <c r="Z661" i="2"/>
  <c r="AA661" i="2" s="1"/>
  <c r="Z709" i="2"/>
  <c r="AA709" i="2" s="1"/>
  <c r="Z725" i="2"/>
  <c r="AA725" i="2" s="1"/>
  <c r="Z773" i="2"/>
  <c r="Z789" i="2"/>
  <c r="AA789" i="2" s="1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W2" i="2"/>
  <c r="Z2" i="2" s="1"/>
  <c r="AA2" i="2" s="1"/>
  <c r="W3" i="2"/>
  <c r="Z3" i="2" s="1"/>
  <c r="AA3" i="2" s="1"/>
  <c r="W4" i="2"/>
  <c r="Z4" i="2" s="1"/>
  <c r="AA4" i="2" s="1"/>
  <c r="W5" i="2"/>
  <c r="Z5" i="2" s="1"/>
  <c r="AA5" i="2" s="1"/>
  <c r="W6" i="2"/>
  <c r="Z6" i="2" s="1"/>
  <c r="AA6" i="2" s="1"/>
  <c r="W7" i="2"/>
  <c r="Z7" i="2" s="1"/>
  <c r="AA7" i="2" s="1"/>
  <c r="W8" i="2"/>
  <c r="Z8" i="2" s="1"/>
  <c r="W9" i="2"/>
  <c r="Z9" i="2" s="1"/>
  <c r="W10" i="2"/>
  <c r="Z10" i="2" s="1"/>
  <c r="AA10" i="2" s="1"/>
  <c r="W11" i="2"/>
  <c r="Z11" i="2" s="1"/>
  <c r="AA11" i="2" s="1"/>
  <c r="W12" i="2"/>
  <c r="Z12" i="2" s="1"/>
  <c r="AA12" i="2" s="1"/>
  <c r="W13" i="2"/>
  <c r="Z13" i="2" s="1"/>
  <c r="W14" i="2"/>
  <c r="Z14" i="2" s="1"/>
  <c r="AA14" i="2" s="1"/>
  <c r="W15" i="2"/>
  <c r="Z15" i="2" s="1"/>
  <c r="AA15" i="2" s="1"/>
  <c r="W16" i="2"/>
  <c r="Z16" i="2" s="1"/>
  <c r="AA16" i="2" s="1"/>
  <c r="W17" i="2"/>
  <c r="Z17" i="2" s="1"/>
  <c r="AA17" i="2" s="1"/>
  <c r="W18" i="2"/>
  <c r="Z18" i="2" s="1"/>
  <c r="AA18" i="2" s="1"/>
  <c r="W19" i="2"/>
  <c r="Z19" i="2" s="1"/>
  <c r="AA19" i="2" s="1"/>
  <c r="W20" i="2"/>
  <c r="Z20" i="2" s="1"/>
  <c r="AA20" i="2" s="1"/>
  <c r="W21" i="2"/>
  <c r="Z21" i="2" s="1"/>
  <c r="W22" i="2"/>
  <c r="Z22" i="2" s="1"/>
  <c r="AA22" i="2" s="1"/>
  <c r="W23" i="2"/>
  <c r="Z23" i="2" s="1"/>
  <c r="AA23" i="2" s="1"/>
  <c r="W24" i="2"/>
  <c r="Z24" i="2" s="1"/>
  <c r="W25" i="2"/>
  <c r="Z25" i="2" s="1"/>
  <c r="AA25" i="2" s="1"/>
  <c r="W26" i="2"/>
  <c r="Z26" i="2" s="1"/>
  <c r="AA26" i="2" s="1"/>
  <c r="W27" i="2"/>
  <c r="Z27" i="2" s="1"/>
  <c r="AA27" i="2" s="1"/>
  <c r="W28" i="2"/>
  <c r="Z28" i="2" s="1"/>
  <c r="AA28" i="2" s="1"/>
  <c r="W29" i="2"/>
  <c r="Z29" i="2" s="1"/>
  <c r="AA29" i="2" s="1"/>
  <c r="W30" i="2"/>
  <c r="Z30" i="2" s="1"/>
  <c r="AA30" i="2" s="1"/>
  <c r="W31" i="2"/>
  <c r="Z31" i="2" s="1"/>
  <c r="AA31" i="2" s="1"/>
  <c r="W32" i="2"/>
  <c r="Z32" i="2" s="1"/>
  <c r="W33" i="2"/>
  <c r="Z33" i="2" s="1"/>
  <c r="W34" i="2"/>
  <c r="Z34" i="2" s="1"/>
  <c r="AA34" i="2" s="1"/>
  <c r="W35" i="2"/>
  <c r="Z35" i="2" s="1"/>
  <c r="AA35" i="2" s="1"/>
  <c r="W36" i="2"/>
  <c r="Z36" i="2" s="1"/>
  <c r="AA36" i="2" s="1"/>
  <c r="W37" i="2"/>
  <c r="Z37" i="2" s="1"/>
  <c r="AA37" i="2" s="1"/>
  <c r="W38" i="2"/>
  <c r="Z38" i="2" s="1"/>
  <c r="AA38" i="2" s="1"/>
  <c r="W39" i="2"/>
  <c r="Z39" i="2" s="1"/>
  <c r="AA39" i="2" s="1"/>
  <c r="W40" i="2"/>
  <c r="Z40" i="2" s="1"/>
  <c r="W41" i="2"/>
  <c r="Z41" i="2" s="1"/>
  <c r="W42" i="2"/>
  <c r="Z42" i="2" s="1"/>
  <c r="AA42" i="2" s="1"/>
  <c r="W43" i="2"/>
  <c r="Z43" i="2" s="1"/>
  <c r="AA43" i="2" s="1"/>
  <c r="W44" i="2"/>
  <c r="Z44" i="2" s="1"/>
  <c r="AA44" i="2" s="1"/>
  <c r="W45" i="2"/>
  <c r="Z45" i="2" s="1"/>
  <c r="W46" i="2"/>
  <c r="Z46" i="2" s="1"/>
  <c r="AA46" i="2" s="1"/>
  <c r="W47" i="2"/>
  <c r="Z47" i="2" s="1"/>
  <c r="AA47" i="2" s="1"/>
  <c r="W48" i="2"/>
  <c r="Z48" i="2" s="1"/>
  <c r="AA48" i="2" s="1"/>
  <c r="W49" i="2"/>
  <c r="Z49" i="2" s="1"/>
  <c r="AA49" i="2" s="1"/>
  <c r="W50" i="2"/>
  <c r="Z50" i="2" s="1"/>
  <c r="AA50" i="2" s="1"/>
  <c r="W51" i="2"/>
  <c r="Z51" i="2" s="1"/>
  <c r="AA51" i="2" s="1"/>
  <c r="W52" i="2"/>
  <c r="Z52" i="2" s="1"/>
  <c r="AA52" i="2" s="1"/>
  <c r="W53" i="2"/>
  <c r="Z53" i="2" s="1"/>
  <c r="W54" i="2"/>
  <c r="Z54" i="2" s="1"/>
  <c r="AA54" i="2" s="1"/>
  <c r="W55" i="2"/>
  <c r="Z55" i="2" s="1"/>
  <c r="AA55" i="2" s="1"/>
  <c r="W56" i="2"/>
  <c r="Z56" i="2" s="1"/>
  <c r="W57" i="2"/>
  <c r="Z57" i="2" s="1"/>
  <c r="AA57" i="2" s="1"/>
  <c r="W58" i="2"/>
  <c r="Z58" i="2" s="1"/>
  <c r="AA58" i="2" s="1"/>
  <c r="W59" i="2"/>
  <c r="Z59" i="2" s="1"/>
  <c r="AA59" i="2" s="1"/>
  <c r="W60" i="2"/>
  <c r="Z60" i="2" s="1"/>
  <c r="AA60" i="2" s="1"/>
  <c r="W61" i="2"/>
  <c r="Z61" i="2" s="1"/>
  <c r="AA61" i="2" s="1"/>
  <c r="W62" i="2"/>
  <c r="Z62" i="2" s="1"/>
  <c r="AA62" i="2" s="1"/>
  <c r="W63" i="2"/>
  <c r="Z63" i="2" s="1"/>
  <c r="AA63" i="2" s="1"/>
  <c r="W64" i="2"/>
  <c r="Z64" i="2" s="1"/>
  <c r="W65" i="2"/>
  <c r="Z65" i="2" s="1"/>
  <c r="W66" i="2"/>
  <c r="Z66" i="2" s="1"/>
  <c r="AA66" i="2" s="1"/>
  <c r="W67" i="2"/>
  <c r="Z67" i="2" s="1"/>
  <c r="AA67" i="2" s="1"/>
  <c r="W68" i="2"/>
  <c r="Z68" i="2" s="1"/>
  <c r="AA68" i="2" s="1"/>
  <c r="W69" i="2"/>
  <c r="Z69" i="2" s="1"/>
  <c r="AA69" i="2" s="1"/>
  <c r="W70" i="2"/>
  <c r="Z70" i="2" s="1"/>
  <c r="AA70" i="2" s="1"/>
  <c r="W71" i="2"/>
  <c r="Z71" i="2" s="1"/>
  <c r="AA71" i="2" s="1"/>
  <c r="W72" i="2"/>
  <c r="Z72" i="2" s="1"/>
  <c r="W73" i="2"/>
  <c r="Z73" i="2" s="1"/>
  <c r="W74" i="2"/>
  <c r="Z74" i="2" s="1"/>
  <c r="AA74" i="2" s="1"/>
  <c r="W75" i="2"/>
  <c r="Z75" i="2" s="1"/>
  <c r="AA75" i="2" s="1"/>
  <c r="W76" i="2"/>
  <c r="Z76" i="2" s="1"/>
  <c r="AA76" i="2" s="1"/>
  <c r="W77" i="2"/>
  <c r="Z77" i="2" s="1"/>
  <c r="W78" i="2"/>
  <c r="Z78" i="2" s="1"/>
  <c r="AA78" i="2" s="1"/>
  <c r="W79" i="2"/>
  <c r="Z79" i="2" s="1"/>
  <c r="AA79" i="2" s="1"/>
  <c r="W80" i="2"/>
  <c r="Z80" i="2" s="1"/>
  <c r="AA80" i="2" s="1"/>
  <c r="W81" i="2"/>
  <c r="Z81" i="2" s="1"/>
  <c r="AA81" i="2" s="1"/>
  <c r="W82" i="2"/>
  <c r="Z82" i="2" s="1"/>
  <c r="AA82" i="2" s="1"/>
  <c r="W83" i="2"/>
  <c r="Z83" i="2" s="1"/>
  <c r="AA83" i="2" s="1"/>
  <c r="W84" i="2"/>
  <c r="Z84" i="2" s="1"/>
  <c r="AA84" i="2" s="1"/>
  <c r="W85" i="2"/>
  <c r="Z85" i="2" s="1"/>
  <c r="W86" i="2"/>
  <c r="Z86" i="2" s="1"/>
  <c r="AA86" i="2" s="1"/>
  <c r="W87" i="2"/>
  <c r="Z87" i="2" s="1"/>
  <c r="AA87" i="2" s="1"/>
  <c r="W88" i="2"/>
  <c r="Z88" i="2" s="1"/>
  <c r="W89" i="2"/>
  <c r="Z89" i="2" s="1"/>
  <c r="AA89" i="2" s="1"/>
  <c r="W90" i="2"/>
  <c r="Z90" i="2" s="1"/>
  <c r="AA90" i="2" s="1"/>
  <c r="W91" i="2"/>
  <c r="Z91" i="2" s="1"/>
  <c r="AA91" i="2" s="1"/>
  <c r="W92" i="2"/>
  <c r="Z92" i="2" s="1"/>
  <c r="AA92" i="2" s="1"/>
  <c r="W93" i="2"/>
  <c r="Z93" i="2" s="1"/>
  <c r="AA93" i="2" s="1"/>
  <c r="W94" i="2"/>
  <c r="Z94" i="2" s="1"/>
  <c r="AA94" i="2" s="1"/>
  <c r="W95" i="2"/>
  <c r="Z95" i="2" s="1"/>
  <c r="AA95" i="2" s="1"/>
  <c r="W96" i="2"/>
  <c r="Z96" i="2" s="1"/>
  <c r="W97" i="2"/>
  <c r="Z97" i="2" s="1"/>
  <c r="W98" i="2"/>
  <c r="Z98" i="2" s="1"/>
  <c r="AA98" i="2" s="1"/>
  <c r="W99" i="2"/>
  <c r="Z99" i="2" s="1"/>
  <c r="AA99" i="2" s="1"/>
  <c r="W100" i="2"/>
  <c r="Z100" i="2" s="1"/>
  <c r="AA100" i="2" s="1"/>
  <c r="W101" i="2"/>
  <c r="Z101" i="2" s="1"/>
  <c r="AA101" i="2" s="1"/>
  <c r="W102" i="2"/>
  <c r="Z102" i="2" s="1"/>
  <c r="AA102" i="2" s="1"/>
  <c r="W103" i="2"/>
  <c r="Z103" i="2" s="1"/>
  <c r="AA103" i="2" s="1"/>
  <c r="W104" i="2"/>
  <c r="Z104" i="2" s="1"/>
  <c r="W105" i="2"/>
  <c r="Z105" i="2" s="1"/>
  <c r="W106" i="2"/>
  <c r="Z106" i="2" s="1"/>
  <c r="AA106" i="2" s="1"/>
  <c r="W107" i="2"/>
  <c r="Z107" i="2" s="1"/>
  <c r="AA107" i="2" s="1"/>
  <c r="W108" i="2"/>
  <c r="Z108" i="2" s="1"/>
  <c r="AA108" i="2" s="1"/>
  <c r="W109" i="2"/>
  <c r="Z109" i="2" s="1"/>
  <c r="W110" i="2"/>
  <c r="Z110" i="2" s="1"/>
  <c r="AA110" i="2" s="1"/>
  <c r="W111" i="2"/>
  <c r="Z111" i="2" s="1"/>
  <c r="AA111" i="2" s="1"/>
  <c r="W112" i="2"/>
  <c r="Z112" i="2" s="1"/>
  <c r="AA112" i="2" s="1"/>
  <c r="W113" i="2"/>
  <c r="Z113" i="2" s="1"/>
  <c r="AA113" i="2" s="1"/>
  <c r="W114" i="2"/>
  <c r="Z114" i="2" s="1"/>
  <c r="AA114" i="2" s="1"/>
  <c r="W115" i="2"/>
  <c r="Z115" i="2" s="1"/>
  <c r="AA115" i="2" s="1"/>
  <c r="W116" i="2"/>
  <c r="Z116" i="2" s="1"/>
  <c r="AA116" i="2" s="1"/>
  <c r="W117" i="2"/>
  <c r="Z117" i="2" s="1"/>
  <c r="W118" i="2"/>
  <c r="Z118" i="2" s="1"/>
  <c r="AA118" i="2" s="1"/>
  <c r="W119" i="2"/>
  <c r="Z119" i="2" s="1"/>
  <c r="AA119" i="2" s="1"/>
  <c r="W120" i="2"/>
  <c r="Z120" i="2" s="1"/>
  <c r="W121" i="2"/>
  <c r="Z121" i="2" s="1"/>
  <c r="AA121" i="2" s="1"/>
  <c r="W122" i="2"/>
  <c r="Z122" i="2" s="1"/>
  <c r="AA122" i="2" s="1"/>
  <c r="W123" i="2"/>
  <c r="Z123" i="2" s="1"/>
  <c r="AA123" i="2" s="1"/>
  <c r="W124" i="2"/>
  <c r="Z124" i="2" s="1"/>
  <c r="AA124" i="2" s="1"/>
  <c r="W125" i="2"/>
  <c r="Z125" i="2" s="1"/>
  <c r="AA125" i="2" s="1"/>
  <c r="W126" i="2"/>
  <c r="Z126" i="2" s="1"/>
  <c r="AA126" i="2" s="1"/>
  <c r="W127" i="2"/>
  <c r="Z127" i="2" s="1"/>
  <c r="AA127" i="2" s="1"/>
  <c r="W128" i="2"/>
  <c r="Z128" i="2" s="1"/>
  <c r="W129" i="2"/>
  <c r="Z129" i="2" s="1"/>
  <c r="W130" i="2"/>
  <c r="Z130" i="2" s="1"/>
  <c r="AA130" i="2" s="1"/>
  <c r="W131" i="2"/>
  <c r="Z131" i="2" s="1"/>
  <c r="AA131" i="2" s="1"/>
  <c r="W132" i="2"/>
  <c r="Z132" i="2" s="1"/>
  <c r="AA132" i="2" s="1"/>
  <c r="W133" i="2"/>
  <c r="Z133" i="2" s="1"/>
  <c r="AA133" i="2" s="1"/>
  <c r="W134" i="2"/>
  <c r="Z134" i="2" s="1"/>
  <c r="AA134" i="2" s="1"/>
  <c r="W135" i="2"/>
  <c r="Z135" i="2" s="1"/>
  <c r="AA135" i="2" s="1"/>
  <c r="W136" i="2"/>
  <c r="Z136" i="2" s="1"/>
  <c r="W137" i="2"/>
  <c r="Z137" i="2" s="1"/>
  <c r="W138" i="2"/>
  <c r="Z138" i="2" s="1"/>
  <c r="AA138" i="2" s="1"/>
  <c r="W139" i="2"/>
  <c r="Z139" i="2" s="1"/>
  <c r="AA139" i="2" s="1"/>
  <c r="W140" i="2"/>
  <c r="Z140" i="2" s="1"/>
  <c r="AA140" i="2" s="1"/>
  <c r="W141" i="2"/>
  <c r="Z141" i="2" s="1"/>
  <c r="W142" i="2"/>
  <c r="Z142" i="2" s="1"/>
  <c r="AA142" i="2" s="1"/>
  <c r="W143" i="2"/>
  <c r="Z143" i="2" s="1"/>
  <c r="AA143" i="2" s="1"/>
  <c r="W144" i="2"/>
  <c r="Z144" i="2" s="1"/>
  <c r="AA144" i="2" s="1"/>
  <c r="W145" i="2"/>
  <c r="Z145" i="2" s="1"/>
  <c r="AA145" i="2" s="1"/>
  <c r="W146" i="2"/>
  <c r="Z146" i="2" s="1"/>
  <c r="AA146" i="2" s="1"/>
  <c r="W147" i="2"/>
  <c r="Z147" i="2" s="1"/>
  <c r="AA147" i="2" s="1"/>
  <c r="W148" i="2"/>
  <c r="Z148" i="2" s="1"/>
  <c r="AA148" i="2" s="1"/>
  <c r="W149" i="2"/>
  <c r="Z149" i="2" s="1"/>
  <c r="W150" i="2"/>
  <c r="Z150" i="2" s="1"/>
  <c r="AA150" i="2" s="1"/>
  <c r="W151" i="2"/>
  <c r="Z151" i="2" s="1"/>
  <c r="AA151" i="2" s="1"/>
  <c r="W152" i="2"/>
  <c r="Z152" i="2" s="1"/>
  <c r="W153" i="2"/>
  <c r="Z153" i="2" s="1"/>
  <c r="AA153" i="2" s="1"/>
  <c r="W154" i="2"/>
  <c r="Z154" i="2" s="1"/>
  <c r="AA154" i="2" s="1"/>
  <c r="W155" i="2"/>
  <c r="Z155" i="2" s="1"/>
  <c r="AA155" i="2" s="1"/>
  <c r="W156" i="2"/>
  <c r="Z156" i="2" s="1"/>
  <c r="AA156" i="2" s="1"/>
  <c r="W157" i="2"/>
  <c r="Z157" i="2" s="1"/>
  <c r="AA157" i="2" s="1"/>
  <c r="W158" i="2"/>
  <c r="Z158" i="2" s="1"/>
  <c r="AA158" i="2" s="1"/>
  <c r="W159" i="2"/>
  <c r="Z159" i="2" s="1"/>
  <c r="AA159" i="2" s="1"/>
  <c r="W160" i="2"/>
  <c r="Z160" i="2" s="1"/>
  <c r="W161" i="2"/>
  <c r="Z161" i="2" s="1"/>
  <c r="W162" i="2"/>
  <c r="Z162" i="2" s="1"/>
  <c r="AA162" i="2" s="1"/>
  <c r="W163" i="2"/>
  <c r="Z163" i="2" s="1"/>
  <c r="AA163" i="2" s="1"/>
  <c r="W164" i="2"/>
  <c r="Z164" i="2" s="1"/>
  <c r="AA164" i="2" s="1"/>
  <c r="W165" i="2"/>
  <c r="Z165" i="2" s="1"/>
  <c r="AA165" i="2" s="1"/>
  <c r="W166" i="2"/>
  <c r="Z166" i="2" s="1"/>
  <c r="AA166" i="2" s="1"/>
  <c r="W167" i="2"/>
  <c r="Z167" i="2" s="1"/>
  <c r="AA167" i="2" s="1"/>
  <c r="W168" i="2"/>
  <c r="Z168" i="2" s="1"/>
  <c r="W169" i="2"/>
  <c r="Z169" i="2" s="1"/>
  <c r="W170" i="2"/>
  <c r="Z170" i="2" s="1"/>
  <c r="AA170" i="2" s="1"/>
  <c r="W171" i="2"/>
  <c r="Z171" i="2" s="1"/>
  <c r="AA171" i="2" s="1"/>
  <c r="W172" i="2"/>
  <c r="Z172" i="2" s="1"/>
  <c r="AA172" i="2" s="1"/>
  <c r="W173" i="2"/>
  <c r="Z173" i="2" s="1"/>
  <c r="W174" i="2"/>
  <c r="Z174" i="2" s="1"/>
  <c r="AA174" i="2" s="1"/>
  <c r="W175" i="2"/>
  <c r="Z175" i="2" s="1"/>
  <c r="AA175" i="2" s="1"/>
  <c r="W176" i="2"/>
  <c r="Z176" i="2" s="1"/>
  <c r="AA176" i="2" s="1"/>
  <c r="W177" i="2"/>
  <c r="Z177" i="2" s="1"/>
  <c r="AA177" i="2" s="1"/>
  <c r="W178" i="2"/>
  <c r="Z178" i="2" s="1"/>
  <c r="AA178" i="2" s="1"/>
  <c r="W179" i="2"/>
  <c r="Z179" i="2" s="1"/>
  <c r="AA179" i="2" s="1"/>
  <c r="W180" i="2"/>
  <c r="Z180" i="2" s="1"/>
  <c r="AA180" i="2" s="1"/>
  <c r="W181" i="2"/>
  <c r="Z181" i="2" s="1"/>
  <c r="W182" i="2"/>
  <c r="Z182" i="2" s="1"/>
  <c r="AA182" i="2" s="1"/>
  <c r="W183" i="2"/>
  <c r="Z183" i="2" s="1"/>
  <c r="AA183" i="2" s="1"/>
  <c r="W184" i="2"/>
  <c r="Z184" i="2" s="1"/>
  <c r="W185" i="2"/>
  <c r="Z185" i="2" s="1"/>
  <c r="AA185" i="2" s="1"/>
  <c r="W186" i="2"/>
  <c r="Z186" i="2" s="1"/>
  <c r="AA186" i="2" s="1"/>
  <c r="W187" i="2"/>
  <c r="Z187" i="2" s="1"/>
  <c r="AA187" i="2" s="1"/>
  <c r="W188" i="2"/>
  <c r="Z188" i="2" s="1"/>
  <c r="AA188" i="2" s="1"/>
  <c r="W189" i="2"/>
  <c r="Z189" i="2" s="1"/>
  <c r="AA189" i="2" s="1"/>
  <c r="W190" i="2"/>
  <c r="Z190" i="2" s="1"/>
  <c r="AA190" i="2" s="1"/>
  <c r="W191" i="2"/>
  <c r="Z191" i="2" s="1"/>
  <c r="AA191" i="2" s="1"/>
  <c r="W192" i="2"/>
  <c r="Z192" i="2" s="1"/>
  <c r="W193" i="2"/>
  <c r="Z193" i="2" s="1"/>
  <c r="W194" i="2"/>
  <c r="Z194" i="2" s="1"/>
  <c r="AA194" i="2" s="1"/>
  <c r="W195" i="2"/>
  <c r="Z195" i="2" s="1"/>
  <c r="AA195" i="2" s="1"/>
  <c r="W196" i="2"/>
  <c r="Z196" i="2" s="1"/>
  <c r="AA196" i="2" s="1"/>
  <c r="W197" i="2"/>
  <c r="Z197" i="2" s="1"/>
  <c r="AA197" i="2" s="1"/>
  <c r="W198" i="2"/>
  <c r="Z198" i="2" s="1"/>
  <c r="AA198" i="2" s="1"/>
  <c r="W199" i="2"/>
  <c r="Z199" i="2" s="1"/>
  <c r="AA199" i="2" s="1"/>
  <c r="W200" i="2"/>
  <c r="Z200" i="2" s="1"/>
  <c r="W201" i="2"/>
  <c r="Z201" i="2" s="1"/>
  <c r="W202" i="2"/>
  <c r="Z202" i="2" s="1"/>
  <c r="AA202" i="2" s="1"/>
  <c r="W203" i="2"/>
  <c r="Z203" i="2" s="1"/>
  <c r="AA203" i="2" s="1"/>
  <c r="W204" i="2"/>
  <c r="Z204" i="2" s="1"/>
  <c r="AA204" i="2" s="1"/>
  <c r="W205" i="2"/>
  <c r="Z205" i="2" s="1"/>
  <c r="W206" i="2"/>
  <c r="Z206" i="2" s="1"/>
  <c r="AA206" i="2" s="1"/>
  <c r="W207" i="2"/>
  <c r="Z207" i="2" s="1"/>
  <c r="AA207" i="2" s="1"/>
  <c r="W208" i="2"/>
  <c r="Z208" i="2" s="1"/>
  <c r="AA208" i="2" s="1"/>
  <c r="W209" i="2"/>
  <c r="Z209" i="2" s="1"/>
  <c r="AA209" i="2" s="1"/>
  <c r="W210" i="2"/>
  <c r="Z210" i="2" s="1"/>
  <c r="AA210" i="2" s="1"/>
  <c r="W211" i="2"/>
  <c r="Z211" i="2" s="1"/>
  <c r="AA211" i="2" s="1"/>
  <c r="W212" i="2"/>
  <c r="Z212" i="2" s="1"/>
  <c r="AA212" i="2" s="1"/>
  <c r="W213" i="2"/>
  <c r="Z213" i="2" s="1"/>
  <c r="W214" i="2"/>
  <c r="Z214" i="2" s="1"/>
  <c r="AA214" i="2" s="1"/>
  <c r="W215" i="2"/>
  <c r="Z215" i="2" s="1"/>
  <c r="AA215" i="2" s="1"/>
  <c r="W216" i="2"/>
  <c r="Z216" i="2" s="1"/>
  <c r="W217" i="2"/>
  <c r="Z217" i="2" s="1"/>
  <c r="AA217" i="2" s="1"/>
  <c r="W218" i="2"/>
  <c r="Z218" i="2" s="1"/>
  <c r="AA218" i="2" s="1"/>
  <c r="W219" i="2"/>
  <c r="Z219" i="2" s="1"/>
  <c r="AA219" i="2" s="1"/>
  <c r="W220" i="2"/>
  <c r="Z220" i="2" s="1"/>
  <c r="AA220" i="2" s="1"/>
  <c r="W221" i="2"/>
  <c r="Z221" i="2" s="1"/>
  <c r="AA221" i="2" s="1"/>
  <c r="W222" i="2"/>
  <c r="Z222" i="2" s="1"/>
  <c r="AA222" i="2" s="1"/>
  <c r="W223" i="2"/>
  <c r="Z223" i="2" s="1"/>
  <c r="AA223" i="2" s="1"/>
  <c r="W224" i="2"/>
  <c r="Z224" i="2" s="1"/>
  <c r="W225" i="2"/>
  <c r="Z225" i="2" s="1"/>
  <c r="W226" i="2"/>
  <c r="Z226" i="2" s="1"/>
  <c r="AA226" i="2" s="1"/>
  <c r="W227" i="2"/>
  <c r="Z227" i="2" s="1"/>
  <c r="AA227" i="2" s="1"/>
  <c r="W228" i="2"/>
  <c r="Z228" i="2" s="1"/>
  <c r="AA228" i="2" s="1"/>
  <c r="W229" i="2"/>
  <c r="Z229" i="2" s="1"/>
  <c r="AA229" i="2" s="1"/>
  <c r="W230" i="2"/>
  <c r="Z230" i="2" s="1"/>
  <c r="AA230" i="2" s="1"/>
  <c r="W231" i="2"/>
  <c r="Z231" i="2" s="1"/>
  <c r="AA231" i="2" s="1"/>
  <c r="W232" i="2"/>
  <c r="Z232" i="2" s="1"/>
  <c r="W233" i="2"/>
  <c r="Z233" i="2" s="1"/>
  <c r="W234" i="2"/>
  <c r="Z234" i="2" s="1"/>
  <c r="AA234" i="2" s="1"/>
  <c r="W235" i="2"/>
  <c r="Z235" i="2" s="1"/>
  <c r="AA235" i="2" s="1"/>
  <c r="W236" i="2"/>
  <c r="Z236" i="2" s="1"/>
  <c r="AA236" i="2" s="1"/>
  <c r="W237" i="2"/>
  <c r="Z237" i="2" s="1"/>
  <c r="W238" i="2"/>
  <c r="Z238" i="2" s="1"/>
  <c r="AA238" i="2" s="1"/>
  <c r="W239" i="2"/>
  <c r="Z239" i="2" s="1"/>
  <c r="AA239" i="2" s="1"/>
  <c r="W240" i="2"/>
  <c r="Z240" i="2" s="1"/>
  <c r="AA240" i="2" s="1"/>
  <c r="W241" i="2"/>
  <c r="Z241" i="2" s="1"/>
  <c r="AA241" i="2" s="1"/>
  <c r="W242" i="2"/>
  <c r="Z242" i="2" s="1"/>
  <c r="AA242" i="2" s="1"/>
  <c r="W243" i="2"/>
  <c r="Z243" i="2" s="1"/>
  <c r="AA243" i="2" s="1"/>
  <c r="W244" i="2"/>
  <c r="Z244" i="2" s="1"/>
  <c r="AA244" i="2" s="1"/>
  <c r="W245" i="2"/>
  <c r="Z245" i="2" s="1"/>
  <c r="W246" i="2"/>
  <c r="Z246" i="2" s="1"/>
  <c r="AA246" i="2" s="1"/>
  <c r="W247" i="2"/>
  <c r="Z247" i="2" s="1"/>
  <c r="AA247" i="2" s="1"/>
  <c r="W248" i="2"/>
  <c r="Z248" i="2" s="1"/>
  <c r="W249" i="2"/>
  <c r="Z249" i="2" s="1"/>
  <c r="AA249" i="2" s="1"/>
  <c r="W250" i="2"/>
  <c r="Z250" i="2" s="1"/>
  <c r="AA250" i="2" s="1"/>
  <c r="W251" i="2"/>
  <c r="Z251" i="2" s="1"/>
  <c r="AA251" i="2" s="1"/>
  <c r="W252" i="2"/>
  <c r="Z252" i="2" s="1"/>
  <c r="AA252" i="2" s="1"/>
  <c r="W253" i="2"/>
  <c r="Z253" i="2" s="1"/>
  <c r="AA253" i="2" s="1"/>
  <c r="W254" i="2"/>
  <c r="Z254" i="2" s="1"/>
  <c r="AA254" i="2" s="1"/>
  <c r="W255" i="2"/>
  <c r="Z255" i="2" s="1"/>
  <c r="AA255" i="2" s="1"/>
  <c r="W256" i="2"/>
  <c r="Z256" i="2" s="1"/>
  <c r="W257" i="2"/>
  <c r="Z257" i="2" s="1"/>
  <c r="W258" i="2"/>
  <c r="Z258" i="2" s="1"/>
  <c r="AA258" i="2" s="1"/>
  <c r="W259" i="2"/>
  <c r="Z259" i="2" s="1"/>
  <c r="AA259" i="2" s="1"/>
  <c r="W260" i="2"/>
  <c r="Z260" i="2" s="1"/>
  <c r="AA260" i="2" s="1"/>
  <c r="W261" i="2"/>
  <c r="Z261" i="2" s="1"/>
  <c r="AA261" i="2" s="1"/>
  <c r="W262" i="2"/>
  <c r="Z262" i="2" s="1"/>
  <c r="AA262" i="2" s="1"/>
  <c r="W263" i="2"/>
  <c r="Z263" i="2" s="1"/>
  <c r="AA263" i="2" s="1"/>
  <c r="W264" i="2"/>
  <c r="Z264" i="2" s="1"/>
  <c r="W265" i="2"/>
  <c r="Z265" i="2" s="1"/>
  <c r="W266" i="2"/>
  <c r="Z266" i="2" s="1"/>
  <c r="AA266" i="2" s="1"/>
  <c r="W267" i="2"/>
  <c r="Z267" i="2" s="1"/>
  <c r="AA267" i="2" s="1"/>
  <c r="W268" i="2"/>
  <c r="Z268" i="2" s="1"/>
  <c r="AA268" i="2" s="1"/>
  <c r="W269" i="2"/>
  <c r="Z269" i="2" s="1"/>
  <c r="W270" i="2"/>
  <c r="Z270" i="2" s="1"/>
  <c r="AA270" i="2" s="1"/>
  <c r="W271" i="2"/>
  <c r="Z271" i="2" s="1"/>
  <c r="AA271" i="2" s="1"/>
  <c r="W272" i="2"/>
  <c r="Z272" i="2" s="1"/>
  <c r="AA272" i="2" s="1"/>
  <c r="W273" i="2"/>
  <c r="Z273" i="2" s="1"/>
  <c r="AA273" i="2" s="1"/>
  <c r="W274" i="2"/>
  <c r="Z274" i="2" s="1"/>
  <c r="AA274" i="2" s="1"/>
  <c r="W275" i="2"/>
  <c r="Z275" i="2" s="1"/>
  <c r="AA275" i="2" s="1"/>
  <c r="W276" i="2"/>
  <c r="Z276" i="2" s="1"/>
  <c r="AA276" i="2" s="1"/>
  <c r="W277" i="2"/>
  <c r="Z277" i="2" s="1"/>
  <c r="W278" i="2"/>
  <c r="Z278" i="2" s="1"/>
  <c r="AA278" i="2" s="1"/>
  <c r="W279" i="2"/>
  <c r="Z279" i="2" s="1"/>
  <c r="AA279" i="2" s="1"/>
  <c r="W280" i="2"/>
  <c r="Z280" i="2" s="1"/>
  <c r="W281" i="2"/>
  <c r="Z281" i="2" s="1"/>
  <c r="AA281" i="2" s="1"/>
  <c r="W282" i="2"/>
  <c r="Z282" i="2" s="1"/>
  <c r="AA282" i="2" s="1"/>
  <c r="W283" i="2"/>
  <c r="Z283" i="2" s="1"/>
  <c r="AA283" i="2" s="1"/>
  <c r="W284" i="2"/>
  <c r="Z284" i="2" s="1"/>
  <c r="AA284" i="2" s="1"/>
  <c r="W285" i="2"/>
  <c r="Z285" i="2" s="1"/>
  <c r="AA285" i="2" s="1"/>
  <c r="W286" i="2"/>
  <c r="Z286" i="2" s="1"/>
  <c r="AA286" i="2" s="1"/>
  <c r="W287" i="2"/>
  <c r="Z287" i="2" s="1"/>
  <c r="AA287" i="2" s="1"/>
  <c r="W288" i="2"/>
  <c r="Z288" i="2" s="1"/>
  <c r="W289" i="2"/>
  <c r="Z289" i="2" s="1"/>
  <c r="W290" i="2"/>
  <c r="Z290" i="2" s="1"/>
  <c r="AA290" i="2" s="1"/>
  <c r="W291" i="2"/>
  <c r="Z291" i="2" s="1"/>
  <c r="AA291" i="2" s="1"/>
  <c r="W292" i="2"/>
  <c r="Z292" i="2" s="1"/>
  <c r="AA292" i="2" s="1"/>
  <c r="W293" i="2"/>
  <c r="Z293" i="2" s="1"/>
  <c r="AA293" i="2" s="1"/>
  <c r="W294" i="2"/>
  <c r="Z294" i="2" s="1"/>
  <c r="AA294" i="2" s="1"/>
  <c r="W295" i="2"/>
  <c r="Z295" i="2" s="1"/>
  <c r="AA295" i="2" s="1"/>
  <c r="W296" i="2"/>
  <c r="Z296" i="2" s="1"/>
  <c r="W297" i="2"/>
  <c r="Z297" i="2" s="1"/>
  <c r="W298" i="2"/>
  <c r="Z298" i="2" s="1"/>
  <c r="AA298" i="2" s="1"/>
  <c r="W299" i="2"/>
  <c r="Z299" i="2" s="1"/>
  <c r="AA299" i="2" s="1"/>
  <c r="W300" i="2"/>
  <c r="Z300" i="2" s="1"/>
  <c r="AA300" i="2" s="1"/>
  <c r="W301" i="2"/>
  <c r="Z301" i="2" s="1"/>
  <c r="W302" i="2"/>
  <c r="Z302" i="2" s="1"/>
  <c r="AA302" i="2" s="1"/>
  <c r="W303" i="2"/>
  <c r="Z303" i="2" s="1"/>
  <c r="AA303" i="2" s="1"/>
  <c r="W304" i="2"/>
  <c r="Z304" i="2" s="1"/>
  <c r="AA304" i="2" s="1"/>
  <c r="W305" i="2"/>
  <c r="Z305" i="2" s="1"/>
  <c r="AA305" i="2" s="1"/>
  <c r="W306" i="2"/>
  <c r="Z306" i="2" s="1"/>
  <c r="AA306" i="2" s="1"/>
  <c r="W307" i="2"/>
  <c r="Z307" i="2" s="1"/>
  <c r="AA307" i="2" s="1"/>
  <c r="W308" i="2"/>
  <c r="Z308" i="2" s="1"/>
  <c r="AA308" i="2" s="1"/>
  <c r="W309" i="2"/>
  <c r="Z309" i="2" s="1"/>
  <c r="W310" i="2"/>
  <c r="Z310" i="2" s="1"/>
  <c r="AA310" i="2" s="1"/>
  <c r="W311" i="2"/>
  <c r="Z311" i="2" s="1"/>
  <c r="AA311" i="2" s="1"/>
  <c r="W312" i="2"/>
  <c r="Z312" i="2" s="1"/>
  <c r="W313" i="2"/>
  <c r="Z313" i="2" s="1"/>
  <c r="AA313" i="2" s="1"/>
  <c r="W314" i="2"/>
  <c r="Z314" i="2" s="1"/>
  <c r="AA314" i="2" s="1"/>
  <c r="W315" i="2"/>
  <c r="Z315" i="2" s="1"/>
  <c r="AA315" i="2" s="1"/>
  <c r="W316" i="2"/>
  <c r="Z316" i="2" s="1"/>
  <c r="AA316" i="2" s="1"/>
  <c r="W317" i="2"/>
  <c r="Z317" i="2" s="1"/>
  <c r="AA317" i="2" s="1"/>
  <c r="W318" i="2"/>
  <c r="Z318" i="2" s="1"/>
  <c r="AA318" i="2" s="1"/>
  <c r="W319" i="2"/>
  <c r="Z319" i="2" s="1"/>
  <c r="AA319" i="2" s="1"/>
  <c r="W320" i="2"/>
  <c r="Z320" i="2" s="1"/>
  <c r="W321" i="2"/>
  <c r="Z321" i="2" s="1"/>
  <c r="W322" i="2"/>
  <c r="Z322" i="2" s="1"/>
  <c r="AA322" i="2" s="1"/>
  <c r="W323" i="2"/>
  <c r="Z323" i="2" s="1"/>
  <c r="AA323" i="2" s="1"/>
  <c r="W324" i="2"/>
  <c r="Z324" i="2" s="1"/>
  <c r="AA324" i="2" s="1"/>
  <c r="W325" i="2"/>
  <c r="Z325" i="2" s="1"/>
  <c r="AA325" i="2" s="1"/>
  <c r="W326" i="2"/>
  <c r="Z326" i="2" s="1"/>
  <c r="AA326" i="2" s="1"/>
  <c r="W327" i="2"/>
  <c r="Z327" i="2" s="1"/>
  <c r="AA327" i="2" s="1"/>
  <c r="W328" i="2"/>
  <c r="Z328" i="2" s="1"/>
  <c r="W329" i="2"/>
  <c r="Z329" i="2" s="1"/>
  <c r="W330" i="2"/>
  <c r="Z330" i="2" s="1"/>
  <c r="AA330" i="2" s="1"/>
  <c r="W331" i="2"/>
  <c r="Z331" i="2" s="1"/>
  <c r="AA331" i="2" s="1"/>
  <c r="W332" i="2"/>
  <c r="Z332" i="2" s="1"/>
  <c r="AA332" i="2" s="1"/>
  <c r="W333" i="2"/>
  <c r="Z333" i="2" s="1"/>
  <c r="W334" i="2"/>
  <c r="Z334" i="2" s="1"/>
  <c r="AA334" i="2" s="1"/>
  <c r="W335" i="2"/>
  <c r="Z335" i="2" s="1"/>
  <c r="AA335" i="2" s="1"/>
  <c r="W336" i="2"/>
  <c r="Z336" i="2" s="1"/>
  <c r="AA336" i="2" s="1"/>
  <c r="W337" i="2"/>
  <c r="Z337" i="2" s="1"/>
  <c r="AA337" i="2" s="1"/>
  <c r="W338" i="2"/>
  <c r="Z338" i="2" s="1"/>
  <c r="AA338" i="2" s="1"/>
  <c r="W339" i="2"/>
  <c r="Z339" i="2" s="1"/>
  <c r="AA339" i="2" s="1"/>
  <c r="W340" i="2"/>
  <c r="Z340" i="2" s="1"/>
  <c r="AA340" i="2" s="1"/>
  <c r="W341" i="2"/>
  <c r="Z341" i="2" s="1"/>
  <c r="W342" i="2"/>
  <c r="Z342" i="2" s="1"/>
  <c r="AA342" i="2" s="1"/>
  <c r="W343" i="2"/>
  <c r="Z343" i="2" s="1"/>
  <c r="AA343" i="2" s="1"/>
  <c r="W344" i="2"/>
  <c r="Z344" i="2" s="1"/>
  <c r="AA344" i="2" s="1"/>
  <c r="W345" i="2"/>
  <c r="Z345" i="2" s="1"/>
  <c r="AA345" i="2" s="1"/>
  <c r="W346" i="2"/>
  <c r="Z346" i="2" s="1"/>
  <c r="AA346" i="2" s="1"/>
  <c r="W347" i="2"/>
  <c r="Z347" i="2" s="1"/>
  <c r="W348" i="2"/>
  <c r="Z348" i="2" s="1"/>
  <c r="AA348" i="2" s="1"/>
  <c r="W349" i="2"/>
  <c r="Z349" i="2" s="1"/>
  <c r="AA349" i="2" s="1"/>
  <c r="W350" i="2"/>
  <c r="Z350" i="2" s="1"/>
  <c r="AA350" i="2" s="1"/>
  <c r="W351" i="2"/>
  <c r="Z351" i="2" s="1"/>
  <c r="AA351" i="2" s="1"/>
  <c r="W352" i="2"/>
  <c r="Z352" i="2" s="1"/>
  <c r="AA352" i="2" s="1"/>
  <c r="W353" i="2"/>
  <c r="Z353" i="2" s="1"/>
  <c r="W354" i="2"/>
  <c r="Z354" i="2" s="1"/>
  <c r="AA354" i="2" s="1"/>
  <c r="W355" i="2"/>
  <c r="Z355" i="2" s="1"/>
  <c r="AA355" i="2" s="1"/>
  <c r="W356" i="2"/>
  <c r="Z356" i="2" s="1"/>
  <c r="AA356" i="2" s="1"/>
  <c r="W357" i="2"/>
  <c r="Z357" i="2" s="1"/>
  <c r="W358" i="2"/>
  <c r="Z358" i="2" s="1"/>
  <c r="AA358" i="2" s="1"/>
  <c r="W359" i="2"/>
  <c r="Z359" i="2" s="1"/>
  <c r="AA359" i="2" s="1"/>
  <c r="W360" i="2"/>
  <c r="Z360" i="2" s="1"/>
  <c r="AA360" i="2" s="1"/>
  <c r="W361" i="2"/>
  <c r="Z361" i="2" s="1"/>
  <c r="AA361" i="2" s="1"/>
  <c r="W362" i="2"/>
  <c r="Z362" i="2" s="1"/>
  <c r="AA362" i="2" s="1"/>
  <c r="W363" i="2"/>
  <c r="Z363" i="2" s="1"/>
  <c r="W364" i="2"/>
  <c r="Z364" i="2" s="1"/>
  <c r="AA364" i="2" s="1"/>
  <c r="W365" i="2"/>
  <c r="Z365" i="2" s="1"/>
  <c r="AA365" i="2" s="1"/>
  <c r="W366" i="2"/>
  <c r="Z366" i="2" s="1"/>
  <c r="AA366" i="2" s="1"/>
  <c r="W367" i="2"/>
  <c r="Z367" i="2" s="1"/>
  <c r="AA367" i="2" s="1"/>
  <c r="W368" i="2"/>
  <c r="Z368" i="2" s="1"/>
  <c r="AA368" i="2" s="1"/>
  <c r="W369" i="2"/>
  <c r="Z369" i="2" s="1"/>
  <c r="W370" i="2"/>
  <c r="Z370" i="2" s="1"/>
  <c r="AA370" i="2" s="1"/>
  <c r="W371" i="2"/>
  <c r="Z371" i="2" s="1"/>
  <c r="AA371" i="2" s="1"/>
  <c r="W372" i="2"/>
  <c r="Z372" i="2" s="1"/>
  <c r="AA372" i="2" s="1"/>
  <c r="W373" i="2"/>
  <c r="Z373" i="2" s="1"/>
  <c r="W374" i="2"/>
  <c r="Z374" i="2" s="1"/>
  <c r="AA374" i="2" s="1"/>
  <c r="W375" i="2"/>
  <c r="Z375" i="2" s="1"/>
  <c r="AA375" i="2" s="1"/>
  <c r="W376" i="2"/>
  <c r="Z376" i="2" s="1"/>
  <c r="AA376" i="2" s="1"/>
  <c r="W377" i="2"/>
  <c r="Z377" i="2" s="1"/>
  <c r="AA377" i="2" s="1"/>
  <c r="W378" i="2"/>
  <c r="Z378" i="2" s="1"/>
  <c r="AA378" i="2" s="1"/>
  <c r="W379" i="2"/>
  <c r="Z379" i="2" s="1"/>
  <c r="W380" i="2"/>
  <c r="Z380" i="2" s="1"/>
  <c r="AA380" i="2" s="1"/>
  <c r="W381" i="2"/>
  <c r="Z381" i="2" s="1"/>
  <c r="AA381" i="2" s="1"/>
  <c r="W382" i="2"/>
  <c r="Z382" i="2" s="1"/>
  <c r="AA382" i="2" s="1"/>
  <c r="W383" i="2"/>
  <c r="Z383" i="2" s="1"/>
  <c r="AA383" i="2" s="1"/>
  <c r="W384" i="2"/>
  <c r="Z384" i="2" s="1"/>
  <c r="AA384" i="2" s="1"/>
  <c r="W385" i="2"/>
  <c r="Z385" i="2" s="1"/>
  <c r="W386" i="2"/>
  <c r="Z386" i="2" s="1"/>
  <c r="AA386" i="2" s="1"/>
  <c r="W387" i="2"/>
  <c r="Z387" i="2" s="1"/>
  <c r="AA387" i="2" s="1"/>
  <c r="W388" i="2"/>
  <c r="Z388" i="2" s="1"/>
  <c r="AA388" i="2" s="1"/>
  <c r="W389" i="2"/>
  <c r="Z389" i="2" s="1"/>
  <c r="W390" i="2"/>
  <c r="Z390" i="2" s="1"/>
  <c r="AA390" i="2" s="1"/>
  <c r="W391" i="2"/>
  <c r="Z391" i="2" s="1"/>
  <c r="AA391" i="2" s="1"/>
  <c r="W392" i="2"/>
  <c r="Z392" i="2" s="1"/>
  <c r="AA392" i="2" s="1"/>
  <c r="W393" i="2"/>
  <c r="Z393" i="2" s="1"/>
  <c r="AA393" i="2" s="1"/>
  <c r="W394" i="2"/>
  <c r="Z394" i="2" s="1"/>
  <c r="AA394" i="2" s="1"/>
  <c r="W395" i="2"/>
  <c r="Z395" i="2" s="1"/>
  <c r="W396" i="2"/>
  <c r="Z396" i="2" s="1"/>
  <c r="AA396" i="2" s="1"/>
  <c r="W397" i="2"/>
  <c r="Z397" i="2" s="1"/>
  <c r="AA397" i="2" s="1"/>
  <c r="W398" i="2"/>
  <c r="Z398" i="2" s="1"/>
  <c r="AA398" i="2" s="1"/>
  <c r="W399" i="2"/>
  <c r="Z399" i="2" s="1"/>
  <c r="AA399" i="2" s="1"/>
  <c r="W400" i="2"/>
  <c r="Z400" i="2" s="1"/>
  <c r="AA400" i="2" s="1"/>
  <c r="W401" i="2"/>
  <c r="Z401" i="2" s="1"/>
  <c r="W402" i="2"/>
  <c r="Z402" i="2" s="1"/>
  <c r="AA402" i="2" s="1"/>
  <c r="W403" i="2"/>
  <c r="Z403" i="2" s="1"/>
  <c r="AA403" i="2" s="1"/>
  <c r="W404" i="2"/>
  <c r="Z404" i="2" s="1"/>
  <c r="AA404" i="2" s="1"/>
  <c r="W405" i="2"/>
  <c r="Z405" i="2" s="1"/>
  <c r="W406" i="2"/>
  <c r="Z406" i="2" s="1"/>
  <c r="AA406" i="2" s="1"/>
  <c r="W407" i="2"/>
  <c r="Z407" i="2" s="1"/>
  <c r="AA407" i="2" s="1"/>
  <c r="W408" i="2"/>
  <c r="Z408" i="2" s="1"/>
  <c r="AA408" i="2" s="1"/>
  <c r="W409" i="2"/>
  <c r="Z409" i="2" s="1"/>
  <c r="AA409" i="2" s="1"/>
  <c r="W410" i="2"/>
  <c r="Z410" i="2" s="1"/>
  <c r="AA410" i="2" s="1"/>
  <c r="W411" i="2"/>
  <c r="Z411" i="2" s="1"/>
  <c r="W412" i="2"/>
  <c r="Z412" i="2" s="1"/>
  <c r="AA412" i="2" s="1"/>
  <c r="W413" i="2"/>
  <c r="Z413" i="2" s="1"/>
  <c r="AA413" i="2" s="1"/>
  <c r="W414" i="2"/>
  <c r="Z414" i="2" s="1"/>
  <c r="AA414" i="2" s="1"/>
  <c r="W415" i="2"/>
  <c r="Z415" i="2" s="1"/>
  <c r="AA415" i="2" s="1"/>
  <c r="W416" i="2"/>
  <c r="Z416" i="2" s="1"/>
  <c r="AA416" i="2" s="1"/>
  <c r="W417" i="2"/>
  <c r="Z417" i="2" s="1"/>
  <c r="W418" i="2"/>
  <c r="Z418" i="2" s="1"/>
  <c r="AA418" i="2" s="1"/>
  <c r="W419" i="2"/>
  <c r="Z419" i="2" s="1"/>
  <c r="AA419" i="2" s="1"/>
  <c r="W420" i="2"/>
  <c r="Z420" i="2" s="1"/>
  <c r="AA420" i="2" s="1"/>
  <c r="W421" i="2"/>
  <c r="Z421" i="2" s="1"/>
  <c r="W422" i="2"/>
  <c r="Z422" i="2" s="1"/>
  <c r="AA422" i="2" s="1"/>
  <c r="W423" i="2"/>
  <c r="Z423" i="2" s="1"/>
  <c r="AA423" i="2" s="1"/>
  <c r="W424" i="2"/>
  <c r="Z424" i="2" s="1"/>
  <c r="AA424" i="2" s="1"/>
  <c r="W425" i="2"/>
  <c r="Z425" i="2" s="1"/>
  <c r="AA425" i="2" s="1"/>
  <c r="W426" i="2"/>
  <c r="Z426" i="2" s="1"/>
  <c r="AA426" i="2" s="1"/>
  <c r="W427" i="2"/>
  <c r="Z427" i="2" s="1"/>
  <c r="W428" i="2"/>
  <c r="Z428" i="2" s="1"/>
  <c r="AA428" i="2" s="1"/>
  <c r="W429" i="2"/>
  <c r="Z429" i="2" s="1"/>
  <c r="AA429" i="2" s="1"/>
  <c r="W430" i="2"/>
  <c r="Z430" i="2" s="1"/>
  <c r="AA430" i="2" s="1"/>
  <c r="W431" i="2"/>
  <c r="Z431" i="2" s="1"/>
  <c r="AA431" i="2" s="1"/>
  <c r="W432" i="2"/>
  <c r="Z432" i="2" s="1"/>
  <c r="AA432" i="2" s="1"/>
  <c r="W433" i="2"/>
  <c r="Z433" i="2" s="1"/>
  <c r="W434" i="2"/>
  <c r="Z434" i="2" s="1"/>
  <c r="AA434" i="2" s="1"/>
  <c r="W435" i="2"/>
  <c r="Z435" i="2" s="1"/>
  <c r="AA435" i="2" s="1"/>
  <c r="W436" i="2"/>
  <c r="Z436" i="2" s="1"/>
  <c r="AA436" i="2" s="1"/>
  <c r="W437" i="2"/>
  <c r="Z437" i="2" s="1"/>
  <c r="W438" i="2"/>
  <c r="Z438" i="2" s="1"/>
  <c r="AA438" i="2" s="1"/>
  <c r="W439" i="2"/>
  <c r="Z439" i="2" s="1"/>
  <c r="AA439" i="2" s="1"/>
  <c r="W440" i="2"/>
  <c r="Z440" i="2" s="1"/>
  <c r="AA440" i="2" s="1"/>
  <c r="W441" i="2"/>
  <c r="Z441" i="2" s="1"/>
  <c r="AA441" i="2" s="1"/>
  <c r="W442" i="2"/>
  <c r="Z442" i="2" s="1"/>
  <c r="AA442" i="2" s="1"/>
  <c r="W443" i="2"/>
  <c r="Z443" i="2" s="1"/>
  <c r="AA443" i="2" s="1"/>
  <c r="W444" i="2"/>
  <c r="Z444" i="2" s="1"/>
  <c r="AA444" i="2" s="1"/>
  <c r="W445" i="2"/>
  <c r="Z445" i="2" s="1"/>
  <c r="AA445" i="2" s="1"/>
  <c r="W446" i="2"/>
  <c r="Z446" i="2" s="1"/>
  <c r="AA446" i="2" s="1"/>
  <c r="W447" i="2"/>
  <c r="Z447" i="2" s="1"/>
  <c r="AA447" i="2" s="1"/>
  <c r="W448" i="2"/>
  <c r="Z448" i="2" s="1"/>
  <c r="AA448" i="2" s="1"/>
  <c r="W449" i="2"/>
  <c r="Z449" i="2" s="1"/>
  <c r="W450" i="2"/>
  <c r="Z450" i="2" s="1"/>
  <c r="AA450" i="2" s="1"/>
  <c r="W451" i="2"/>
  <c r="Z451" i="2" s="1"/>
  <c r="AA451" i="2" s="1"/>
  <c r="W452" i="2"/>
  <c r="Z452" i="2" s="1"/>
  <c r="AA452" i="2" s="1"/>
  <c r="W453" i="2"/>
  <c r="Z453" i="2" s="1"/>
  <c r="W454" i="2"/>
  <c r="Z454" i="2" s="1"/>
  <c r="AA454" i="2" s="1"/>
  <c r="W455" i="2"/>
  <c r="Z455" i="2" s="1"/>
  <c r="AA455" i="2" s="1"/>
  <c r="W456" i="2"/>
  <c r="Z456" i="2" s="1"/>
  <c r="AA456" i="2" s="1"/>
  <c r="W457" i="2"/>
  <c r="Z457" i="2" s="1"/>
  <c r="AA457" i="2" s="1"/>
  <c r="W458" i="2"/>
  <c r="Z458" i="2" s="1"/>
  <c r="AA458" i="2" s="1"/>
  <c r="W459" i="2"/>
  <c r="Z459" i="2" s="1"/>
  <c r="W460" i="2"/>
  <c r="Z460" i="2" s="1"/>
  <c r="AA460" i="2" s="1"/>
  <c r="W461" i="2"/>
  <c r="Z461" i="2" s="1"/>
  <c r="AA461" i="2" s="1"/>
  <c r="W462" i="2"/>
  <c r="Z462" i="2" s="1"/>
  <c r="AA462" i="2" s="1"/>
  <c r="W463" i="2"/>
  <c r="Z463" i="2" s="1"/>
  <c r="W464" i="2"/>
  <c r="Z464" i="2" s="1"/>
  <c r="AA464" i="2" s="1"/>
  <c r="W465" i="2"/>
  <c r="Z465" i="2" s="1"/>
  <c r="W466" i="2"/>
  <c r="Z466" i="2" s="1"/>
  <c r="AA466" i="2" s="1"/>
  <c r="W467" i="2"/>
  <c r="Z467" i="2" s="1"/>
  <c r="AA467" i="2" s="1"/>
  <c r="W468" i="2"/>
  <c r="Z468" i="2" s="1"/>
  <c r="AA468" i="2" s="1"/>
  <c r="W469" i="2"/>
  <c r="Z469" i="2" s="1"/>
  <c r="W470" i="2"/>
  <c r="Z470" i="2" s="1"/>
  <c r="AA470" i="2" s="1"/>
  <c r="W471" i="2"/>
  <c r="Z471" i="2" s="1"/>
  <c r="AA471" i="2" s="1"/>
  <c r="W472" i="2"/>
  <c r="Z472" i="2" s="1"/>
  <c r="AA472" i="2" s="1"/>
  <c r="W473" i="2"/>
  <c r="Z473" i="2" s="1"/>
  <c r="AA473" i="2" s="1"/>
  <c r="W474" i="2"/>
  <c r="Z474" i="2" s="1"/>
  <c r="AA474" i="2" s="1"/>
  <c r="W475" i="2"/>
  <c r="Z475" i="2" s="1"/>
  <c r="AA475" i="2" s="1"/>
  <c r="W476" i="2"/>
  <c r="Z476" i="2" s="1"/>
  <c r="AA476" i="2" s="1"/>
  <c r="W477" i="2"/>
  <c r="Z477" i="2" s="1"/>
  <c r="AA477" i="2" s="1"/>
  <c r="W478" i="2"/>
  <c r="Z478" i="2" s="1"/>
  <c r="AA478" i="2" s="1"/>
  <c r="W479" i="2"/>
  <c r="Z479" i="2" s="1"/>
  <c r="AA479" i="2" s="1"/>
  <c r="W480" i="2"/>
  <c r="Z480" i="2" s="1"/>
  <c r="AA480" i="2" s="1"/>
  <c r="W481" i="2"/>
  <c r="Z481" i="2" s="1"/>
  <c r="W482" i="2"/>
  <c r="Z482" i="2" s="1"/>
  <c r="AA482" i="2" s="1"/>
  <c r="W483" i="2"/>
  <c r="Z483" i="2" s="1"/>
  <c r="AA483" i="2" s="1"/>
  <c r="W484" i="2"/>
  <c r="Z484" i="2" s="1"/>
  <c r="AA484" i="2" s="1"/>
  <c r="W485" i="2"/>
  <c r="Z485" i="2" s="1"/>
  <c r="W486" i="2"/>
  <c r="Z486" i="2" s="1"/>
  <c r="AA486" i="2" s="1"/>
  <c r="W487" i="2"/>
  <c r="Z487" i="2" s="1"/>
  <c r="AA487" i="2" s="1"/>
  <c r="W488" i="2"/>
  <c r="Z488" i="2" s="1"/>
  <c r="AA488" i="2" s="1"/>
  <c r="W489" i="2"/>
  <c r="Z489" i="2" s="1"/>
  <c r="AA489" i="2" s="1"/>
  <c r="W490" i="2"/>
  <c r="Z490" i="2" s="1"/>
  <c r="AA490" i="2" s="1"/>
  <c r="W491" i="2"/>
  <c r="Z491" i="2" s="1"/>
  <c r="W492" i="2"/>
  <c r="Z492" i="2" s="1"/>
  <c r="AA492" i="2" s="1"/>
  <c r="W493" i="2"/>
  <c r="Z493" i="2" s="1"/>
  <c r="AA493" i="2" s="1"/>
  <c r="W494" i="2"/>
  <c r="Z494" i="2" s="1"/>
  <c r="AA494" i="2" s="1"/>
  <c r="W495" i="2"/>
  <c r="Z495" i="2" s="1"/>
  <c r="W496" i="2"/>
  <c r="Z496" i="2" s="1"/>
  <c r="AA496" i="2" s="1"/>
  <c r="W497" i="2"/>
  <c r="Z497" i="2" s="1"/>
  <c r="W498" i="2"/>
  <c r="Z498" i="2" s="1"/>
  <c r="AA498" i="2" s="1"/>
  <c r="W499" i="2"/>
  <c r="Z499" i="2" s="1"/>
  <c r="AA499" i="2" s="1"/>
  <c r="W500" i="2"/>
  <c r="Z500" i="2" s="1"/>
  <c r="AA500" i="2" s="1"/>
  <c r="W501" i="2"/>
  <c r="Z501" i="2" s="1"/>
  <c r="W502" i="2"/>
  <c r="Z502" i="2" s="1"/>
  <c r="AA502" i="2" s="1"/>
  <c r="W503" i="2"/>
  <c r="Z503" i="2" s="1"/>
  <c r="AA503" i="2" s="1"/>
  <c r="W504" i="2"/>
  <c r="Z504" i="2" s="1"/>
  <c r="AA504" i="2" s="1"/>
  <c r="W505" i="2"/>
  <c r="Z505" i="2" s="1"/>
  <c r="AA505" i="2" s="1"/>
  <c r="W506" i="2"/>
  <c r="Z506" i="2" s="1"/>
  <c r="AA506" i="2" s="1"/>
  <c r="W507" i="2"/>
  <c r="Z507" i="2" s="1"/>
  <c r="AA507" i="2" s="1"/>
  <c r="W508" i="2"/>
  <c r="Z508" i="2" s="1"/>
  <c r="AA508" i="2" s="1"/>
  <c r="W509" i="2"/>
  <c r="Z509" i="2" s="1"/>
  <c r="AA509" i="2" s="1"/>
  <c r="W510" i="2"/>
  <c r="Z510" i="2" s="1"/>
  <c r="AA510" i="2" s="1"/>
  <c r="W511" i="2"/>
  <c r="Z511" i="2" s="1"/>
  <c r="AA511" i="2" s="1"/>
  <c r="W512" i="2"/>
  <c r="Z512" i="2" s="1"/>
  <c r="AA512" i="2" s="1"/>
  <c r="W513" i="2"/>
  <c r="Z513" i="2" s="1"/>
  <c r="W514" i="2"/>
  <c r="Z514" i="2" s="1"/>
  <c r="AA514" i="2" s="1"/>
  <c r="W515" i="2"/>
  <c r="Z515" i="2" s="1"/>
  <c r="AA515" i="2" s="1"/>
  <c r="W516" i="2"/>
  <c r="Z516" i="2" s="1"/>
  <c r="AA516" i="2" s="1"/>
  <c r="W517" i="2"/>
  <c r="Z517" i="2" s="1"/>
  <c r="W518" i="2"/>
  <c r="Z518" i="2" s="1"/>
  <c r="AA518" i="2" s="1"/>
  <c r="W519" i="2"/>
  <c r="Z519" i="2" s="1"/>
  <c r="AA519" i="2" s="1"/>
  <c r="W520" i="2"/>
  <c r="Z520" i="2" s="1"/>
  <c r="AA520" i="2" s="1"/>
  <c r="W521" i="2"/>
  <c r="Z521" i="2" s="1"/>
  <c r="AA521" i="2" s="1"/>
  <c r="W522" i="2"/>
  <c r="Z522" i="2" s="1"/>
  <c r="AA522" i="2" s="1"/>
  <c r="W523" i="2"/>
  <c r="Z523" i="2" s="1"/>
  <c r="W524" i="2"/>
  <c r="Z524" i="2" s="1"/>
  <c r="AA524" i="2" s="1"/>
  <c r="W525" i="2"/>
  <c r="Z525" i="2" s="1"/>
  <c r="AA525" i="2" s="1"/>
  <c r="W526" i="2"/>
  <c r="Z526" i="2" s="1"/>
  <c r="AA526" i="2" s="1"/>
  <c r="W527" i="2"/>
  <c r="Z527" i="2" s="1"/>
  <c r="W528" i="2"/>
  <c r="Z528" i="2" s="1"/>
  <c r="AA528" i="2" s="1"/>
  <c r="W529" i="2"/>
  <c r="Z529" i="2" s="1"/>
  <c r="W530" i="2"/>
  <c r="Z530" i="2" s="1"/>
  <c r="AA530" i="2" s="1"/>
  <c r="W531" i="2"/>
  <c r="Z531" i="2" s="1"/>
  <c r="AA531" i="2" s="1"/>
  <c r="W532" i="2"/>
  <c r="Z532" i="2" s="1"/>
  <c r="AA532" i="2" s="1"/>
  <c r="W533" i="2"/>
  <c r="Z533" i="2" s="1"/>
  <c r="W534" i="2"/>
  <c r="Z534" i="2" s="1"/>
  <c r="AA534" i="2" s="1"/>
  <c r="W535" i="2"/>
  <c r="Z535" i="2" s="1"/>
  <c r="AA535" i="2" s="1"/>
  <c r="W536" i="2"/>
  <c r="Z536" i="2" s="1"/>
  <c r="AA536" i="2" s="1"/>
  <c r="W537" i="2"/>
  <c r="Z537" i="2" s="1"/>
  <c r="AA537" i="2" s="1"/>
  <c r="W538" i="2"/>
  <c r="Z538" i="2" s="1"/>
  <c r="AA538" i="2" s="1"/>
  <c r="W539" i="2"/>
  <c r="Z539" i="2" s="1"/>
  <c r="AA539" i="2" s="1"/>
  <c r="W540" i="2"/>
  <c r="Z540" i="2" s="1"/>
  <c r="AA540" i="2" s="1"/>
  <c r="W541" i="2"/>
  <c r="Z541" i="2" s="1"/>
  <c r="AA541" i="2" s="1"/>
  <c r="W542" i="2"/>
  <c r="Z542" i="2" s="1"/>
  <c r="AA542" i="2" s="1"/>
  <c r="W543" i="2"/>
  <c r="Z543" i="2" s="1"/>
  <c r="AA543" i="2" s="1"/>
  <c r="W544" i="2"/>
  <c r="Z544" i="2" s="1"/>
  <c r="AA544" i="2" s="1"/>
  <c r="W545" i="2"/>
  <c r="Z545" i="2" s="1"/>
  <c r="W546" i="2"/>
  <c r="Z546" i="2" s="1"/>
  <c r="AA546" i="2" s="1"/>
  <c r="W547" i="2"/>
  <c r="Z547" i="2" s="1"/>
  <c r="AA547" i="2" s="1"/>
  <c r="W548" i="2"/>
  <c r="Z548" i="2" s="1"/>
  <c r="AA548" i="2" s="1"/>
  <c r="W549" i="2"/>
  <c r="Z549" i="2" s="1"/>
  <c r="W550" i="2"/>
  <c r="Z550" i="2" s="1"/>
  <c r="AA550" i="2" s="1"/>
  <c r="W551" i="2"/>
  <c r="Z551" i="2" s="1"/>
  <c r="AA551" i="2" s="1"/>
  <c r="W552" i="2"/>
  <c r="Z552" i="2" s="1"/>
  <c r="AA552" i="2" s="1"/>
  <c r="W553" i="2"/>
  <c r="Z553" i="2" s="1"/>
  <c r="AA553" i="2" s="1"/>
  <c r="W554" i="2"/>
  <c r="Z554" i="2" s="1"/>
  <c r="AA554" i="2" s="1"/>
  <c r="W555" i="2"/>
  <c r="Z555" i="2" s="1"/>
  <c r="W556" i="2"/>
  <c r="Z556" i="2" s="1"/>
  <c r="AA556" i="2" s="1"/>
  <c r="W557" i="2"/>
  <c r="Z557" i="2" s="1"/>
  <c r="AA557" i="2" s="1"/>
  <c r="W558" i="2"/>
  <c r="Z558" i="2" s="1"/>
  <c r="AA558" i="2" s="1"/>
  <c r="W559" i="2"/>
  <c r="Z559" i="2" s="1"/>
  <c r="W560" i="2"/>
  <c r="Z560" i="2" s="1"/>
  <c r="AA560" i="2" s="1"/>
  <c r="W561" i="2"/>
  <c r="Z561" i="2" s="1"/>
  <c r="W562" i="2"/>
  <c r="Z562" i="2" s="1"/>
  <c r="AA562" i="2" s="1"/>
  <c r="W563" i="2"/>
  <c r="Z563" i="2" s="1"/>
  <c r="AA563" i="2" s="1"/>
  <c r="W564" i="2"/>
  <c r="Z564" i="2" s="1"/>
  <c r="AA564" i="2" s="1"/>
  <c r="W565" i="2"/>
  <c r="Z565" i="2" s="1"/>
  <c r="AA565" i="2" s="1"/>
  <c r="W566" i="2"/>
  <c r="Z566" i="2" s="1"/>
  <c r="AA566" i="2" s="1"/>
  <c r="W567" i="2"/>
  <c r="Z567" i="2" s="1"/>
  <c r="AA567" i="2" s="1"/>
  <c r="W568" i="2"/>
  <c r="Z568" i="2" s="1"/>
  <c r="AA568" i="2" s="1"/>
  <c r="W569" i="2"/>
  <c r="Z569" i="2" s="1"/>
  <c r="AA569" i="2" s="1"/>
  <c r="W570" i="2"/>
  <c r="Z570" i="2" s="1"/>
  <c r="AA570" i="2" s="1"/>
  <c r="W571" i="2"/>
  <c r="Z571" i="2" s="1"/>
  <c r="AA571" i="2" s="1"/>
  <c r="W572" i="2"/>
  <c r="Z572" i="2" s="1"/>
  <c r="AA572" i="2" s="1"/>
  <c r="W573" i="2"/>
  <c r="Z573" i="2" s="1"/>
  <c r="AA573" i="2" s="1"/>
  <c r="W574" i="2"/>
  <c r="Z574" i="2" s="1"/>
  <c r="AA574" i="2" s="1"/>
  <c r="W575" i="2"/>
  <c r="Z575" i="2" s="1"/>
  <c r="AA575" i="2" s="1"/>
  <c r="W576" i="2"/>
  <c r="Z576" i="2" s="1"/>
  <c r="AA576" i="2" s="1"/>
  <c r="W577" i="2"/>
  <c r="Z577" i="2" s="1"/>
  <c r="W578" i="2"/>
  <c r="Z578" i="2" s="1"/>
  <c r="AA578" i="2" s="1"/>
  <c r="W579" i="2"/>
  <c r="Z579" i="2" s="1"/>
  <c r="AA579" i="2" s="1"/>
  <c r="W580" i="2"/>
  <c r="Z580" i="2" s="1"/>
  <c r="AA580" i="2" s="1"/>
  <c r="W581" i="2"/>
  <c r="W582" i="2"/>
  <c r="Z582" i="2" s="1"/>
  <c r="AA582" i="2" s="1"/>
  <c r="W583" i="2"/>
  <c r="Z583" i="2" s="1"/>
  <c r="AA583" i="2" s="1"/>
  <c r="W584" i="2"/>
  <c r="Z584" i="2" s="1"/>
  <c r="AA584" i="2" s="1"/>
  <c r="W585" i="2"/>
  <c r="Z585" i="2" s="1"/>
  <c r="AA585" i="2" s="1"/>
  <c r="W586" i="2"/>
  <c r="Z586" i="2" s="1"/>
  <c r="AA586" i="2" s="1"/>
  <c r="W587" i="2"/>
  <c r="Z587" i="2" s="1"/>
  <c r="W588" i="2"/>
  <c r="Z588" i="2" s="1"/>
  <c r="AA588" i="2" s="1"/>
  <c r="W589" i="2"/>
  <c r="Z589" i="2" s="1"/>
  <c r="AA589" i="2" s="1"/>
  <c r="W590" i="2"/>
  <c r="Z590" i="2" s="1"/>
  <c r="AA590" i="2" s="1"/>
  <c r="W591" i="2"/>
  <c r="Z591" i="2" s="1"/>
  <c r="W592" i="2"/>
  <c r="Z592" i="2" s="1"/>
  <c r="AA592" i="2" s="1"/>
  <c r="W593" i="2"/>
  <c r="Z593" i="2" s="1"/>
  <c r="W594" i="2"/>
  <c r="Z594" i="2" s="1"/>
  <c r="AA594" i="2" s="1"/>
  <c r="W595" i="2"/>
  <c r="Z595" i="2" s="1"/>
  <c r="AA595" i="2" s="1"/>
  <c r="W596" i="2"/>
  <c r="Z596" i="2" s="1"/>
  <c r="AA596" i="2" s="1"/>
  <c r="W597" i="2"/>
  <c r="W598" i="2"/>
  <c r="Z598" i="2" s="1"/>
  <c r="AA598" i="2" s="1"/>
  <c r="W599" i="2"/>
  <c r="Z599" i="2" s="1"/>
  <c r="AA599" i="2" s="1"/>
  <c r="W600" i="2"/>
  <c r="Z600" i="2" s="1"/>
  <c r="AA600" i="2" s="1"/>
  <c r="W601" i="2"/>
  <c r="Z601" i="2" s="1"/>
  <c r="AA601" i="2" s="1"/>
  <c r="W602" i="2"/>
  <c r="Z602" i="2" s="1"/>
  <c r="AA602" i="2" s="1"/>
  <c r="W603" i="2"/>
  <c r="Z603" i="2" s="1"/>
  <c r="AA603" i="2" s="1"/>
  <c r="W604" i="2"/>
  <c r="Z604" i="2" s="1"/>
  <c r="AA604" i="2" s="1"/>
  <c r="W605" i="2"/>
  <c r="Z605" i="2" s="1"/>
  <c r="AA605" i="2" s="1"/>
  <c r="W606" i="2"/>
  <c r="Z606" i="2" s="1"/>
  <c r="AA606" i="2" s="1"/>
  <c r="W607" i="2"/>
  <c r="Z607" i="2" s="1"/>
  <c r="AA607" i="2" s="1"/>
  <c r="W608" i="2"/>
  <c r="Z608" i="2" s="1"/>
  <c r="AA608" i="2" s="1"/>
  <c r="W609" i="2"/>
  <c r="Z609" i="2" s="1"/>
  <c r="W610" i="2"/>
  <c r="Z610" i="2" s="1"/>
  <c r="AA610" i="2" s="1"/>
  <c r="W611" i="2"/>
  <c r="Z611" i="2" s="1"/>
  <c r="AA611" i="2" s="1"/>
  <c r="W612" i="2"/>
  <c r="Z612" i="2" s="1"/>
  <c r="AA612" i="2" s="1"/>
  <c r="W613" i="2"/>
  <c r="Z613" i="2" s="1"/>
  <c r="W614" i="2"/>
  <c r="Z614" i="2" s="1"/>
  <c r="AA614" i="2" s="1"/>
  <c r="W615" i="2"/>
  <c r="Z615" i="2" s="1"/>
  <c r="AA615" i="2" s="1"/>
  <c r="W616" i="2"/>
  <c r="Z616" i="2" s="1"/>
  <c r="AA616" i="2" s="1"/>
  <c r="W617" i="2"/>
  <c r="Z617" i="2" s="1"/>
  <c r="AA617" i="2" s="1"/>
  <c r="W618" i="2"/>
  <c r="Z618" i="2" s="1"/>
  <c r="AA618" i="2" s="1"/>
  <c r="W619" i="2"/>
  <c r="Z619" i="2" s="1"/>
  <c r="W620" i="2"/>
  <c r="Z620" i="2" s="1"/>
  <c r="AA620" i="2" s="1"/>
  <c r="W621" i="2"/>
  <c r="Z621" i="2" s="1"/>
  <c r="AA621" i="2" s="1"/>
  <c r="W622" i="2"/>
  <c r="Z622" i="2" s="1"/>
  <c r="AA622" i="2" s="1"/>
  <c r="W623" i="2"/>
  <c r="Z623" i="2" s="1"/>
  <c r="W624" i="2"/>
  <c r="Z624" i="2" s="1"/>
  <c r="AA624" i="2" s="1"/>
  <c r="W625" i="2"/>
  <c r="Z625" i="2" s="1"/>
  <c r="W626" i="2"/>
  <c r="Z626" i="2" s="1"/>
  <c r="AA626" i="2" s="1"/>
  <c r="W627" i="2"/>
  <c r="Z627" i="2" s="1"/>
  <c r="AA627" i="2" s="1"/>
  <c r="W628" i="2"/>
  <c r="Z628" i="2" s="1"/>
  <c r="AA628" i="2" s="1"/>
  <c r="W629" i="2"/>
  <c r="Z629" i="2" s="1"/>
  <c r="AA629" i="2" s="1"/>
  <c r="W630" i="2"/>
  <c r="Z630" i="2" s="1"/>
  <c r="AA630" i="2" s="1"/>
  <c r="W631" i="2"/>
  <c r="Z631" i="2" s="1"/>
  <c r="AA631" i="2" s="1"/>
  <c r="W632" i="2"/>
  <c r="Z632" i="2" s="1"/>
  <c r="AA632" i="2" s="1"/>
  <c r="W633" i="2"/>
  <c r="Z633" i="2" s="1"/>
  <c r="AA633" i="2" s="1"/>
  <c r="W634" i="2"/>
  <c r="Z634" i="2" s="1"/>
  <c r="AA634" i="2" s="1"/>
  <c r="W635" i="2"/>
  <c r="Z635" i="2" s="1"/>
  <c r="AA635" i="2" s="1"/>
  <c r="W636" i="2"/>
  <c r="Z636" i="2" s="1"/>
  <c r="AA636" i="2" s="1"/>
  <c r="W637" i="2"/>
  <c r="Z637" i="2" s="1"/>
  <c r="AA637" i="2" s="1"/>
  <c r="W638" i="2"/>
  <c r="Z638" i="2" s="1"/>
  <c r="AA638" i="2" s="1"/>
  <c r="W639" i="2"/>
  <c r="Z639" i="2" s="1"/>
  <c r="AA639" i="2" s="1"/>
  <c r="W640" i="2"/>
  <c r="Z640" i="2" s="1"/>
  <c r="AA640" i="2" s="1"/>
  <c r="W641" i="2"/>
  <c r="Z641" i="2" s="1"/>
  <c r="W642" i="2"/>
  <c r="Z642" i="2" s="1"/>
  <c r="AA642" i="2" s="1"/>
  <c r="W643" i="2"/>
  <c r="Z643" i="2" s="1"/>
  <c r="AA643" i="2" s="1"/>
  <c r="W644" i="2"/>
  <c r="Z644" i="2" s="1"/>
  <c r="AA644" i="2" s="1"/>
  <c r="W645" i="2"/>
  <c r="W646" i="2"/>
  <c r="Z646" i="2" s="1"/>
  <c r="AA646" i="2" s="1"/>
  <c r="W647" i="2"/>
  <c r="Z647" i="2" s="1"/>
  <c r="AA647" i="2" s="1"/>
  <c r="W648" i="2"/>
  <c r="Z648" i="2" s="1"/>
  <c r="AA648" i="2" s="1"/>
  <c r="W649" i="2"/>
  <c r="Z649" i="2" s="1"/>
  <c r="AA649" i="2" s="1"/>
  <c r="W650" i="2"/>
  <c r="Z650" i="2" s="1"/>
  <c r="AA650" i="2" s="1"/>
  <c r="W651" i="2"/>
  <c r="Z651" i="2" s="1"/>
  <c r="W652" i="2"/>
  <c r="Z652" i="2" s="1"/>
  <c r="AA652" i="2" s="1"/>
  <c r="W653" i="2"/>
  <c r="Z653" i="2" s="1"/>
  <c r="AA653" i="2" s="1"/>
  <c r="W654" i="2"/>
  <c r="Z654" i="2" s="1"/>
  <c r="AA654" i="2" s="1"/>
  <c r="W655" i="2"/>
  <c r="Z655" i="2" s="1"/>
  <c r="W656" i="2"/>
  <c r="Z656" i="2" s="1"/>
  <c r="AA656" i="2" s="1"/>
  <c r="W657" i="2"/>
  <c r="Z657" i="2" s="1"/>
  <c r="W658" i="2"/>
  <c r="Z658" i="2" s="1"/>
  <c r="AA658" i="2" s="1"/>
  <c r="W659" i="2"/>
  <c r="Z659" i="2" s="1"/>
  <c r="AA659" i="2" s="1"/>
  <c r="W660" i="2"/>
  <c r="Z660" i="2" s="1"/>
  <c r="AA660" i="2" s="1"/>
  <c r="W661" i="2"/>
  <c r="W662" i="2"/>
  <c r="Z662" i="2" s="1"/>
  <c r="AA662" i="2" s="1"/>
  <c r="W663" i="2"/>
  <c r="Z663" i="2" s="1"/>
  <c r="AA663" i="2" s="1"/>
  <c r="W664" i="2"/>
  <c r="Z664" i="2" s="1"/>
  <c r="AA664" i="2" s="1"/>
  <c r="W665" i="2"/>
  <c r="Z665" i="2" s="1"/>
  <c r="AA665" i="2" s="1"/>
  <c r="W666" i="2"/>
  <c r="Z666" i="2" s="1"/>
  <c r="AA666" i="2" s="1"/>
  <c r="W667" i="2"/>
  <c r="Z667" i="2" s="1"/>
  <c r="AA667" i="2" s="1"/>
  <c r="W668" i="2"/>
  <c r="Z668" i="2" s="1"/>
  <c r="AA668" i="2" s="1"/>
  <c r="W669" i="2"/>
  <c r="Z669" i="2" s="1"/>
  <c r="AA669" i="2" s="1"/>
  <c r="W670" i="2"/>
  <c r="Z670" i="2" s="1"/>
  <c r="AA670" i="2" s="1"/>
  <c r="W671" i="2"/>
  <c r="Z671" i="2" s="1"/>
  <c r="AA671" i="2" s="1"/>
  <c r="W672" i="2"/>
  <c r="Z672" i="2" s="1"/>
  <c r="AA672" i="2" s="1"/>
  <c r="W673" i="2"/>
  <c r="Z673" i="2" s="1"/>
  <c r="W674" i="2"/>
  <c r="Z674" i="2" s="1"/>
  <c r="AA674" i="2" s="1"/>
  <c r="W675" i="2"/>
  <c r="Z675" i="2" s="1"/>
  <c r="AA675" i="2" s="1"/>
  <c r="W676" i="2"/>
  <c r="Z676" i="2" s="1"/>
  <c r="AA676" i="2" s="1"/>
  <c r="W677" i="2"/>
  <c r="Z677" i="2" s="1"/>
  <c r="W678" i="2"/>
  <c r="Z678" i="2" s="1"/>
  <c r="AA678" i="2" s="1"/>
  <c r="W679" i="2"/>
  <c r="Z679" i="2" s="1"/>
  <c r="AA679" i="2" s="1"/>
  <c r="W680" i="2"/>
  <c r="Z680" i="2" s="1"/>
  <c r="AA680" i="2" s="1"/>
  <c r="W681" i="2"/>
  <c r="Z681" i="2" s="1"/>
  <c r="AA681" i="2" s="1"/>
  <c r="W682" i="2"/>
  <c r="Z682" i="2" s="1"/>
  <c r="AA682" i="2" s="1"/>
  <c r="W683" i="2"/>
  <c r="Z683" i="2" s="1"/>
  <c r="AA683" i="2" s="1"/>
  <c r="W684" i="2"/>
  <c r="Z684" i="2" s="1"/>
  <c r="AA684" i="2" s="1"/>
  <c r="W685" i="2"/>
  <c r="Z685" i="2" s="1"/>
  <c r="AA685" i="2" s="1"/>
  <c r="W686" i="2"/>
  <c r="Z686" i="2" s="1"/>
  <c r="AA686" i="2" s="1"/>
  <c r="W687" i="2"/>
  <c r="Z687" i="2" s="1"/>
  <c r="W688" i="2"/>
  <c r="Z688" i="2" s="1"/>
  <c r="AA688" i="2" s="1"/>
  <c r="W689" i="2"/>
  <c r="Z689" i="2" s="1"/>
  <c r="W690" i="2"/>
  <c r="Z690" i="2" s="1"/>
  <c r="AA690" i="2" s="1"/>
  <c r="W691" i="2"/>
  <c r="Z691" i="2" s="1"/>
  <c r="AA691" i="2" s="1"/>
  <c r="W692" i="2"/>
  <c r="Z692" i="2" s="1"/>
  <c r="AA692" i="2" s="1"/>
  <c r="W693" i="2"/>
  <c r="Z693" i="2" s="1"/>
  <c r="AA693" i="2" s="1"/>
  <c r="W694" i="2"/>
  <c r="Z694" i="2" s="1"/>
  <c r="AA694" i="2" s="1"/>
  <c r="W695" i="2"/>
  <c r="Z695" i="2" s="1"/>
  <c r="AA695" i="2" s="1"/>
  <c r="W696" i="2"/>
  <c r="Z696" i="2" s="1"/>
  <c r="AA696" i="2" s="1"/>
  <c r="W697" i="2"/>
  <c r="Z697" i="2" s="1"/>
  <c r="AA697" i="2" s="1"/>
  <c r="W698" i="2"/>
  <c r="Z698" i="2" s="1"/>
  <c r="AA698" i="2" s="1"/>
  <c r="W699" i="2"/>
  <c r="Z699" i="2" s="1"/>
  <c r="AA699" i="2" s="1"/>
  <c r="W700" i="2"/>
  <c r="Z700" i="2" s="1"/>
  <c r="AA700" i="2" s="1"/>
  <c r="W701" i="2"/>
  <c r="Z701" i="2" s="1"/>
  <c r="AA701" i="2" s="1"/>
  <c r="W702" i="2"/>
  <c r="Z702" i="2" s="1"/>
  <c r="AA702" i="2" s="1"/>
  <c r="W703" i="2"/>
  <c r="Z703" i="2" s="1"/>
  <c r="AA703" i="2" s="1"/>
  <c r="W704" i="2"/>
  <c r="Z704" i="2" s="1"/>
  <c r="AA704" i="2" s="1"/>
  <c r="W705" i="2"/>
  <c r="Z705" i="2" s="1"/>
  <c r="W706" i="2"/>
  <c r="Z706" i="2" s="1"/>
  <c r="AA706" i="2" s="1"/>
  <c r="W707" i="2"/>
  <c r="Z707" i="2" s="1"/>
  <c r="AA707" i="2" s="1"/>
  <c r="W708" i="2"/>
  <c r="Z708" i="2" s="1"/>
  <c r="AA708" i="2" s="1"/>
  <c r="W709" i="2"/>
  <c r="W710" i="2"/>
  <c r="Z710" i="2" s="1"/>
  <c r="AA710" i="2" s="1"/>
  <c r="W711" i="2"/>
  <c r="Z711" i="2" s="1"/>
  <c r="AA711" i="2" s="1"/>
  <c r="W712" i="2"/>
  <c r="Z712" i="2" s="1"/>
  <c r="AA712" i="2" s="1"/>
  <c r="W713" i="2"/>
  <c r="Z713" i="2" s="1"/>
  <c r="AA713" i="2" s="1"/>
  <c r="W714" i="2"/>
  <c r="Z714" i="2" s="1"/>
  <c r="AA714" i="2" s="1"/>
  <c r="W715" i="2"/>
  <c r="Z715" i="2" s="1"/>
  <c r="AA715" i="2" s="1"/>
  <c r="W716" i="2"/>
  <c r="Z716" i="2" s="1"/>
  <c r="AA716" i="2" s="1"/>
  <c r="W717" i="2"/>
  <c r="Z717" i="2" s="1"/>
  <c r="AA717" i="2" s="1"/>
  <c r="W718" i="2"/>
  <c r="Z718" i="2" s="1"/>
  <c r="AA718" i="2" s="1"/>
  <c r="W719" i="2"/>
  <c r="Z719" i="2" s="1"/>
  <c r="W720" i="2"/>
  <c r="Z720" i="2" s="1"/>
  <c r="AA720" i="2" s="1"/>
  <c r="W721" i="2"/>
  <c r="Z721" i="2" s="1"/>
  <c r="W722" i="2"/>
  <c r="Z722" i="2" s="1"/>
  <c r="AA722" i="2" s="1"/>
  <c r="W723" i="2"/>
  <c r="Z723" i="2" s="1"/>
  <c r="AA723" i="2" s="1"/>
  <c r="W724" i="2"/>
  <c r="Z724" i="2" s="1"/>
  <c r="AA724" i="2" s="1"/>
  <c r="W725" i="2"/>
  <c r="W726" i="2"/>
  <c r="Z726" i="2" s="1"/>
  <c r="AA726" i="2" s="1"/>
  <c r="W727" i="2"/>
  <c r="Z727" i="2" s="1"/>
  <c r="AA727" i="2" s="1"/>
  <c r="W728" i="2"/>
  <c r="Z728" i="2" s="1"/>
  <c r="AA728" i="2" s="1"/>
  <c r="W729" i="2"/>
  <c r="Z729" i="2" s="1"/>
  <c r="AA729" i="2" s="1"/>
  <c r="W730" i="2"/>
  <c r="Z730" i="2" s="1"/>
  <c r="AA730" i="2" s="1"/>
  <c r="W731" i="2"/>
  <c r="Z731" i="2" s="1"/>
  <c r="AA731" i="2" s="1"/>
  <c r="W732" i="2"/>
  <c r="Z732" i="2" s="1"/>
  <c r="AA732" i="2" s="1"/>
  <c r="W733" i="2"/>
  <c r="Z733" i="2" s="1"/>
  <c r="AA733" i="2" s="1"/>
  <c r="W734" i="2"/>
  <c r="Z734" i="2" s="1"/>
  <c r="AA734" i="2" s="1"/>
  <c r="W735" i="2"/>
  <c r="Z735" i="2" s="1"/>
  <c r="AA735" i="2" s="1"/>
  <c r="W736" i="2"/>
  <c r="Z736" i="2" s="1"/>
  <c r="AA736" i="2" s="1"/>
  <c r="W737" i="2"/>
  <c r="Z737" i="2" s="1"/>
  <c r="W738" i="2"/>
  <c r="Z738" i="2" s="1"/>
  <c r="AA738" i="2" s="1"/>
  <c r="W739" i="2"/>
  <c r="Z739" i="2" s="1"/>
  <c r="AA739" i="2" s="1"/>
  <c r="W740" i="2"/>
  <c r="Z740" i="2" s="1"/>
  <c r="AA740" i="2" s="1"/>
  <c r="W741" i="2"/>
  <c r="Z741" i="2" s="1"/>
  <c r="W742" i="2"/>
  <c r="Z742" i="2" s="1"/>
  <c r="AA742" i="2" s="1"/>
  <c r="W743" i="2"/>
  <c r="Z743" i="2" s="1"/>
  <c r="AA743" i="2" s="1"/>
  <c r="W744" i="2"/>
  <c r="Z744" i="2" s="1"/>
  <c r="AA744" i="2" s="1"/>
  <c r="W745" i="2"/>
  <c r="Z745" i="2" s="1"/>
  <c r="AA745" i="2" s="1"/>
  <c r="W746" i="2"/>
  <c r="Z746" i="2" s="1"/>
  <c r="AA746" i="2" s="1"/>
  <c r="W747" i="2"/>
  <c r="Z747" i="2" s="1"/>
  <c r="AA747" i="2" s="1"/>
  <c r="W748" i="2"/>
  <c r="Z748" i="2" s="1"/>
  <c r="AA748" i="2" s="1"/>
  <c r="W749" i="2"/>
  <c r="Z749" i="2" s="1"/>
  <c r="AA749" i="2" s="1"/>
  <c r="W750" i="2"/>
  <c r="Z750" i="2" s="1"/>
  <c r="AA750" i="2" s="1"/>
  <c r="W751" i="2"/>
  <c r="Z751" i="2" s="1"/>
  <c r="W752" i="2"/>
  <c r="Z752" i="2" s="1"/>
  <c r="AA752" i="2" s="1"/>
  <c r="W753" i="2"/>
  <c r="Z753" i="2" s="1"/>
  <c r="W754" i="2"/>
  <c r="Z754" i="2" s="1"/>
  <c r="AA754" i="2" s="1"/>
  <c r="W755" i="2"/>
  <c r="Z755" i="2" s="1"/>
  <c r="AA755" i="2" s="1"/>
  <c r="W756" i="2"/>
  <c r="Z756" i="2" s="1"/>
  <c r="AA756" i="2" s="1"/>
  <c r="W757" i="2"/>
  <c r="Z757" i="2" s="1"/>
  <c r="AA757" i="2" s="1"/>
  <c r="W758" i="2"/>
  <c r="Z758" i="2" s="1"/>
  <c r="AA758" i="2" s="1"/>
  <c r="W759" i="2"/>
  <c r="Z759" i="2" s="1"/>
  <c r="AA759" i="2" s="1"/>
  <c r="W760" i="2"/>
  <c r="Z760" i="2" s="1"/>
  <c r="AA760" i="2" s="1"/>
  <c r="W761" i="2"/>
  <c r="Z761" i="2" s="1"/>
  <c r="AA761" i="2" s="1"/>
  <c r="W762" i="2"/>
  <c r="Z762" i="2" s="1"/>
  <c r="AA762" i="2" s="1"/>
  <c r="W763" i="2"/>
  <c r="Z763" i="2" s="1"/>
  <c r="AA763" i="2" s="1"/>
  <c r="W764" i="2"/>
  <c r="Z764" i="2" s="1"/>
  <c r="AA764" i="2" s="1"/>
  <c r="W765" i="2"/>
  <c r="Z765" i="2" s="1"/>
  <c r="AA765" i="2" s="1"/>
  <c r="W766" i="2"/>
  <c r="Z766" i="2" s="1"/>
  <c r="AA766" i="2" s="1"/>
  <c r="W767" i="2"/>
  <c r="Z767" i="2" s="1"/>
  <c r="AA767" i="2" s="1"/>
  <c r="W768" i="2"/>
  <c r="Z768" i="2" s="1"/>
  <c r="AA768" i="2" s="1"/>
  <c r="W769" i="2"/>
  <c r="Z769" i="2" s="1"/>
  <c r="W770" i="2"/>
  <c r="Z770" i="2" s="1"/>
  <c r="AA770" i="2" s="1"/>
  <c r="W771" i="2"/>
  <c r="Z771" i="2" s="1"/>
  <c r="AA771" i="2" s="1"/>
  <c r="W772" i="2"/>
  <c r="Z772" i="2" s="1"/>
  <c r="AA772" i="2" s="1"/>
  <c r="W773" i="2"/>
  <c r="W774" i="2"/>
  <c r="Z774" i="2" s="1"/>
  <c r="AA774" i="2" s="1"/>
  <c r="W775" i="2"/>
  <c r="Z775" i="2" s="1"/>
  <c r="AA775" i="2" s="1"/>
  <c r="W776" i="2"/>
  <c r="Z776" i="2" s="1"/>
  <c r="AA776" i="2" s="1"/>
  <c r="W777" i="2"/>
  <c r="Z777" i="2" s="1"/>
  <c r="AA777" i="2" s="1"/>
  <c r="W778" i="2"/>
  <c r="Z778" i="2" s="1"/>
  <c r="AA778" i="2" s="1"/>
  <c r="W779" i="2"/>
  <c r="Z779" i="2" s="1"/>
  <c r="AA779" i="2" s="1"/>
  <c r="W780" i="2"/>
  <c r="Z780" i="2" s="1"/>
  <c r="AA780" i="2" s="1"/>
  <c r="W781" i="2"/>
  <c r="Z781" i="2" s="1"/>
  <c r="AA781" i="2" s="1"/>
  <c r="W782" i="2"/>
  <c r="Z782" i="2" s="1"/>
  <c r="AA782" i="2" s="1"/>
  <c r="W783" i="2"/>
  <c r="Z783" i="2" s="1"/>
  <c r="W784" i="2"/>
  <c r="Z784" i="2" s="1"/>
  <c r="AA784" i="2" s="1"/>
  <c r="W785" i="2"/>
  <c r="Z785" i="2" s="1"/>
  <c r="W786" i="2"/>
  <c r="Z786" i="2" s="1"/>
  <c r="AA786" i="2" s="1"/>
  <c r="W787" i="2"/>
  <c r="Z787" i="2" s="1"/>
  <c r="AA787" i="2" s="1"/>
  <c r="W788" i="2"/>
  <c r="Z788" i="2" s="1"/>
  <c r="AA788" i="2" s="1"/>
  <c r="W789" i="2"/>
  <c r="W790" i="2"/>
  <c r="Z790" i="2" s="1"/>
  <c r="AA790" i="2" s="1"/>
  <c r="W791" i="2"/>
  <c r="Z791" i="2" s="1"/>
  <c r="AA791" i="2" s="1"/>
  <c r="W792" i="2"/>
  <c r="Z792" i="2" s="1"/>
  <c r="AA792" i="2" s="1"/>
  <c r="W793" i="2"/>
  <c r="Z793" i="2" s="1"/>
  <c r="AA793" i="2" s="1"/>
  <c r="W794" i="2"/>
  <c r="Z794" i="2" s="1"/>
  <c r="AA794" i="2" s="1"/>
  <c r="W795" i="2"/>
  <c r="Z795" i="2" s="1"/>
  <c r="AA795" i="2" s="1"/>
  <c r="W796" i="2"/>
  <c r="Z796" i="2" s="1"/>
  <c r="AA796" i="2" s="1"/>
  <c r="W797" i="2"/>
  <c r="Z797" i="2" s="1"/>
  <c r="AA797" i="2" s="1"/>
  <c r="W798" i="2"/>
  <c r="Z798" i="2" s="1"/>
  <c r="AA798" i="2" s="1"/>
  <c r="W799" i="2"/>
  <c r="Z799" i="2" s="1"/>
  <c r="AA799" i="2" s="1"/>
  <c r="W800" i="2"/>
  <c r="Z800" i="2" s="1"/>
  <c r="AA800" i="2" s="1"/>
  <c r="W801" i="2"/>
  <c r="Z801" i="2" s="1"/>
  <c r="W802" i="2"/>
  <c r="Z802" i="2" s="1"/>
  <c r="AA802" i="2" s="1"/>
  <c r="W803" i="2"/>
  <c r="Z803" i="2" s="1"/>
  <c r="AA803" i="2" s="1"/>
  <c r="W804" i="2"/>
  <c r="Z804" i="2" s="1"/>
  <c r="AA804" i="2" s="1"/>
  <c r="W805" i="2"/>
  <c r="Z805" i="2" s="1"/>
  <c r="W806" i="2"/>
  <c r="Z806" i="2" s="1"/>
  <c r="AA806" i="2" s="1"/>
  <c r="W807" i="2"/>
  <c r="Z807" i="2" s="1"/>
  <c r="AA807" i="2" s="1"/>
  <c r="W808" i="2"/>
  <c r="Z808" i="2" s="1"/>
  <c r="AA808" i="2" s="1"/>
  <c r="W809" i="2"/>
  <c r="Z809" i="2" s="1"/>
  <c r="AA809" i="2" s="1"/>
  <c r="W810" i="2"/>
  <c r="Z810" i="2" s="1"/>
  <c r="AA810" i="2" s="1"/>
  <c r="W811" i="2"/>
  <c r="Z811" i="2" s="1"/>
  <c r="AA811" i="2" s="1"/>
  <c r="W812" i="2"/>
  <c r="Z812" i="2" s="1"/>
  <c r="AA812" i="2" s="1"/>
  <c r="W813" i="2"/>
  <c r="Z813" i="2" s="1"/>
  <c r="AA813" i="2" s="1"/>
  <c r="W814" i="2"/>
  <c r="Z814" i="2" s="1"/>
  <c r="AA814" i="2" s="1"/>
  <c r="W815" i="2"/>
  <c r="Z815" i="2" s="1"/>
  <c r="W816" i="2"/>
  <c r="Z816" i="2" s="1"/>
  <c r="AA816" i="2" s="1"/>
  <c r="W817" i="2"/>
  <c r="Z817" i="2" s="1"/>
  <c r="W818" i="2"/>
  <c r="Z818" i="2" s="1"/>
  <c r="AA818" i="2" s="1"/>
  <c r="W819" i="2"/>
  <c r="Z819" i="2" s="1"/>
  <c r="AA819" i="2" s="1"/>
  <c r="W820" i="2"/>
  <c r="Z820" i="2" s="1"/>
  <c r="AA820" i="2" s="1"/>
  <c r="W821" i="2"/>
  <c r="Z821" i="2" s="1"/>
  <c r="W822" i="2"/>
  <c r="Z822" i="2" s="1"/>
  <c r="AA822" i="2" s="1"/>
  <c r="W823" i="2"/>
  <c r="Z823" i="2" s="1"/>
  <c r="AA823" i="2" s="1"/>
  <c r="W824" i="2"/>
  <c r="Z824" i="2" s="1"/>
  <c r="AA824" i="2" s="1"/>
  <c r="W825" i="2"/>
  <c r="Z825" i="2" s="1"/>
  <c r="AA825" i="2" s="1"/>
  <c r="W826" i="2"/>
  <c r="Z826" i="2" s="1"/>
  <c r="AA826" i="2" s="1"/>
  <c r="W827" i="2"/>
  <c r="Z827" i="2" s="1"/>
  <c r="AA827" i="2" s="1"/>
  <c r="W828" i="2"/>
  <c r="Z828" i="2" s="1"/>
  <c r="AA828" i="2" s="1"/>
  <c r="W829" i="2"/>
  <c r="Z829" i="2" s="1"/>
  <c r="AA829" i="2" s="1"/>
  <c r="W830" i="2"/>
  <c r="Z830" i="2" s="1"/>
  <c r="AA830" i="2" s="1"/>
  <c r="W831" i="2"/>
  <c r="Z831" i="2" s="1"/>
  <c r="AA831" i="2" s="1"/>
  <c r="W832" i="2"/>
  <c r="Z832" i="2" s="1"/>
  <c r="AA832" i="2" s="1"/>
  <c r="W833" i="2"/>
  <c r="Z833" i="2" s="1"/>
  <c r="W834" i="2"/>
  <c r="Z834" i="2" s="1"/>
  <c r="AA834" i="2" s="1"/>
  <c r="W835" i="2"/>
  <c r="Z835" i="2" s="1"/>
  <c r="AA835" i="2" s="1"/>
  <c r="W836" i="2"/>
  <c r="Z836" i="2" s="1"/>
  <c r="AA836" i="2" s="1"/>
  <c r="W837" i="2"/>
  <c r="Z837" i="2" s="1"/>
  <c r="W838" i="2"/>
  <c r="Z838" i="2" s="1"/>
  <c r="AA838" i="2" s="1"/>
  <c r="W839" i="2"/>
  <c r="Z839" i="2" s="1"/>
  <c r="AA839" i="2" s="1"/>
  <c r="W840" i="2"/>
  <c r="Z840" i="2" s="1"/>
  <c r="AA840" i="2" s="1"/>
  <c r="W841" i="2"/>
  <c r="Z841" i="2" s="1"/>
  <c r="AA841" i="2" s="1"/>
  <c r="W842" i="2"/>
  <c r="Z842" i="2" s="1"/>
  <c r="AA842" i="2" s="1"/>
  <c r="W843" i="2"/>
  <c r="Z843" i="2" s="1"/>
  <c r="AA843" i="2" s="1"/>
  <c r="W844" i="2"/>
  <c r="Z844" i="2" s="1"/>
  <c r="AA844" i="2" s="1"/>
  <c r="W845" i="2"/>
  <c r="Z845" i="2" s="1"/>
  <c r="AA845" i="2" s="1"/>
  <c r="W846" i="2"/>
  <c r="Z846" i="2" s="1"/>
  <c r="AA846" i="2" s="1"/>
  <c r="W847" i="2"/>
  <c r="Z847" i="2" s="1"/>
  <c r="W848" i="2"/>
  <c r="Z848" i="2" s="1"/>
  <c r="AA848" i="2" s="1"/>
  <c r="W849" i="2"/>
  <c r="Z849" i="2" s="1"/>
  <c r="W850" i="2"/>
  <c r="Z850" i="2" s="1"/>
  <c r="AA850" i="2" s="1"/>
  <c r="W851" i="2"/>
  <c r="Z851" i="2" s="1"/>
  <c r="AA851" i="2" s="1"/>
  <c r="W852" i="2"/>
  <c r="Z852" i="2" s="1"/>
  <c r="W853" i="2"/>
  <c r="Z853" i="2" s="1"/>
  <c r="W854" i="2"/>
  <c r="Z854" i="2" s="1"/>
  <c r="AA854" i="2" s="1"/>
  <c r="W855" i="2"/>
  <c r="Z855" i="2" s="1"/>
  <c r="AA855" i="2" s="1"/>
  <c r="W856" i="2"/>
  <c r="Z856" i="2" s="1"/>
  <c r="W857" i="2"/>
  <c r="Z857" i="2" s="1"/>
  <c r="W858" i="2"/>
  <c r="Z858" i="2" s="1"/>
  <c r="AA858" i="2" s="1"/>
  <c r="W859" i="2"/>
  <c r="Z859" i="2" s="1"/>
  <c r="AA859" i="2" s="1"/>
  <c r="W860" i="2"/>
  <c r="Z860" i="2" s="1"/>
  <c r="W861" i="2"/>
  <c r="Z861" i="2" s="1"/>
  <c r="W862" i="2"/>
  <c r="Z862" i="2" s="1"/>
  <c r="AA862" i="2" s="1"/>
  <c r="W863" i="2"/>
  <c r="Z863" i="2" s="1"/>
  <c r="AA863" i="2" s="1"/>
  <c r="W864" i="2"/>
  <c r="Z864" i="2" s="1"/>
  <c r="W865" i="2"/>
  <c r="Z865" i="2" s="1"/>
  <c r="W866" i="2"/>
  <c r="Z866" i="2" s="1"/>
  <c r="AA866" i="2" s="1"/>
  <c r="W867" i="2"/>
  <c r="Z867" i="2" s="1"/>
  <c r="AA867" i="2" s="1"/>
  <c r="W868" i="2"/>
  <c r="Z868" i="2" s="1"/>
  <c r="W869" i="2"/>
  <c r="Z869" i="2" s="1"/>
  <c r="W870" i="2"/>
  <c r="Z870" i="2" s="1"/>
  <c r="AA870" i="2" s="1"/>
  <c r="W871" i="2"/>
  <c r="Z871" i="2" s="1"/>
  <c r="AA871" i="2" s="1"/>
  <c r="W872" i="2"/>
  <c r="Z872" i="2" s="1"/>
  <c r="W873" i="2"/>
  <c r="Z873" i="2" s="1"/>
  <c r="W874" i="2"/>
  <c r="Z874" i="2" s="1"/>
  <c r="AA874" i="2" s="1"/>
  <c r="W875" i="2"/>
  <c r="Z875" i="2" s="1"/>
  <c r="AA875" i="2" s="1"/>
  <c r="W876" i="2"/>
  <c r="Z876" i="2" s="1"/>
  <c r="W877" i="2"/>
  <c r="Z877" i="2" s="1"/>
  <c r="W878" i="2"/>
  <c r="Z878" i="2" s="1"/>
  <c r="AA878" i="2" s="1"/>
  <c r="W879" i="2"/>
  <c r="Z879" i="2" s="1"/>
  <c r="AA879" i="2" s="1"/>
  <c r="W880" i="2"/>
  <c r="Z880" i="2" s="1"/>
  <c r="W881" i="2"/>
  <c r="Z881" i="2" s="1"/>
  <c r="W882" i="2"/>
  <c r="Z882" i="2" s="1"/>
  <c r="AA882" i="2" s="1"/>
  <c r="W883" i="2"/>
  <c r="Z883" i="2" s="1"/>
  <c r="AA883" i="2" s="1"/>
  <c r="W884" i="2"/>
  <c r="Z884" i="2" s="1"/>
  <c r="W885" i="2"/>
  <c r="Z885" i="2" s="1"/>
  <c r="W886" i="2"/>
  <c r="Z886" i="2" s="1"/>
  <c r="AA886" i="2" s="1"/>
  <c r="W887" i="2"/>
  <c r="Z887" i="2" s="1"/>
  <c r="AA887" i="2" s="1"/>
  <c r="W888" i="2"/>
  <c r="Z888" i="2" s="1"/>
  <c r="W889" i="2"/>
  <c r="Z889" i="2" s="1"/>
  <c r="W890" i="2"/>
  <c r="Z890" i="2" s="1"/>
  <c r="AA890" i="2" s="1"/>
  <c r="W891" i="2"/>
  <c r="Z891" i="2" s="1"/>
  <c r="AA891" i="2" s="1"/>
  <c r="W892" i="2"/>
  <c r="Z892" i="2" s="1"/>
  <c r="W893" i="2"/>
  <c r="Z893" i="2" s="1"/>
  <c r="W894" i="2"/>
  <c r="Z894" i="2" s="1"/>
  <c r="AA894" i="2" s="1"/>
  <c r="W895" i="2"/>
  <c r="Z895" i="2" s="1"/>
  <c r="AA895" i="2" s="1"/>
  <c r="W896" i="2"/>
  <c r="Z896" i="2" s="1"/>
  <c r="W897" i="2"/>
  <c r="Z897" i="2" s="1"/>
  <c r="W898" i="2"/>
  <c r="Z898" i="2" s="1"/>
  <c r="AA898" i="2" s="1"/>
  <c r="W899" i="2"/>
  <c r="Z899" i="2" s="1"/>
  <c r="AA899" i="2" s="1"/>
  <c r="W900" i="2"/>
  <c r="Z900" i="2" s="1"/>
  <c r="W901" i="2"/>
  <c r="Z901" i="2" s="1"/>
  <c r="W902" i="2"/>
  <c r="Z902" i="2" s="1"/>
  <c r="AA902" i="2" s="1"/>
  <c r="W903" i="2"/>
  <c r="Z903" i="2" s="1"/>
  <c r="AA903" i="2" s="1"/>
  <c r="W904" i="2"/>
  <c r="Z904" i="2" s="1"/>
  <c r="W905" i="2"/>
  <c r="Z905" i="2" s="1"/>
  <c r="W906" i="2"/>
  <c r="Z906" i="2" s="1"/>
  <c r="AA906" i="2" s="1"/>
  <c r="W907" i="2"/>
  <c r="Z907" i="2" s="1"/>
  <c r="AA907" i="2" s="1"/>
  <c r="W908" i="2"/>
  <c r="Z908" i="2" s="1"/>
  <c r="W909" i="2"/>
  <c r="Z909" i="2" s="1"/>
  <c r="W910" i="2"/>
  <c r="Z910" i="2" s="1"/>
  <c r="AA910" i="2" s="1"/>
  <c r="W911" i="2"/>
  <c r="Z911" i="2" s="1"/>
  <c r="AA911" i="2" s="1"/>
  <c r="W912" i="2"/>
  <c r="Z912" i="2" s="1"/>
  <c r="W913" i="2"/>
  <c r="Z913" i="2" s="1"/>
  <c r="W914" i="2"/>
  <c r="Z914" i="2" s="1"/>
  <c r="AA914" i="2" s="1"/>
  <c r="W915" i="2"/>
  <c r="Z915" i="2" s="1"/>
  <c r="AA915" i="2" s="1"/>
  <c r="W916" i="2"/>
  <c r="Z916" i="2" s="1"/>
  <c r="W917" i="2"/>
  <c r="Z917" i="2" s="1"/>
  <c r="W918" i="2"/>
  <c r="Z918" i="2" s="1"/>
  <c r="AA918" i="2" s="1"/>
  <c r="W919" i="2"/>
  <c r="Z919" i="2" s="1"/>
  <c r="AA919" i="2" s="1"/>
  <c r="W920" i="2"/>
  <c r="Z920" i="2" s="1"/>
  <c r="W921" i="2"/>
  <c r="Z921" i="2" s="1"/>
  <c r="W922" i="2"/>
  <c r="Z922" i="2" s="1"/>
  <c r="AA922" i="2" s="1"/>
  <c r="W923" i="2"/>
  <c r="Z923" i="2" s="1"/>
  <c r="AA923" i="2" s="1"/>
  <c r="W924" i="2"/>
  <c r="Z924" i="2" s="1"/>
  <c r="W925" i="2"/>
  <c r="Z925" i="2" s="1"/>
  <c r="W926" i="2"/>
  <c r="Z926" i="2" s="1"/>
  <c r="AA926" i="2" s="1"/>
  <c r="W927" i="2"/>
  <c r="Z927" i="2" s="1"/>
  <c r="AA927" i="2" s="1"/>
  <c r="W928" i="2"/>
  <c r="Z928" i="2" s="1"/>
  <c r="W929" i="2"/>
  <c r="Z929" i="2" s="1"/>
  <c r="W930" i="2"/>
  <c r="Z930" i="2" s="1"/>
  <c r="AA930" i="2" s="1"/>
  <c r="W931" i="2"/>
  <c r="Z931" i="2" s="1"/>
  <c r="AA931" i="2" s="1"/>
  <c r="W932" i="2"/>
  <c r="Z932" i="2" s="1"/>
  <c r="W933" i="2"/>
  <c r="Z933" i="2" s="1"/>
  <c r="W934" i="2"/>
  <c r="Z934" i="2" s="1"/>
  <c r="AA934" i="2" s="1"/>
  <c r="W935" i="2"/>
  <c r="Z935" i="2" s="1"/>
  <c r="AA935" i="2" s="1"/>
  <c r="W936" i="2"/>
  <c r="Z936" i="2" s="1"/>
  <c r="W937" i="2"/>
  <c r="Z937" i="2" s="1"/>
  <c r="W938" i="2"/>
  <c r="Z938" i="2" s="1"/>
  <c r="AA938" i="2" s="1"/>
  <c r="W939" i="2"/>
  <c r="Z939" i="2" s="1"/>
  <c r="AA939" i="2" s="1"/>
  <c r="W940" i="2"/>
  <c r="Z940" i="2" s="1"/>
  <c r="W941" i="2"/>
  <c r="Z941" i="2" s="1"/>
  <c r="W942" i="2"/>
  <c r="Z942" i="2" s="1"/>
  <c r="AA942" i="2" s="1"/>
  <c r="W943" i="2"/>
  <c r="Z943" i="2" s="1"/>
  <c r="AA943" i="2" s="1"/>
  <c r="W944" i="2"/>
  <c r="Z944" i="2" s="1"/>
  <c r="W945" i="2"/>
  <c r="Z945" i="2" s="1"/>
  <c r="W946" i="2"/>
  <c r="Z946" i="2" s="1"/>
  <c r="AA946" i="2" s="1"/>
  <c r="W947" i="2"/>
  <c r="Z947" i="2" s="1"/>
  <c r="AA947" i="2" s="1"/>
  <c r="W948" i="2"/>
  <c r="Z948" i="2" s="1"/>
  <c r="W949" i="2"/>
  <c r="Z949" i="2" s="1"/>
  <c r="W950" i="2"/>
  <c r="Z950" i="2" s="1"/>
  <c r="AA950" i="2" s="1"/>
  <c r="W951" i="2"/>
  <c r="Z951" i="2" s="1"/>
  <c r="AA951" i="2" s="1"/>
  <c r="W952" i="2"/>
  <c r="Z952" i="2" s="1"/>
  <c r="W953" i="2"/>
  <c r="Z953" i="2" s="1"/>
  <c r="W954" i="2"/>
  <c r="Z954" i="2" s="1"/>
  <c r="AA954" i="2" s="1"/>
  <c r="W955" i="2"/>
  <c r="Z955" i="2" s="1"/>
  <c r="AA955" i="2" s="1"/>
  <c r="W956" i="2"/>
  <c r="Z956" i="2" s="1"/>
  <c r="W957" i="2"/>
  <c r="Z957" i="2" s="1"/>
  <c r="W958" i="2"/>
  <c r="Z958" i="2" s="1"/>
  <c r="AA958" i="2" s="1"/>
  <c r="W959" i="2"/>
  <c r="Z959" i="2" s="1"/>
  <c r="AA959" i="2" s="1"/>
  <c r="W960" i="2"/>
  <c r="Z960" i="2" s="1"/>
  <c r="W961" i="2"/>
  <c r="Z961" i="2" s="1"/>
  <c r="W962" i="2"/>
  <c r="Z962" i="2" s="1"/>
  <c r="AA962" i="2" s="1"/>
  <c r="W963" i="2"/>
  <c r="Z963" i="2" s="1"/>
  <c r="AA963" i="2" s="1"/>
  <c r="W964" i="2"/>
  <c r="Z964" i="2" s="1"/>
  <c r="W965" i="2"/>
  <c r="Z965" i="2" s="1"/>
  <c r="W966" i="2"/>
  <c r="Z966" i="2" s="1"/>
  <c r="AA966" i="2" s="1"/>
  <c r="W967" i="2"/>
  <c r="Z967" i="2" s="1"/>
  <c r="AA967" i="2" s="1"/>
  <c r="W968" i="2"/>
  <c r="Z968" i="2" s="1"/>
  <c r="W969" i="2"/>
  <c r="Z969" i="2" s="1"/>
  <c r="W970" i="2"/>
  <c r="Z970" i="2" s="1"/>
  <c r="AA970" i="2" s="1"/>
  <c r="W971" i="2"/>
  <c r="Z971" i="2" s="1"/>
  <c r="AA971" i="2" s="1"/>
  <c r="W972" i="2"/>
  <c r="Z972" i="2" s="1"/>
  <c r="W973" i="2"/>
  <c r="Z973" i="2" s="1"/>
  <c r="W974" i="2"/>
  <c r="Z974" i="2" s="1"/>
  <c r="AA974" i="2" s="1"/>
  <c r="W975" i="2"/>
  <c r="Z975" i="2" s="1"/>
  <c r="AA975" i="2" s="1"/>
  <c r="W976" i="2"/>
  <c r="Z976" i="2" s="1"/>
  <c r="W977" i="2"/>
  <c r="Z977" i="2" s="1"/>
  <c r="W978" i="2"/>
  <c r="Z978" i="2" s="1"/>
  <c r="AA978" i="2" s="1"/>
  <c r="W979" i="2"/>
  <c r="Z979" i="2" s="1"/>
  <c r="AA979" i="2" s="1"/>
  <c r="W980" i="2"/>
  <c r="Z980" i="2" s="1"/>
  <c r="W981" i="2"/>
  <c r="Z981" i="2" s="1"/>
  <c r="W982" i="2"/>
  <c r="Z982" i="2" s="1"/>
  <c r="AA982" i="2" s="1"/>
  <c r="W983" i="2"/>
  <c r="Z983" i="2" s="1"/>
  <c r="AA983" i="2" s="1"/>
  <c r="W984" i="2"/>
  <c r="Z984" i="2" s="1"/>
  <c r="W985" i="2"/>
  <c r="Z985" i="2" s="1"/>
  <c r="W986" i="2"/>
  <c r="Z986" i="2" s="1"/>
  <c r="AA986" i="2" s="1"/>
  <c r="W987" i="2"/>
  <c r="Z987" i="2" s="1"/>
  <c r="AA987" i="2" s="1"/>
  <c r="W988" i="2"/>
  <c r="Z988" i="2" s="1"/>
  <c r="W989" i="2"/>
  <c r="Z989" i="2" s="1"/>
  <c r="W990" i="2"/>
  <c r="Z990" i="2" s="1"/>
  <c r="AA990" i="2" s="1"/>
  <c r="W991" i="2"/>
  <c r="Z991" i="2" s="1"/>
  <c r="AA991" i="2" s="1"/>
  <c r="W992" i="2"/>
  <c r="Z992" i="2" s="1"/>
  <c r="W993" i="2"/>
  <c r="Z993" i="2" s="1"/>
  <c r="W994" i="2"/>
  <c r="Z994" i="2" s="1"/>
  <c r="AA994" i="2" s="1"/>
  <c r="W995" i="2"/>
  <c r="Z995" i="2" s="1"/>
  <c r="AA995" i="2" s="1"/>
  <c r="W996" i="2"/>
  <c r="Z996" i="2" s="1"/>
  <c r="W997" i="2"/>
  <c r="Z997" i="2" s="1"/>
  <c r="W998" i="2"/>
  <c r="Z998" i="2" s="1"/>
  <c r="AA998" i="2" s="1"/>
  <c r="W999" i="2"/>
  <c r="Z999" i="2" s="1"/>
  <c r="AA999" i="2" s="1"/>
  <c r="W1000" i="2"/>
  <c r="Z1000" i="2" s="1"/>
  <c r="W1001" i="2"/>
  <c r="Z1001" i="2" s="1"/>
  <c r="V746" i="2"/>
  <c r="T2" i="2"/>
  <c r="V2" i="2" s="1"/>
  <c r="T3" i="2"/>
  <c r="V3" i="2" s="1"/>
  <c r="T4" i="2"/>
  <c r="V4" i="2" s="1"/>
  <c r="T5" i="2"/>
  <c r="V5" i="2" s="1"/>
  <c r="T6" i="2"/>
  <c r="V6" i="2" s="1"/>
  <c r="T7" i="2"/>
  <c r="V7" i="2" s="1"/>
  <c r="T8" i="2"/>
  <c r="V8" i="2" s="1"/>
  <c r="T9" i="2"/>
  <c r="V9" i="2" s="1"/>
  <c r="T10" i="2"/>
  <c r="V10" i="2" s="1"/>
  <c r="T11" i="2"/>
  <c r="V11" i="2" s="1"/>
  <c r="T12" i="2"/>
  <c r="V12" i="2" s="1"/>
  <c r="T13" i="2"/>
  <c r="V13" i="2" s="1"/>
  <c r="T14" i="2"/>
  <c r="V14" i="2" s="1"/>
  <c r="T15" i="2"/>
  <c r="V15" i="2" s="1"/>
  <c r="T16" i="2"/>
  <c r="V16" i="2" s="1"/>
  <c r="T17" i="2"/>
  <c r="V17" i="2" s="1"/>
  <c r="T18" i="2"/>
  <c r="V18" i="2" s="1"/>
  <c r="T19" i="2"/>
  <c r="V19" i="2" s="1"/>
  <c r="T20" i="2"/>
  <c r="V20" i="2" s="1"/>
  <c r="T21" i="2"/>
  <c r="V21" i="2" s="1"/>
  <c r="T22" i="2"/>
  <c r="V22" i="2" s="1"/>
  <c r="T23" i="2"/>
  <c r="V23" i="2" s="1"/>
  <c r="T24" i="2"/>
  <c r="V24" i="2" s="1"/>
  <c r="T25" i="2"/>
  <c r="V25" i="2" s="1"/>
  <c r="T26" i="2"/>
  <c r="V26" i="2" s="1"/>
  <c r="T27" i="2"/>
  <c r="V27" i="2" s="1"/>
  <c r="T28" i="2"/>
  <c r="V28" i="2" s="1"/>
  <c r="T29" i="2"/>
  <c r="V29" i="2" s="1"/>
  <c r="T30" i="2"/>
  <c r="V30" i="2" s="1"/>
  <c r="T31" i="2"/>
  <c r="V31" i="2" s="1"/>
  <c r="T32" i="2"/>
  <c r="V32" i="2" s="1"/>
  <c r="T33" i="2"/>
  <c r="V33" i="2" s="1"/>
  <c r="T34" i="2"/>
  <c r="V34" i="2" s="1"/>
  <c r="T35" i="2"/>
  <c r="V35" i="2" s="1"/>
  <c r="T36" i="2"/>
  <c r="V36" i="2" s="1"/>
  <c r="T37" i="2"/>
  <c r="V37" i="2" s="1"/>
  <c r="T38" i="2"/>
  <c r="V38" i="2" s="1"/>
  <c r="T39" i="2"/>
  <c r="V39" i="2" s="1"/>
  <c r="T40" i="2"/>
  <c r="V40" i="2" s="1"/>
  <c r="T41" i="2"/>
  <c r="V41" i="2" s="1"/>
  <c r="T42" i="2"/>
  <c r="V42" i="2" s="1"/>
  <c r="T43" i="2"/>
  <c r="V43" i="2" s="1"/>
  <c r="T44" i="2"/>
  <c r="V44" i="2" s="1"/>
  <c r="T45" i="2"/>
  <c r="V45" i="2" s="1"/>
  <c r="T46" i="2"/>
  <c r="V46" i="2" s="1"/>
  <c r="T47" i="2"/>
  <c r="V47" i="2" s="1"/>
  <c r="T48" i="2"/>
  <c r="V48" i="2" s="1"/>
  <c r="T49" i="2"/>
  <c r="V49" i="2" s="1"/>
  <c r="T50" i="2"/>
  <c r="V50" i="2" s="1"/>
  <c r="T51" i="2"/>
  <c r="V51" i="2" s="1"/>
  <c r="T52" i="2"/>
  <c r="V52" i="2" s="1"/>
  <c r="T53" i="2"/>
  <c r="V53" i="2" s="1"/>
  <c r="T54" i="2"/>
  <c r="V54" i="2" s="1"/>
  <c r="T55" i="2"/>
  <c r="V55" i="2" s="1"/>
  <c r="T56" i="2"/>
  <c r="V56" i="2" s="1"/>
  <c r="T57" i="2"/>
  <c r="V57" i="2" s="1"/>
  <c r="T58" i="2"/>
  <c r="V58" i="2" s="1"/>
  <c r="T59" i="2"/>
  <c r="V59" i="2" s="1"/>
  <c r="T60" i="2"/>
  <c r="V60" i="2" s="1"/>
  <c r="T61" i="2"/>
  <c r="V61" i="2" s="1"/>
  <c r="T62" i="2"/>
  <c r="V62" i="2" s="1"/>
  <c r="T63" i="2"/>
  <c r="V63" i="2" s="1"/>
  <c r="T64" i="2"/>
  <c r="V64" i="2" s="1"/>
  <c r="T65" i="2"/>
  <c r="V65" i="2" s="1"/>
  <c r="T66" i="2"/>
  <c r="V66" i="2" s="1"/>
  <c r="T67" i="2"/>
  <c r="V67" i="2" s="1"/>
  <c r="T68" i="2"/>
  <c r="V68" i="2" s="1"/>
  <c r="T69" i="2"/>
  <c r="V69" i="2" s="1"/>
  <c r="T70" i="2"/>
  <c r="V70" i="2" s="1"/>
  <c r="T71" i="2"/>
  <c r="V71" i="2" s="1"/>
  <c r="T72" i="2"/>
  <c r="V72" i="2" s="1"/>
  <c r="T73" i="2"/>
  <c r="V73" i="2" s="1"/>
  <c r="T74" i="2"/>
  <c r="V74" i="2" s="1"/>
  <c r="T75" i="2"/>
  <c r="V75" i="2" s="1"/>
  <c r="T76" i="2"/>
  <c r="V76" i="2" s="1"/>
  <c r="T77" i="2"/>
  <c r="V77" i="2" s="1"/>
  <c r="T78" i="2"/>
  <c r="V78" i="2" s="1"/>
  <c r="T79" i="2"/>
  <c r="V79" i="2" s="1"/>
  <c r="T80" i="2"/>
  <c r="V80" i="2" s="1"/>
  <c r="T81" i="2"/>
  <c r="V81" i="2" s="1"/>
  <c r="T82" i="2"/>
  <c r="V82" i="2" s="1"/>
  <c r="T83" i="2"/>
  <c r="V83" i="2" s="1"/>
  <c r="T84" i="2"/>
  <c r="V84" i="2" s="1"/>
  <c r="T85" i="2"/>
  <c r="V85" i="2" s="1"/>
  <c r="T86" i="2"/>
  <c r="V86" i="2" s="1"/>
  <c r="T87" i="2"/>
  <c r="V87" i="2" s="1"/>
  <c r="T88" i="2"/>
  <c r="V88" i="2" s="1"/>
  <c r="T89" i="2"/>
  <c r="V89" i="2" s="1"/>
  <c r="T90" i="2"/>
  <c r="V90" i="2" s="1"/>
  <c r="T91" i="2"/>
  <c r="V91" i="2" s="1"/>
  <c r="T92" i="2"/>
  <c r="V92" i="2" s="1"/>
  <c r="T93" i="2"/>
  <c r="V93" i="2" s="1"/>
  <c r="T94" i="2"/>
  <c r="V94" i="2" s="1"/>
  <c r="T95" i="2"/>
  <c r="V95" i="2" s="1"/>
  <c r="T96" i="2"/>
  <c r="V96" i="2" s="1"/>
  <c r="T97" i="2"/>
  <c r="V97" i="2" s="1"/>
  <c r="T98" i="2"/>
  <c r="V98" i="2" s="1"/>
  <c r="T99" i="2"/>
  <c r="V99" i="2" s="1"/>
  <c r="T100" i="2"/>
  <c r="V100" i="2" s="1"/>
  <c r="T101" i="2"/>
  <c r="V101" i="2" s="1"/>
  <c r="T102" i="2"/>
  <c r="V102" i="2" s="1"/>
  <c r="T103" i="2"/>
  <c r="V103" i="2" s="1"/>
  <c r="T104" i="2"/>
  <c r="V104" i="2" s="1"/>
  <c r="T105" i="2"/>
  <c r="V105" i="2" s="1"/>
  <c r="T106" i="2"/>
  <c r="V106" i="2" s="1"/>
  <c r="T107" i="2"/>
  <c r="V107" i="2" s="1"/>
  <c r="T108" i="2"/>
  <c r="V108" i="2" s="1"/>
  <c r="T109" i="2"/>
  <c r="V109" i="2" s="1"/>
  <c r="T110" i="2"/>
  <c r="V110" i="2" s="1"/>
  <c r="T111" i="2"/>
  <c r="V111" i="2" s="1"/>
  <c r="T112" i="2"/>
  <c r="V112" i="2" s="1"/>
  <c r="T113" i="2"/>
  <c r="V113" i="2" s="1"/>
  <c r="T114" i="2"/>
  <c r="V114" i="2" s="1"/>
  <c r="T115" i="2"/>
  <c r="V115" i="2" s="1"/>
  <c r="T116" i="2"/>
  <c r="V116" i="2" s="1"/>
  <c r="T117" i="2"/>
  <c r="V117" i="2" s="1"/>
  <c r="T118" i="2"/>
  <c r="V118" i="2" s="1"/>
  <c r="T119" i="2"/>
  <c r="V119" i="2" s="1"/>
  <c r="T120" i="2"/>
  <c r="V120" i="2" s="1"/>
  <c r="T121" i="2"/>
  <c r="V121" i="2" s="1"/>
  <c r="T122" i="2"/>
  <c r="V122" i="2" s="1"/>
  <c r="T123" i="2"/>
  <c r="V123" i="2" s="1"/>
  <c r="T124" i="2"/>
  <c r="V124" i="2" s="1"/>
  <c r="T125" i="2"/>
  <c r="V125" i="2" s="1"/>
  <c r="T126" i="2"/>
  <c r="V126" i="2" s="1"/>
  <c r="T127" i="2"/>
  <c r="V127" i="2" s="1"/>
  <c r="T128" i="2"/>
  <c r="V128" i="2" s="1"/>
  <c r="T129" i="2"/>
  <c r="V129" i="2" s="1"/>
  <c r="T130" i="2"/>
  <c r="V130" i="2" s="1"/>
  <c r="T131" i="2"/>
  <c r="V131" i="2" s="1"/>
  <c r="T132" i="2"/>
  <c r="V132" i="2" s="1"/>
  <c r="T133" i="2"/>
  <c r="V133" i="2" s="1"/>
  <c r="T134" i="2"/>
  <c r="V134" i="2" s="1"/>
  <c r="T135" i="2"/>
  <c r="V135" i="2" s="1"/>
  <c r="T136" i="2"/>
  <c r="V136" i="2" s="1"/>
  <c r="T137" i="2"/>
  <c r="V137" i="2" s="1"/>
  <c r="T138" i="2"/>
  <c r="V138" i="2" s="1"/>
  <c r="T139" i="2"/>
  <c r="V139" i="2" s="1"/>
  <c r="T140" i="2"/>
  <c r="V140" i="2" s="1"/>
  <c r="T141" i="2"/>
  <c r="V141" i="2" s="1"/>
  <c r="T142" i="2"/>
  <c r="V142" i="2" s="1"/>
  <c r="T143" i="2"/>
  <c r="V143" i="2" s="1"/>
  <c r="T144" i="2"/>
  <c r="V144" i="2" s="1"/>
  <c r="T145" i="2"/>
  <c r="V145" i="2" s="1"/>
  <c r="T146" i="2"/>
  <c r="V146" i="2" s="1"/>
  <c r="T147" i="2"/>
  <c r="V147" i="2" s="1"/>
  <c r="T148" i="2"/>
  <c r="V148" i="2" s="1"/>
  <c r="T149" i="2"/>
  <c r="V149" i="2" s="1"/>
  <c r="T150" i="2"/>
  <c r="V150" i="2" s="1"/>
  <c r="T151" i="2"/>
  <c r="V151" i="2" s="1"/>
  <c r="T152" i="2"/>
  <c r="V152" i="2" s="1"/>
  <c r="T153" i="2"/>
  <c r="V153" i="2" s="1"/>
  <c r="T154" i="2"/>
  <c r="V154" i="2" s="1"/>
  <c r="T155" i="2"/>
  <c r="V155" i="2" s="1"/>
  <c r="T156" i="2"/>
  <c r="V156" i="2" s="1"/>
  <c r="T157" i="2"/>
  <c r="V157" i="2" s="1"/>
  <c r="T158" i="2"/>
  <c r="V158" i="2" s="1"/>
  <c r="T159" i="2"/>
  <c r="V159" i="2" s="1"/>
  <c r="T160" i="2"/>
  <c r="V160" i="2" s="1"/>
  <c r="T161" i="2"/>
  <c r="V161" i="2" s="1"/>
  <c r="T162" i="2"/>
  <c r="V162" i="2" s="1"/>
  <c r="T163" i="2"/>
  <c r="V163" i="2" s="1"/>
  <c r="T164" i="2"/>
  <c r="V164" i="2" s="1"/>
  <c r="T165" i="2"/>
  <c r="V165" i="2" s="1"/>
  <c r="T166" i="2"/>
  <c r="V166" i="2" s="1"/>
  <c r="T167" i="2"/>
  <c r="V167" i="2" s="1"/>
  <c r="T168" i="2"/>
  <c r="V168" i="2" s="1"/>
  <c r="T169" i="2"/>
  <c r="V169" i="2" s="1"/>
  <c r="T170" i="2"/>
  <c r="V170" i="2" s="1"/>
  <c r="T171" i="2"/>
  <c r="V171" i="2" s="1"/>
  <c r="T172" i="2"/>
  <c r="V172" i="2" s="1"/>
  <c r="T173" i="2"/>
  <c r="V173" i="2" s="1"/>
  <c r="T174" i="2"/>
  <c r="V174" i="2" s="1"/>
  <c r="T175" i="2"/>
  <c r="V175" i="2" s="1"/>
  <c r="T176" i="2"/>
  <c r="V176" i="2" s="1"/>
  <c r="T177" i="2"/>
  <c r="V177" i="2" s="1"/>
  <c r="T178" i="2"/>
  <c r="V178" i="2" s="1"/>
  <c r="T179" i="2"/>
  <c r="V179" i="2" s="1"/>
  <c r="T180" i="2"/>
  <c r="V180" i="2" s="1"/>
  <c r="T181" i="2"/>
  <c r="V181" i="2" s="1"/>
  <c r="T182" i="2"/>
  <c r="V182" i="2" s="1"/>
  <c r="T183" i="2"/>
  <c r="V183" i="2" s="1"/>
  <c r="T184" i="2"/>
  <c r="V184" i="2" s="1"/>
  <c r="T185" i="2"/>
  <c r="V185" i="2" s="1"/>
  <c r="T186" i="2"/>
  <c r="V186" i="2" s="1"/>
  <c r="T187" i="2"/>
  <c r="V187" i="2" s="1"/>
  <c r="T188" i="2"/>
  <c r="V188" i="2" s="1"/>
  <c r="T189" i="2"/>
  <c r="V189" i="2" s="1"/>
  <c r="T190" i="2"/>
  <c r="V190" i="2" s="1"/>
  <c r="T191" i="2"/>
  <c r="V191" i="2" s="1"/>
  <c r="T192" i="2"/>
  <c r="V192" i="2" s="1"/>
  <c r="T193" i="2"/>
  <c r="V193" i="2" s="1"/>
  <c r="T194" i="2"/>
  <c r="V194" i="2" s="1"/>
  <c r="T195" i="2"/>
  <c r="V195" i="2" s="1"/>
  <c r="T196" i="2"/>
  <c r="V196" i="2" s="1"/>
  <c r="T197" i="2"/>
  <c r="V197" i="2" s="1"/>
  <c r="T198" i="2"/>
  <c r="V198" i="2" s="1"/>
  <c r="T199" i="2"/>
  <c r="V199" i="2" s="1"/>
  <c r="T200" i="2"/>
  <c r="V200" i="2" s="1"/>
  <c r="T201" i="2"/>
  <c r="V201" i="2" s="1"/>
  <c r="T202" i="2"/>
  <c r="V202" i="2" s="1"/>
  <c r="T203" i="2"/>
  <c r="V203" i="2" s="1"/>
  <c r="T204" i="2"/>
  <c r="V204" i="2" s="1"/>
  <c r="T205" i="2"/>
  <c r="V205" i="2" s="1"/>
  <c r="T206" i="2"/>
  <c r="V206" i="2" s="1"/>
  <c r="T207" i="2"/>
  <c r="V207" i="2" s="1"/>
  <c r="T208" i="2"/>
  <c r="V208" i="2" s="1"/>
  <c r="T209" i="2"/>
  <c r="V209" i="2" s="1"/>
  <c r="T210" i="2"/>
  <c r="V210" i="2" s="1"/>
  <c r="T211" i="2"/>
  <c r="V211" i="2" s="1"/>
  <c r="T212" i="2"/>
  <c r="V212" i="2" s="1"/>
  <c r="T213" i="2"/>
  <c r="V213" i="2" s="1"/>
  <c r="T214" i="2"/>
  <c r="V214" i="2" s="1"/>
  <c r="T215" i="2"/>
  <c r="V215" i="2" s="1"/>
  <c r="T216" i="2"/>
  <c r="V216" i="2" s="1"/>
  <c r="T217" i="2"/>
  <c r="V217" i="2" s="1"/>
  <c r="T218" i="2"/>
  <c r="V218" i="2" s="1"/>
  <c r="T219" i="2"/>
  <c r="V219" i="2" s="1"/>
  <c r="T220" i="2"/>
  <c r="V220" i="2" s="1"/>
  <c r="T221" i="2"/>
  <c r="V221" i="2" s="1"/>
  <c r="T222" i="2"/>
  <c r="V222" i="2" s="1"/>
  <c r="T223" i="2"/>
  <c r="V223" i="2" s="1"/>
  <c r="T224" i="2"/>
  <c r="V224" i="2" s="1"/>
  <c r="T225" i="2"/>
  <c r="V225" i="2" s="1"/>
  <c r="T226" i="2"/>
  <c r="V226" i="2" s="1"/>
  <c r="T227" i="2"/>
  <c r="V227" i="2" s="1"/>
  <c r="T228" i="2"/>
  <c r="V228" i="2" s="1"/>
  <c r="T229" i="2"/>
  <c r="V229" i="2" s="1"/>
  <c r="T230" i="2"/>
  <c r="V230" i="2" s="1"/>
  <c r="T231" i="2"/>
  <c r="V231" i="2" s="1"/>
  <c r="T232" i="2"/>
  <c r="V232" i="2" s="1"/>
  <c r="T233" i="2"/>
  <c r="V233" i="2" s="1"/>
  <c r="T234" i="2"/>
  <c r="V234" i="2" s="1"/>
  <c r="T235" i="2"/>
  <c r="V235" i="2" s="1"/>
  <c r="T236" i="2"/>
  <c r="V236" i="2" s="1"/>
  <c r="T237" i="2"/>
  <c r="V237" i="2" s="1"/>
  <c r="T238" i="2"/>
  <c r="V238" i="2" s="1"/>
  <c r="T239" i="2"/>
  <c r="V239" i="2" s="1"/>
  <c r="T240" i="2"/>
  <c r="V240" i="2" s="1"/>
  <c r="T241" i="2"/>
  <c r="V241" i="2" s="1"/>
  <c r="T242" i="2"/>
  <c r="V242" i="2" s="1"/>
  <c r="T243" i="2"/>
  <c r="V243" i="2" s="1"/>
  <c r="T244" i="2"/>
  <c r="V244" i="2" s="1"/>
  <c r="T245" i="2"/>
  <c r="V245" i="2" s="1"/>
  <c r="T246" i="2"/>
  <c r="V246" i="2" s="1"/>
  <c r="T247" i="2"/>
  <c r="V247" i="2" s="1"/>
  <c r="T248" i="2"/>
  <c r="V248" i="2" s="1"/>
  <c r="T249" i="2"/>
  <c r="V249" i="2" s="1"/>
  <c r="T250" i="2"/>
  <c r="V250" i="2" s="1"/>
  <c r="T251" i="2"/>
  <c r="V251" i="2" s="1"/>
  <c r="T252" i="2"/>
  <c r="V252" i="2" s="1"/>
  <c r="T253" i="2"/>
  <c r="V253" i="2" s="1"/>
  <c r="T254" i="2"/>
  <c r="V254" i="2" s="1"/>
  <c r="T255" i="2"/>
  <c r="V255" i="2" s="1"/>
  <c r="T256" i="2"/>
  <c r="V256" i="2" s="1"/>
  <c r="T257" i="2"/>
  <c r="V257" i="2" s="1"/>
  <c r="T258" i="2"/>
  <c r="V258" i="2" s="1"/>
  <c r="T259" i="2"/>
  <c r="V259" i="2" s="1"/>
  <c r="T260" i="2"/>
  <c r="V260" i="2" s="1"/>
  <c r="T261" i="2"/>
  <c r="V261" i="2" s="1"/>
  <c r="T262" i="2"/>
  <c r="V262" i="2" s="1"/>
  <c r="T263" i="2"/>
  <c r="V263" i="2" s="1"/>
  <c r="T264" i="2"/>
  <c r="V264" i="2" s="1"/>
  <c r="T265" i="2"/>
  <c r="V265" i="2" s="1"/>
  <c r="T266" i="2"/>
  <c r="V266" i="2" s="1"/>
  <c r="T267" i="2"/>
  <c r="V267" i="2" s="1"/>
  <c r="T268" i="2"/>
  <c r="V268" i="2" s="1"/>
  <c r="T269" i="2"/>
  <c r="V269" i="2" s="1"/>
  <c r="T270" i="2"/>
  <c r="V270" i="2" s="1"/>
  <c r="T271" i="2"/>
  <c r="V271" i="2" s="1"/>
  <c r="T272" i="2"/>
  <c r="V272" i="2" s="1"/>
  <c r="T273" i="2"/>
  <c r="V273" i="2" s="1"/>
  <c r="T274" i="2"/>
  <c r="V274" i="2" s="1"/>
  <c r="T275" i="2"/>
  <c r="V275" i="2" s="1"/>
  <c r="T276" i="2"/>
  <c r="V276" i="2" s="1"/>
  <c r="T277" i="2"/>
  <c r="V277" i="2" s="1"/>
  <c r="T278" i="2"/>
  <c r="V278" i="2" s="1"/>
  <c r="T279" i="2"/>
  <c r="V279" i="2" s="1"/>
  <c r="T280" i="2"/>
  <c r="V280" i="2" s="1"/>
  <c r="T281" i="2"/>
  <c r="V281" i="2" s="1"/>
  <c r="T282" i="2"/>
  <c r="V282" i="2" s="1"/>
  <c r="T283" i="2"/>
  <c r="V283" i="2" s="1"/>
  <c r="T284" i="2"/>
  <c r="V284" i="2" s="1"/>
  <c r="T285" i="2"/>
  <c r="V285" i="2" s="1"/>
  <c r="T286" i="2"/>
  <c r="V286" i="2" s="1"/>
  <c r="T287" i="2"/>
  <c r="V287" i="2" s="1"/>
  <c r="T288" i="2"/>
  <c r="V288" i="2" s="1"/>
  <c r="T289" i="2"/>
  <c r="V289" i="2" s="1"/>
  <c r="T290" i="2"/>
  <c r="V290" i="2" s="1"/>
  <c r="T291" i="2"/>
  <c r="V291" i="2" s="1"/>
  <c r="T292" i="2"/>
  <c r="V292" i="2" s="1"/>
  <c r="T293" i="2"/>
  <c r="V293" i="2" s="1"/>
  <c r="T294" i="2"/>
  <c r="V294" i="2" s="1"/>
  <c r="T295" i="2"/>
  <c r="V295" i="2" s="1"/>
  <c r="T296" i="2"/>
  <c r="V296" i="2" s="1"/>
  <c r="T297" i="2"/>
  <c r="V297" i="2" s="1"/>
  <c r="T298" i="2"/>
  <c r="V298" i="2" s="1"/>
  <c r="T299" i="2"/>
  <c r="V299" i="2" s="1"/>
  <c r="T300" i="2"/>
  <c r="V300" i="2" s="1"/>
  <c r="T301" i="2"/>
  <c r="V301" i="2" s="1"/>
  <c r="T302" i="2"/>
  <c r="V302" i="2" s="1"/>
  <c r="T303" i="2"/>
  <c r="V303" i="2" s="1"/>
  <c r="T304" i="2"/>
  <c r="V304" i="2" s="1"/>
  <c r="T305" i="2"/>
  <c r="V305" i="2" s="1"/>
  <c r="T306" i="2"/>
  <c r="V306" i="2" s="1"/>
  <c r="T307" i="2"/>
  <c r="V307" i="2" s="1"/>
  <c r="T308" i="2"/>
  <c r="V308" i="2" s="1"/>
  <c r="T309" i="2"/>
  <c r="V309" i="2" s="1"/>
  <c r="T310" i="2"/>
  <c r="V310" i="2" s="1"/>
  <c r="T311" i="2"/>
  <c r="V311" i="2" s="1"/>
  <c r="T312" i="2"/>
  <c r="V312" i="2" s="1"/>
  <c r="T313" i="2"/>
  <c r="V313" i="2" s="1"/>
  <c r="T314" i="2"/>
  <c r="V314" i="2" s="1"/>
  <c r="T315" i="2"/>
  <c r="V315" i="2" s="1"/>
  <c r="T316" i="2"/>
  <c r="V316" i="2" s="1"/>
  <c r="T317" i="2"/>
  <c r="V317" i="2" s="1"/>
  <c r="T318" i="2"/>
  <c r="V318" i="2" s="1"/>
  <c r="T319" i="2"/>
  <c r="V319" i="2" s="1"/>
  <c r="T320" i="2"/>
  <c r="V320" i="2" s="1"/>
  <c r="T321" i="2"/>
  <c r="V321" i="2" s="1"/>
  <c r="T322" i="2"/>
  <c r="V322" i="2" s="1"/>
  <c r="T323" i="2"/>
  <c r="V323" i="2" s="1"/>
  <c r="T324" i="2"/>
  <c r="V324" i="2" s="1"/>
  <c r="T325" i="2"/>
  <c r="V325" i="2" s="1"/>
  <c r="T326" i="2"/>
  <c r="V326" i="2" s="1"/>
  <c r="T327" i="2"/>
  <c r="V327" i="2" s="1"/>
  <c r="T328" i="2"/>
  <c r="V328" i="2" s="1"/>
  <c r="T329" i="2"/>
  <c r="V329" i="2" s="1"/>
  <c r="T330" i="2"/>
  <c r="V330" i="2" s="1"/>
  <c r="T331" i="2"/>
  <c r="V331" i="2" s="1"/>
  <c r="T332" i="2"/>
  <c r="V332" i="2" s="1"/>
  <c r="T333" i="2"/>
  <c r="V333" i="2" s="1"/>
  <c r="T334" i="2"/>
  <c r="V334" i="2" s="1"/>
  <c r="T335" i="2"/>
  <c r="V335" i="2" s="1"/>
  <c r="T336" i="2"/>
  <c r="V336" i="2" s="1"/>
  <c r="T337" i="2"/>
  <c r="V337" i="2" s="1"/>
  <c r="T338" i="2"/>
  <c r="V338" i="2" s="1"/>
  <c r="T339" i="2"/>
  <c r="V339" i="2" s="1"/>
  <c r="T340" i="2"/>
  <c r="V340" i="2" s="1"/>
  <c r="T341" i="2"/>
  <c r="V341" i="2" s="1"/>
  <c r="T342" i="2"/>
  <c r="V342" i="2" s="1"/>
  <c r="T343" i="2"/>
  <c r="V343" i="2" s="1"/>
  <c r="T344" i="2"/>
  <c r="V344" i="2" s="1"/>
  <c r="T345" i="2"/>
  <c r="V345" i="2" s="1"/>
  <c r="T346" i="2"/>
  <c r="V346" i="2" s="1"/>
  <c r="T347" i="2"/>
  <c r="V347" i="2" s="1"/>
  <c r="T348" i="2"/>
  <c r="V348" i="2" s="1"/>
  <c r="T349" i="2"/>
  <c r="V349" i="2" s="1"/>
  <c r="T350" i="2"/>
  <c r="V350" i="2" s="1"/>
  <c r="T351" i="2"/>
  <c r="V351" i="2" s="1"/>
  <c r="T352" i="2"/>
  <c r="V352" i="2" s="1"/>
  <c r="T353" i="2"/>
  <c r="V353" i="2" s="1"/>
  <c r="T354" i="2"/>
  <c r="V354" i="2" s="1"/>
  <c r="T355" i="2"/>
  <c r="V355" i="2" s="1"/>
  <c r="T356" i="2"/>
  <c r="V356" i="2" s="1"/>
  <c r="T357" i="2"/>
  <c r="V357" i="2" s="1"/>
  <c r="T358" i="2"/>
  <c r="V358" i="2" s="1"/>
  <c r="T359" i="2"/>
  <c r="V359" i="2" s="1"/>
  <c r="T360" i="2"/>
  <c r="V360" i="2" s="1"/>
  <c r="T361" i="2"/>
  <c r="V361" i="2" s="1"/>
  <c r="T362" i="2"/>
  <c r="V362" i="2" s="1"/>
  <c r="T363" i="2"/>
  <c r="V363" i="2" s="1"/>
  <c r="T364" i="2"/>
  <c r="V364" i="2" s="1"/>
  <c r="T365" i="2"/>
  <c r="V365" i="2" s="1"/>
  <c r="T366" i="2"/>
  <c r="V366" i="2" s="1"/>
  <c r="T367" i="2"/>
  <c r="V367" i="2" s="1"/>
  <c r="T368" i="2"/>
  <c r="V368" i="2" s="1"/>
  <c r="T369" i="2"/>
  <c r="V369" i="2" s="1"/>
  <c r="T370" i="2"/>
  <c r="V370" i="2" s="1"/>
  <c r="T371" i="2"/>
  <c r="V371" i="2" s="1"/>
  <c r="T372" i="2"/>
  <c r="V372" i="2" s="1"/>
  <c r="T373" i="2"/>
  <c r="V373" i="2" s="1"/>
  <c r="T374" i="2"/>
  <c r="V374" i="2" s="1"/>
  <c r="T375" i="2"/>
  <c r="V375" i="2" s="1"/>
  <c r="T376" i="2"/>
  <c r="V376" i="2" s="1"/>
  <c r="T377" i="2"/>
  <c r="V377" i="2" s="1"/>
  <c r="T378" i="2"/>
  <c r="V378" i="2" s="1"/>
  <c r="T379" i="2"/>
  <c r="V379" i="2" s="1"/>
  <c r="T380" i="2"/>
  <c r="V380" i="2" s="1"/>
  <c r="T381" i="2"/>
  <c r="V381" i="2" s="1"/>
  <c r="T382" i="2"/>
  <c r="V382" i="2" s="1"/>
  <c r="T383" i="2"/>
  <c r="V383" i="2" s="1"/>
  <c r="T384" i="2"/>
  <c r="V384" i="2" s="1"/>
  <c r="T385" i="2"/>
  <c r="V385" i="2" s="1"/>
  <c r="T386" i="2"/>
  <c r="V386" i="2" s="1"/>
  <c r="T387" i="2"/>
  <c r="V387" i="2" s="1"/>
  <c r="T388" i="2"/>
  <c r="V388" i="2" s="1"/>
  <c r="T389" i="2"/>
  <c r="V389" i="2" s="1"/>
  <c r="T390" i="2"/>
  <c r="V390" i="2" s="1"/>
  <c r="T391" i="2"/>
  <c r="V391" i="2" s="1"/>
  <c r="T392" i="2"/>
  <c r="V392" i="2" s="1"/>
  <c r="T393" i="2"/>
  <c r="V393" i="2" s="1"/>
  <c r="T394" i="2"/>
  <c r="V394" i="2" s="1"/>
  <c r="T395" i="2"/>
  <c r="V395" i="2" s="1"/>
  <c r="T396" i="2"/>
  <c r="V396" i="2" s="1"/>
  <c r="T397" i="2"/>
  <c r="V397" i="2" s="1"/>
  <c r="T398" i="2"/>
  <c r="V398" i="2" s="1"/>
  <c r="T399" i="2"/>
  <c r="V399" i="2" s="1"/>
  <c r="T400" i="2"/>
  <c r="V400" i="2" s="1"/>
  <c r="T401" i="2"/>
  <c r="V401" i="2" s="1"/>
  <c r="T402" i="2"/>
  <c r="V402" i="2" s="1"/>
  <c r="T403" i="2"/>
  <c r="V403" i="2" s="1"/>
  <c r="T404" i="2"/>
  <c r="V404" i="2" s="1"/>
  <c r="T405" i="2"/>
  <c r="V405" i="2" s="1"/>
  <c r="T406" i="2"/>
  <c r="V406" i="2" s="1"/>
  <c r="T407" i="2"/>
  <c r="V407" i="2" s="1"/>
  <c r="T408" i="2"/>
  <c r="V408" i="2" s="1"/>
  <c r="T409" i="2"/>
  <c r="V409" i="2" s="1"/>
  <c r="T410" i="2"/>
  <c r="V410" i="2" s="1"/>
  <c r="T411" i="2"/>
  <c r="V411" i="2" s="1"/>
  <c r="T412" i="2"/>
  <c r="V412" i="2" s="1"/>
  <c r="T413" i="2"/>
  <c r="V413" i="2" s="1"/>
  <c r="T414" i="2"/>
  <c r="V414" i="2" s="1"/>
  <c r="T415" i="2"/>
  <c r="V415" i="2" s="1"/>
  <c r="T416" i="2"/>
  <c r="V416" i="2" s="1"/>
  <c r="T417" i="2"/>
  <c r="V417" i="2" s="1"/>
  <c r="T418" i="2"/>
  <c r="V418" i="2" s="1"/>
  <c r="T419" i="2"/>
  <c r="V419" i="2" s="1"/>
  <c r="T420" i="2"/>
  <c r="V420" i="2" s="1"/>
  <c r="T421" i="2"/>
  <c r="V421" i="2" s="1"/>
  <c r="T422" i="2"/>
  <c r="V422" i="2" s="1"/>
  <c r="T423" i="2"/>
  <c r="V423" i="2" s="1"/>
  <c r="T424" i="2"/>
  <c r="V424" i="2" s="1"/>
  <c r="T425" i="2"/>
  <c r="V425" i="2" s="1"/>
  <c r="T426" i="2"/>
  <c r="V426" i="2" s="1"/>
  <c r="T427" i="2"/>
  <c r="V427" i="2" s="1"/>
  <c r="T428" i="2"/>
  <c r="V428" i="2" s="1"/>
  <c r="T429" i="2"/>
  <c r="V429" i="2" s="1"/>
  <c r="T430" i="2"/>
  <c r="V430" i="2" s="1"/>
  <c r="T431" i="2"/>
  <c r="V431" i="2" s="1"/>
  <c r="T432" i="2"/>
  <c r="V432" i="2" s="1"/>
  <c r="T433" i="2"/>
  <c r="V433" i="2" s="1"/>
  <c r="T434" i="2"/>
  <c r="V434" i="2" s="1"/>
  <c r="T435" i="2"/>
  <c r="V435" i="2" s="1"/>
  <c r="T436" i="2"/>
  <c r="V436" i="2" s="1"/>
  <c r="T437" i="2"/>
  <c r="V437" i="2" s="1"/>
  <c r="T438" i="2"/>
  <c r="V438" i="2" s="1"/>
  <c r="T439" i="2"/>
  <c r="V439" i="2" s="1"/>
  <c r="T440" i="2"/>
  <c r="V440" i="2" s="1"/>
  <c r="T441" i="2"/>
  <c r="V441" i="2" s="1"/>
  <c r="T442" i="2"/>
  <c r="V442" i="2" s="1"/>
  <c r="T443" i="2"/>
  <c r="V443" i="2" s="1"/>
  <c r="T444" i="2"/>
  <c r="V444" i="2" s="1"/>
  <c r="T445" i="2"/>
  <c r="V445" i="2" s="1"/>
  <c r="T446" i="2"/>
  <c r="V446" i="2" s="1"/>
  <c r="T447" i="2"/>
  <c r="V447" i="2" s="1"/>
  <c r="T448" i="2"/>
  <c r="V448" i="2" s="1"/>
  <c r="T449" i="2"/>
  <c r="V449" i="2" s="1"/>
  <c r="T450" i="2"/>
  <c r="V450" i="2" s="1"/>
  <c r="T451" i="2"/>
  <c r="V451" i="2" s="1"/>
  <c r="T452" i="2"/>
  <c r="V452" i="2" s="1"/>
  <c r="T453" i="2"/>
  <c r="V453" i="2" s="1"/>
  <c r="T454" i="2"/>
  <c r="V454" i="2" s="1"/>
  <c r="T455" i="2"/>
  <c r="V455" i="2" s="1"/>
  <c r="T456" i="2"/>
  <c r="V456" i="2" s="1"/>
  <c r="T457" i="2"/>
  <c r="V457" i="2" s="1"/>
  <c r="T458" i="2"/>
  <c r="V458" i="2" s="1"/>
  <c r="T459" i="2"/>
  <c r="V459" i="2" s="1"/>
  <c r="T460" i="2"/>
  <c r="V460" i="2" s="1"/>
  <c r="T461" i="2"/>
  <c r="V461" i="2" s="1"/>
  <c r="T462" i="2"/>
  <c r="V462" i="2" s="1"/>
  <c r="T463" i="2"/>
  <c r="V463" i="2" s="1"/>
  <c r="T464" i="2"/>
  <c r="V464" i="2" s="1"/>
  <c r="T465" i="2"/>
  <c r="V465" i="2" s="1"/>
  <c r="T466" i="2"/>
  <c r="V466" i="2" s="1"/>
  <c r="T467" i="2"/>
  <c r="V467" i="2" s="1"/>
  <c r="T468" i="2"/>
  <c r="V468" i="2" s="1"/>
  <c r="T469" i="2"/>
  <c r="V469" i="2" s="1"/>
  <c r="T470" i="2"/>
  <c r="V470" i="2" s="1"/>
  <c r="T471" i="2"/>
  <c r="V471" i="2" s="1"/>
  <c r="T472" i="2"/>
  <c r="V472" i="2" s="1"/>
  <c r="T473" i="2"/>
  <c r="V473" i="2" s="1"/>
  <c r="T474" i="2"/>
  <c r="V474" i="2" s="1"/>
  <c r="T475" i="2"/>
  <c r="V475" i="2" s="1"/>
  <c r="T476" i="2"/>
  <c r="V476" i="2" s="1"/>
  <c r="T477" i="2"/>
  <c r="V477" i="2" s="1"/>
  <c r="T478" i="2"/>
  <c r="V478" i="2" s="1"/>
  <c r="T479" i="2"/>
  <c r="V479" i="2" s="1"/>
  <c r="T480" i="2"/>
  <c r="V480" i="2" s="1"/>
  <c r="T481" i="2"/>
  <c r="V481" i="2" s="1"/>
  <c r="T482" i="2"/>
  <c r="V482" i="2" s="1"/>
  <c r="T483" i="2"/>
  <c r="V483" i="2" s="1"/>
  <c r="T484" i="2"/>
  <c r="V484" i="2" s="1"/>
  <c r="T485" i="2"/>
  <c r="V485" i="2" s="1"/>
  <c r="T486" i="2"/>
  <c r="V486" i="2" s="1"/>
  <c r="T487" i="2"/>
  <c r="V487" i="2" s="1"/>
  <c r="T488" i="2"/>
  <c r="V488" i="2" s="1"/>
  <c r="T489" i="2"/>
  <c r="V489" i="2" s="1"/>
  <c r="T490" i="2"/>
  <c r="V490" i="2" s="1"/>
  <c r="T491" i="2"/>
  <c r="V491" i="2" s="1"/>
  <c r="T492" i="2"/>
  <c r="V492" i="2" s="1"/>
  <c r="T493" i="2"/>
  <c r="V493" i="2" s="1"/>
  <c r="T494" i="2"/>
  <c r="V494" i="2" s="1"/>
  <c r="T495" i="2"/>
  <c r="V495" i="2" s="1"/>
  <c r="T496" i="2"/>
  <c r="V496" i="2" s="1"/>
  <c r="T497" i="2"/>
  <c r="V497" i="2" s="1"/>
  <c r="T498" i="2"/>
  <c r="V498" i="2" s="1"/>
  <c r="T499" i="2"/>
  <c r="V499" i="2" s="1"/>
  <c r="T500" i="2"/>
  <c r="V500" i="2" s="1"/>
  <c r="T501" i="2"/>
  <c r="V501" i="2" s="1"/>
  <c r="T502" i="2"/>
  <c r="V502" i="2" s="1"/>
  <c r="T503" i="2"/>
  <c r="V503" i="2" s="1"/>
  <c r="T504" i="2"/>
  <c r="V504" i="2" s="1"/>
  <c r="T505" i="2"/>
  <c r="V505" i="2" s="1"/>
  <c r="T506" i="2"/>
  <c r="V506" i="2" s="1"/>
  <c r="T507" i="2"/>
  <c r="V507" i="2" s="1"/>
  <c r="T508" i="2"/>
  <c r="V508" i="2" s="1"/>
  <c r="T509" i="2"/>
  <c r="V509" i="2" s="1"/>
  <c r="T510" i="2"/>
  <c r="V510" i="2" s="1"/>
  <c r="T511" i="2"/>
  <c r="V511" i="2" s="1"/>
  <c r="T512" i="2"/>
  <c r="V512" i="2" s="1"/>
  <c r="T513" i="2"/>
  <c r="V513" i="2" s="1"/>
  <c r="T514" i="2"/>
  <c r="V514" i="2" s="1"/>
  <c r="T515" i="2"/>
  <c r="V515" i="2" s="1"/>
  <c r="T516" i="2"/>
  <c r="V516" i="2" s="1"/>
  <c r="T517" i="2"/>
  <c r="V517" i="2" s="1"/>
  <c r="T518" i="2"/>
  <c r="V518" i="2" s="1"/>
  <c r="T519" i="2"/>
  <c r="V519" i="2" s="1"/>
  <c r="T520" i="2"/>
  <c r="V520" i="2" s="1"/>
  <c r="T521" i="2"/>
  <c r="V521" i="2" s="1"/>
  <c r="T522" i="2"/>
  <c r="V522" i="2" s="1"/>
  <c r="T523" i="2"/>
  <c r="V523" i="2" s="1"/>
  <c r="T524" i="2"/>
  <c r="V524" i="2" s="1"/>
  <c r="T525" i="2"/>
  <c r="V525" i="2" s="1"/>
  <c r="T526" i="2"/>
  <c r="V526" i="2" s="1"/>
  <c r="T527" i="2"/>
  <c r="V527" i="2" s="1"/>
  <c r="T528" i="2"/>
  <c r="V528" i="2" s="1"/>
  <c r="T529" i="2"/>
  <c r="V529" i="2" s="1"/>
  <c r="T530" i="2"/>
  <c r="V530" i="2" s="1"/>
  <c r="T531" i="2"/>
  <c r="V531" i="2" s="1"/>
  <c r="T532" i="2"/>
  <c r="V532" i="2" s="1"/>
  <c r="T533" i="2"/>
  <c r="V533" i="2" s="1"/>
  <c r="T534" i="2"/>
  <c r="V534" i="2" s="1"/>
  <c r="T535" i="2"/>
  <c r="V535" i="2" s="1"/>
  <c r="T536" i="2"/>
  <c r="V536" i="2" s="1"/>
  <c r="T537" i="2"/>
  <c r="V537" i="2" s="1"/>
  <c r="T538" i="2"/>
  <c r="V538" i="2" s="1"/>
  <c r="T539" i="2"/>
  <c r="V539" i="2" s="1"/>
  <c r="T540" i="2"/>
  <c r="V540" i="2" s="1"/>
  <c r="T541" i="2"/>
  <c r="V541" i="2" s="1"/>
  <c r="T542" i="2"/>
  <c r="V542" i="2" s="1"/>
  <c r="T543" i="2"/>
  <c r="V543" i="2" s="1"/>
  <c r="T544" i="2"/>
  <c r="V544" i="2" s="1"/>
  <c r="T545" i="2"/>
  <c r="V545" i="2" s="1"/>
  <c r="T546" i="2"/>
  <c r="V546" i="2" s="1"/>
  <c r="T547" i="2"/>
  <c r="V547" i="2" s="1"/>
  <c r="T548" i="2"/>
  <c r="V548" i="2" s="1"/>
  <c r="T549" i="2"/>
  <c r="V549" i="2" s="1"/>
  <c r="T550" i="2"/>
  <c r="V550" i="2" s="1"/>
  <c r="T551" i="2"/>
  <c r="V551" i="2" s="1"/>
  <c r="T552" i="2"/>
  <c r="V552" i="2" s="1"/>
  <c r="T553" i="2"/>
  <c r="V553" i="2" s="1"/>
  <c r="T554" i="2"/>
  <c r="V554" i="2" s="1"/>
  <c r="T555" i="2"/>
  <c r="V555" i="2" s="1"/>
  <c r="T556" i="2"/>
  <c r="V556" i="2" s="1"/>
  <c r="T557" i="2"/>
  <c r="V557" i="2" s="1"/>
  <c r="T558" i="2"/>
  <c r="V558" i="2" s="1"/>
  <c r="T559" i="2"/>
  <c r="V559" i="2" s="1"/>
  <c r="T560" i="2"/>
  <c r="V560" i="2" s="1"/>
  <c r="T561" i="2"/>
  <c r="V561" i="2" s="1"/>
  <c r="T562" i="2"/>
  <c r="V562" i="2" s="1"/>
  <c r="T563" i="2"/>
  <c r="V563" i="2" s="1"/>
  <c r="T564" i="2"/>
  <c r="V564" i="2" s="1"/>
  <c r="T565" i="2"/>
  <c r="V565" i="2" s="1"/>
  <c r="T566" i="2"/>
  <c r="V566" i="2" s="1"/>
  <c r="T567" i="2"/>
  <c r="V567" i="2" s="1"/>
  <c r="T568" i="2"/>
  <c r="V568" i="2" s="1"/>
  <c r="T569" i="2"/>
  <c r="V569" i="2" s="1"/>
  <c r="T570" i="2"/>
  <c r="V570" i="2" s="1"/>
  <c r="T571" i="2"/>
  <c r="V571" i="2" s="1"/>
  <c r="T572" i="2"/>
  <c r="V572" i="2" s="1"/>
  <c r="T573" i="2"/>
  <c r="V573" i="2" s="1"/>
  <c r="T574" i="2"/>
  <c r="V574" i="2" s="1"/>
  <c r="T575" i="2"/>
  <c r="V575" i="2" s="1"/>
  <c r="T576" i="2"/>
  <c r="V576" i="2" s="1"/>
  <c r="T577" i="2"/>
  <c r="V577" i="2" s="1"/>
  <c r="T578" i="2"/>
  <c r="V578" i="2" s="1"/>
  <c r="T579" i="2"/>
  <c r="V579" i="2" s="1"/>
  <c r="T580" i="2"/>
  <c r="V580" i="2" s="1"/>
  <c r="T581" i="2"/>
  <c r="V581" i="2" s="1"/>
  <c r="T582" i="2"/>
  <c r="V582" i="2" s="1"/>
  <c r="T583" i="2"/>
  <c r="V583" i="2" s="1"/>
  <c r="T584" i="2"/>
  <c r="V584" i="2" s="1"/>
  <c r="T585" i="2"/>
  <c r="V585" i="2" s="1"/>
  <c r="T586" i="2"/>
  <c r="V586" i="2" s="1"/>
  <c r="T587" i="2"/>
  <c r="V587" i="2" s="1"/>
  <c r="T588" i="2"/>
  <c r="V588" i="2" s="1"/>
  <c r="T589" i="2"/>
  <c r="V589" i="2" s="1"/>
  <c r="T590" i="2"/>
  <c r="V590" i="2" s="1"/>
  <c r="T591" i="2"/>
  <c r="V591" i="2" s="1"/>
  <c r="T592" i="2"/>
  <c r="V592" i="2" s="1"/>
  <c r="T593" i="2"/>
  <c r="V593" i="2" s="1"/>
  <c r="T594" i="2"/>
  <c r="V594" i="2" s="1"/>
  <c r="T595" i="2"/>
  <c r="V595" i="2" s="1"/>
  <c r="T596" i="2"/>
  <c r="V596" i="2" s="1"/>
  <c r="T597" i="2"/>
  <c r="V597" i="2" s="1"/>
  <c r="T598" i="2"/>
  <c r="V598" i="2" s="1"/>
  <c r="T599" i="2"/>
  <c r="V599" i="2" s="1"/>
  <c r="T600" i="2"/>
  <c r="V600" i="2" s="1"/>
  <c r="T601" i="2"/>
  <c r="V601" i="2" s="1"/>
  <c r="T602" i="2"/>
  <c r="V602" i="2" s="1"/>
  <c r="T603" i="2"/>
  <c r="V603" i="2" s="1"/>
  <c r="T604" i="2"/>
  <c r="V604" i="2" s="1"/>
  <c r="T605" i="2"/>
  <c r="V605" i="2" s="1"/>
  <c r="T606" i="2"/>
  <c r="V606" i="2" s="1"/>
  <c r="T607" i="2"/>
  <c r="V607" i="2" s="1"/>
  <c r="T608" i="2"/>
  <c r="V608" i="2" s="1"/>
  <c r="T609" i="2"/>
  <c r="V609" i="2" s="1"/>
  <c r="T610" i="2"/>
  <c r="V610" i="2" s="1"/>
  <c r="T611" i="2"/>
  <c r="V611" i="2" s="1"/>
  <c r="T612" i="2"/>
  <c r="V612" i="2" s="1"/>
  <c r="T613" i="2"/>
  <c r="V613" i="2" s="1"/>
  <c r="T614" i="2"/>
  <c r="V614" i="2" s="1"/>
  <c r="T615" i="2"/>
  <c r="V615" i="2" s="1"/>
  <c r="T616" i="2"/>
  <c r="V616" i="2" s="1"/>
  <c r="T617" i="2"/>
  <c r="V617" i="2" s="1"/>
  <c r="T618" i="2"/>
  <c r="V618" i="2" s="1"/>
  <c r="T619" i="2"/>
  <c r="V619" i="2" s="1"/>
  <c r="T620" i="2"/>
  <c r="V620" i="2" s="1"/>
  <c r="T621" i="2"/>
  <c r="V621" i="2" s="1"/>
  <c r="T622" i="2"/>
  <c r="V622" i="2" s="1"/>
  <c r="T623" i="2"/>
  <c r="V623" i="2" s="1"/>
  <c r="T624" i="2"/>
  <c r="V624" i="2" s="1"/>
  <c r="T625" i="2"/>
  <c r="V625" i="2" s="1"/>
  <c r="T626" i="2"/>
  <c r="V626" i="2" s="1"/>
  <c r="T627" i="2"/>
  <c r="V627" i="2" s="1"/>
  <c r="T628" i="2"/>
  <c r="V628" i="2" s="1"/>
  <c r="T629" i="2"/>
  <c r="V629" i="2" s="1"/>
  <c r="T630" i="2"/>
  <c r="V630" i="2" s="1"/>
  <c r="T631" i="2"/>
  <c r="V631" i="2" s="1"/>
  <c r="T632" i="2"/>
  <c r="V632" i="2" s="1"/>
  <c r="T633" i="2"/>
  <c r="V633" i="2" s="1"/>
  <c r="T634" i="2"/>
  <c r="V634" i="2" s="1"/>
  <c r="T635" i="2"/>
  <c r="V635" i="2" s="1"/>
  <c r="T636" i="2"/>
  <c r="V636" i="2" s="1"/>
  <c r="T637" i="2"/>
  <c r="V637" i="2" s="1"/>
  <c r="T638" i="2"/>
  <c r="V638" i="2" s="1"/>
  <c r="T639" i="2"/>
  <c r="V639" i="2" s="1"/>
  <c r="T640" i="2"/>
  <c r="V640" i="2" s="1"/>
  <c r="T641" i="2"/>
  <c r="V641" i="2" s="1"/>
  <c r="T642" i="2"/>
  <c r="V642" i="2" s="1"/>
  <c r="T643" i="2"/>
  <c r="V643" i="2" s="1"/>
  <c r="T644" i="2"/>
  <c r="V644" i="2" s="1"/>
  <c r="T645" i="2"/>
  <c r="V645" i="2" s="1"/>
  <c r="T646" i="2"/>
  <c r="V646" i="2" s="1"/>
  <c r="T647" i="2"/>
  <c r="V647" i="2" s="1"/>
  <c r="T648" i="2"/>
  <c r="V648" i="2" s="1"/>
  <c r="T649" i="2"/>
  <c r="V649" i="2" s="1"/>
  <c r="T650" i="2"/>
  <c r="V650" i="2" s="1"/>
  <c r="T651" i="2"/>
  <c r="V651" i="2" s="1"/>
  <c r="T652" i="2"/>
  <c r="V652" i="2" s="1"/>
  <c r="T653" i="2"/>
  <c r="V653" i="2" s="1"/>
  <c r="T654" i="2"/>
  <c r="V654" i="2" s="1"/>
  <c r="T655" i="2"/>
  <c r="V655" i="2" s="1"/>
  <c r="T656" i="2"/>
  <c r="V656" i="2" s="1"/>
  <c r="T657" i="2"/>
  <c r="V657" i="2" s="1"/>
  <c r="T658" i="2"/>
  <c r="V658" i="2" s="1"/>
  <c r="T659" i="2"/>
  <c r="V659" i="2" s="1"/>
  <c r="T660" i="2"/>
  <c r="V660" i="2" s="1"/>
  <c r="T661" i="2"/>
  <c r="V661" i="2" s="1"/>
  <c r="T662" i="2"/>
  <c r="V662" i="2" s="1"/>
  <c r="T663" i="2"/>
  <c r="V663" i="2" s="1"/>
  <c r="T664" i="2"/>
  <c r="V664" i="2" s="1"/>
  <c r="T665" i="2"/>
  <c r="V665" i="2" s="1"/>
  <c r="T666" i="2"/>
  <c r="V666" i="2" s="1"/>
  <c r="T667" i="2"/>
  <c r="V667" i="2" s="1"/>
  <c r="T668" i="2"/>
  <c r="V668" i="2" s="1"/>
  <c r="T669" i="2"/>
  <c r="V669" i="2" s="1"/>
  <c r="T670" i="2"/>
  <c r="V670" i="2" s="1"/>
  <c r="T671" i="2"/>
  <c r="V671" i="2" s="1"/>
  <c r="T672" i="2"/>
  <c r="V672" i="2" s="1"/>
  <c r="T673" i="2"/>
  <c r="V673" i="2" s="1"/>
  <c r="T674" i="2"/>
  <c r="V674" i="2" s="1"/>
  <c r="T675" i="2"/>
  <c r="V675" i="2" s="1"/>
  <c r="T676" i="2"/>
  <c r="V676" i="2" s="1"/>
  <c r="T677" i="2"/>
  <c r="V677" i="2" s="1"/>
  <c r="T678" i="2"/>
  <c r="V678" i="2" s="1"/>
  <c r="T679" i="2"/>
  <c r="V679" i="2" s="1"/>
  <c r="T680" i="2"/>
  <c r="V680" i="2" s="1"/>
  <c r="T681" i="2"/>
  <c r="V681" i="2" s="1"/>
  <c r="T682" i="2"/>
  <c r="V682" i="2" s="1"/>
  <c r="T683" i="2"/>
  <c r="V683" i="2" s="1"/>
  <c r="T684" i="2"/>
  <c r="V684" i="2" s="1"/>
  <c r="T685" i="2"/>
  <c r="V685" i="2" s="1"/>
  <c r="T686" i="2"/>
  <c r="V686" i="2" s="1"/>
  <c r="T687" i="2"/>
  <c r="V687" i="2" s="1"/>
  <c r="T688" i="2"/>
  <c r="V688" i="2" s="1"/>
  <c r="T689" i="2"/>
  <c r="V689" i="2" s="1"/>
  <c r="T690" i="2"/>
  <c r="V690" i="2" s="1"/>
  <c r="T691" i="2"/>
  <c r="V691" i="2" s="1"/>
  <c r="T692" i="2"/>
  <c r="V692" i="2" s="1"/>
  <c r="T693" i="2"/>
  <c r="V693" i="2" s="1"/>
  <c r="T694" i="2"/>
  <c r="V694" i="2" s="1"/>
  <c r="T695" i="2"/>
  <c r="V695" i="2" s="1"/>
  <c r="T696" i="2"/>
  <c r="V696" i="2" s="1"/>
  <c r="T697" i="2"/>
  <c r="V697" i="2" s="1"/>
  <c r="T698" i="2"/>
  <c r="V698" i="2" s="1"/>
  <c r="T699" i="2"/>
  <c r="V699" i="2" s="1"/>
  <c r="T700" i="2"/>
  <c r="V700" i="2" s="1"/>
  <c r="T701" i="2"/>
  <c r="V701" i="2" s="1"/>
  <c r="T702" i="2"/>
  <c r="V702" i="2" s="1"/>
  <c r="T703" i="2"/>
  <c r="V703" i="2" s="1"/>
  <c r="T704" i="2"/>
  <c r="V704" i="2" s="1"/>
  <c r="T705" i="2"/>
  <c r="V705" i="2" s="1"/>
  <c r="T706" i="2"/>
  <c r="V706" i="2" s="1"/>
  <c r="T707" i="2"/>
  <c r="V707" i="2" s="1"/>
  <c r="T708" i="2"/>
  <c r="V708" i="2" s="1"/>
  <c r="T709" i="2"/>
  <c r="V709" i="2" s="1"/>
  <c r="T710" i="2"/>
  <c r="V710" i="2" s="1"/>
  <c r="T711" i="2"/>
  <c r="V711" i="2" s="1"/>
  <c r="T712" i="2"/>
  <c r="V712" i="2" s="1"/>
  <c r="T713" i="2"/>
  <c r="V713" i="2" s="1"/>
  <c r="T714" i="2"/>
  <c r="V714" i="2" s="1"/>
  <c r="T715" i="2"/>
  <c r="V715" i="2" s="1"/>
  <c r="T716" i="2"/>
  <c r="V716" i="2" s="1"/>
  <c r="T717" i="2"/>
  <c r="V717" i="2" s="1"/>
  <c r="T718" i="2"/>
  <c r="V718" i="2" s="1"/>
  <c r="T719" i="2"/>
  <c r="V719" i="2" s="1"/>
  <c r="T720" i="2"/>
  <c r="V720" i="2" s="1"/>
  <c r="T721" i="2"/>
  <c r="V721" i="2" s="1"/>
  <c r="T722" i="2"/>
  <c r="V722" i="2" s="1"/>
  <c r="T723" i="2"/>
  <c r="V723" i="2" s="1"/>
  <c r="T724" i="2"/>
  <c r="V724" i="2" s="1"/>
  <c r="T725" i="2"/>
  <c r="V725" i="2" s="1"/>
  <c r="T726" i="2"/>
  <c r="V726" i="2" s="1"/>
  <c r="T727" i="2"/>
  <c r="V727" i="2" s="1"/>
  <c r="T728" i="2"/>
  <c r="V728" i="2" s="1"/>
  <c r="T729" i="2"/>
  <c r="V729" i="2" s="1"/>
  <c r="T730" i="2"/>
  <c r="V730" i="2" s="1"/>
  <c r="T731" i="2"/>
  <c r="V731" i="2" s="1"/>
  <c r="T732" i="2"/>
  <c r="V732" i="2" s="1"/>
  <c r="T733" i="2"/>
  <c r="V733" i="2" s="1"/>
  <c r="T734" i="2"/>
  <c r="V734" i="2" s="1"/>
  <c r="T735" i="2"/>
  <c r="V735" i="2" s="1"/>
  <c r="T736" i="2"/>
  <c r="V736" i="2" s="1"/>
  <c r="T737" i="2"/>
  <c r="V737" i="2" s="1"/>
  <c r="T738" i="2"/>
  <c r="V738" i="2" s="1"/>
  <c r="T739" i="2"/>
  <c r="V739" i="2" s="1"/>
  <c r="T740" i="2"/>
  <c r="V740" i="2" s="1"/>
  <c r="T741" i="2"/>
  <c r="V741" i="2" s="1"/>
  <c r="T742" i="2"/>
  <c r="V742" i="2" s="1"/>
  <c r="T743" i="2"/>
  <c r="V743" i="2" s="1"/>
  <c r="T744" i="2"/>
  <c r="V744" i="2" s="1"/>
  <c r="T745" i="2"/>
  <c r="V745" i="2" s="1"/>
  <c r="T746" i="2"/>
  <c r="T747" i="2"/>
  <c r="V747" i="2" s="1"/>
  <c r="T748" i="2"/>
  <c r="V748" i="2" s="1"/>
  <c r="T749" i="2"/>
  <c r="V749" i="2" s="1"/>
  <c r="T750" i="2"/>
  <c r="V750" i="2" s="1"/>
  <c r="T751" i="2"/>
  <c r="V751" i="2" s="1"/>
  <c r="T752" i="2"/>
  <c r="V752" i="2" s="1"/>
  <c r="T753" i="2"/>
  <c r="V753" i="2" s="1"/>
  <c r="T754" i="2"/>
  <c r="V754" i="2" s="1"/>
  <c r="T755" i="2"/>
  <c r="V755" i="2" s="1"/>
  <c r="T756" i="2"/>
  <c r="V756" i="2" s="1"/>
  <c r="T757" i="2"/>
  <c r="V757" i="2" s="1"/>
  <c r="T758" i="2"/>
  <c r="V758" i="2" s="1"/>
  <c r="T759" i="2"/>
  <c r="V759" i="2" s="1"/>
  <c r="T760" i="2"/>
  <c r="V760" i="2" s="1"/>
  <c r="T761" i="2"/>
  <c r="V761" i="2" s="1"/>
  <c r="T762" i="2"/>
  <c r="V762" i="2" s="1"/>
  <c r="T763" i="2"/>
  <c r="V763" i="2" s="1"/>
  <c r="T764" i="2"/>
  <c r="V764" i="2" s="1"/>
  <c r="T765" i="2"/>
  <c r="V765" i="2" s="1"/>
  <c r="T766" i="2"/>
  <c r="V766" i="2" s="1"/>
  <c r="T767" i="2"/>
  <c r="V767" i="2" s="1"/>
  <c r="T768" i="2"/>
  <c r="V768" i="2" s="1"/>
  <c r="T769" i="2"/>
  <c r="V769" i="2" s="1"/>
  <c r="T770" i="2"/>
  <c r="V770" i="2" s="1"/>
  <c r="T771" i="2"/>
  <c r="V771" i="2" s="1"/>
  <c r="T772" i="2"/>
  <c r="V772" i="2" s="1"/>
  <c r="T773" i="2"/>
  <c r="V773" i="2" s="1"/>
  <c r="T774" i="2"/>
  <c r="V774" i="2" s="1"/>
  <c r="T775" i="2"/>
  <c r="V775" i="2" s="1"/>
  <c r="T776" i="2"/>
  <c r="V776" i="2" s="1"/>
  <c r="T777" i="2"/>
  <c r="V777" i="2" s="1"/>
  <c r="T778" i="2"/>
  <c r="V778" i="2" s="1"/>
  <c r="T779" i="2"/>
  <c r="V779" i="2" s="1"/>
  <c r="T780" i="2"/>
  <c r="V780" i="2" s="1"/>
  <c r="T781" i="2"/>
  <c r="V781" i="2" s="1"/>
  <c r="T782" i="2"/>
  <c r="V782" i="2" s="1"/>
  <c r="T783" i="2"/>
  <c r="V783" i="2" s="1"/>
  <c r="T784" i="2"/>
  <c r="V784" i="2" s="1"/>
  <c r="T785" i="2"/>
  <c r="V785" i="2" s="1"/>
  <c r="T786" i="2"/>
  <c r="V786" i="2" s="1"/>
  <c r="T787" i="2"/>
  <c r="V787" i="2" s="1"/>
  <c r="T788" i="2"/>
  <c r="V788" i="2" s="1"/>
  <c r="T789" i="2"/>
  <c r="V789" i="2" s="1"/>
  <c r="T790" i="2"/>
  <c r="V790" i="2" s="1"/>
  <c r="T791" i="2"/>
  <c r="V791" i="2" s="1"/>
  <c r="T792" i="2"/>
  <c r="V792" i="2" s="1"/>
  <c r="T793" i="2"/>
  <c r="V793" i="2" s="1"/>
  <c r="T794" i="2"/>
  <c r="V794" i="2" s="1"/>
  <c r="T795" i="2"/>
  <c r="V795" i="2" s="1"/>
  <c r="T796" i="2"/>
  <c r="V796" i="2" s="1"/>
  <c r="T797" i="2"/>
  <c r="V797" i="2" s="1"/>
  <c r="T798" i="2"/>
  <c r="V798" i="2" s="1"/>
  <c r="T799" i="2"/>
  <c r="V799" i="2" s="1"/>
  <c r="T800" i="2"/>
  <c r="V800" i="2" s="1"/>
  <c r="T801" i="2"/>
  <c r="V801" i="2" s="1"/>
  <c r="T802" i="2"/>
  <c r="V802" i="2" s="1"/>
  <c r="T803" i="2"/>
  <c r="V803" i="2" s="1"/>
  <c r="T804" i="2"/>
  <c r="V804" i="2" s="1"/>
  <c r="T805" i="2"/>
  <c r="V805" i="2" s="1"/>
  <c r="T806" i="2"/>
  <c r="V806" i="2" s="1"/>
  <c r="T807" i="2"/>
  <c r="V807" i="2" s="1"/>
  <c r="T808" i="2"/>
  <c r="V808" i="2" s="1"/>
  <c r="T809" i="2"/>
  <c r="V809" i="2" s="1"/>
  <c r="T810" i="2"/>
  <c r="V810" i="2" s="1"/>
  <c r="T811" i="2"/>
  <c r="V811" i="2" s="1"/>
  <c r="T812" i="2"/>
  <c r="V812" i="2" s="1"/>
  <c r="T813" i="2"/>
  <c r="V813" i="2" s="1"/>
  <c r="T814" i="2"/>
  <c r="V814" i="2" s="1"/>
  <c r="T815" i="2"/>
  <c r="V815" i="2" s="1"/>
  <c r="T816" i="2"/>
  <c r="V816" i="2" s="1"/>
  <c r="T817" i="2"/>
  <c r="V817" i="2" s="1"/>
  <c r="T818" i="2"/>
  <c r="V818" i="2" s="1"/>
  <c r="T819" i="2"/>
  <c r="V819" i="2" s="1"/>
  <c r="T820" i="2"/>
  <c r="V820" i="2" s="1"/>
  <c r="T821" i="2"/>
  <c r="V821" i="2" s="1"/>
  <c r="T822" i="2"/>
  <c r="V822" i="2" s="1"/>
  <c r="T823" i="2"/>
  <c r="V823" i="2" s="1"/>
  <c r="T824" i="2"/>
  <c r="V824" i="2" s="1"/>
  <c r="T825" i="2"/>
  <c r="V825" i="2" s="1"/>
  <c r="T826" i="2"/>
  <c r="V826" i="2" s="1"/>
  <c r="T827" i="2"/>
  <c r="V827" i="2" s="1"/>
  <c r="T828" i="2"/>
  <c r="V828" i="2" s="1"/>
  <c r="T829" i="2"/>
  <c r="V829" i="2" s="1"/>
  <c r="T830" i="2"/>
  <c r="V830" i="2" s="1"/>
  <c r="T831" i="2"/>
  <c r="V831" i="2" s="1"/>
  <c r="T832" i="2"/>
  <c r="V832" i="2" s="1"/>
  <c r="T833" i="2"/>
  <c r="V833" i="2" s="1"/>
  <c r="T834" i="2"/>
  <c r="V834" i="2" s="1"/>
  <c r="T835" i="2"/>
  <c r="V835" i="2" s="1"/>
  <c r="T836" i="2"/>
  <c r="V836" i="2" s="1"/>
  <c r="T837" i="2"/>
  <c r="V837" i="2" s="1"/>
  <c r="T838" i="2"/>
  <c r="V838" i="2" s="1"/>
  <c r="T839" i="2"/>
  <c r="V839" i="2" s="1"/>
  <c r="T840" i="2"/>
  <c r="V840" i="2" s="1"/>
  <c r="T841" i="2"/>
  <c r="V841" i="2" s="1"/>
  <c r="T842" i="2"/>
  <c r="V842" i="2" s="1"/>
  <c r="T843" i="2"/>
  <c r="V843" i="2" s="1"/>
  <c r="T844" i="2"/>
  <c r="V844" i="2" s="1"/>
  <c r="T845" i="2"/>
  <c r="V845" i="2" s="1"/>
  <c r="T846" i="2"/>
  <c r="V846" i="2" s="1"/>
  <c r="T847" i="2"/>
  <c r="V847" i="2" s="1"/>
  <c r="T848" i="2"/>
  <c r="V848" i="2" s="1"/>
  <c r="T849" i="2"/>
  <c r="V849" i="2" s="1"/>
  <c r="T850" i="2"/>
  <c r="V850" i="2" s="1"/>
  <c r="T851" i="2"/>
  <c r="V851" i="2" s="1"/>
  <c r="T852" i="2"/>
  <c r="V852" i="2" s="1"/>
  <c r="T853" i="2"/>
  <c r="V853" i="2" s="1"/>
  <c r="T854" i="2"/>
  <c r="V854" i="2" s="1"/>
  <c r="T855" i="2"/>
  <c r="V855" i="2" s="1"/>
  <c r="T856" i="2"/>
  <c r="V856" i="2" s="1"/>
  <c r="T857" i="2"/>
  <c r="V857" i="2" s="1"/>
  <c r="T858" i="2"/>
  <c r="V858" i="2" s="1"/>
  <c r="T859" i="2"/>
  <c r="V859" i="2" s="1"/>
  <c r="T860" i="2"/>
  <c r="V860" i="2" s="1"/>
  <c r="T861" i="2"/>
  <c r="V861" i="2" s="1"/>
  <c r="T862" i="2"/>
  <c r="V862" i="2" s="1"/>
  <c r="T863" i="2"/>
  <c r="V863" i="2" s="1"/>
  <c r="T864" i="2"/>
  <c r="V864" i="2" s="1"/>
  <c r="T865" i="2"/>
  <c r="V865" i="2" s="1"/>
  <c r="T866" i="2"/>
  <c r="V866" i="2" s="1"/>
  <c r="T867" i="2"/>
  <c r="V867" i="2" s="1"/>
  <c r="T868" i="2"/>
  <c r="V868" i="2" s="1"/>
  <c r="T869" i="2"/>
  <c r="V869" i="2" s="1"/>
  <c r="T870" i="2"/>
  <c r="V870" i="2" s="1"/>
  <c r="T871" i="2"/>
  <c r="V871" i="2" s="1"/>
  <c r="T872" i="2"/>
  <c r="V872" i="2" s="1"/>
  <c r="T873" i="2"/>
  <c r="V873" i="2" s="1"/>
  <c r="T874" i="2"/>
  <c r="V874" i="2" s="1"/>
  <c r="T875" i="2"/>
  <c r="V875" i="2" s="1"/>
  <c r="T876" i="2"/>
  <c r="V876" i="2" s="1"/>
  <c r="T877" i="2"/>
  <c r="V877" i="2" s="1"/>
  <c r="T878" i="2"/>
  <c r="V878" i="2" s="1"/>
  <c r="T879" i="2"/>
  <c r="V879" i="2" s="1"/>
  <c r="T880" i="2"/>
  <c r="V880" i="2" s="1"/>
  <c r="T881" i="2"/>
  <c r="V881" i="2" s="1"/>
  <c r="T882" i="2"/>
  <c r="V882" i="2" s="1"/>
  <c r="T883" i="2"/>
  <c r="V883" i="2" s="1"/>
  <c r="T884" i="2"/>
  <c r="V884" i="2" s="1"/>
  <c r="T885" i="2"/>
  <c r="V885" i="2" s="1"/>
  <c r="T886" i="2"/>
  <c r="V886" i="2" s="1"/>
  <c r="T887" i="2"/>
  <c r="V887" i="2" s="1"/>
  <c r="T888" i="2"/>
  <c r="V888" i="2" s="1"/>
  <c r="T889" i="2"/>
  <c r="V889" i="2" s="1"/>
  <c r="T890" i="2"/>
  <c r="V890" i="2" s="1"/>
  <c r="T891" i="2"/>
  <c r="V891" i="2" s="1"/>
  <c r="T892" i="2"/>
  <c r="V892" i="2" s="1"/>
  <c r="T893" i="2"/>
  <c r="V893" i="2" s="1"/>
  <c r="T894" i="2"/>
  <c r="V894" i="2" s="1"/>
  <c r="T895" i="2"/>
  <c r="V895" i="2" s="1"/>
  <c r="T896" i="2"/>
  <c r="V896" i="2" s="1"/>
  <c r="T897" i="2"/>
  <c r="V897" i="2" s="1"/>
  <c r="T898" i="2"/>
  <c r="V898" i="2" s="1"/>
  <c r="T899" i="2"/>
  <c r="V899" i="2" s="1"/>
  <c r="T900" i="2"/>
  <c r="V900" i="2" s="1"/>
  <c r="T901" i="2"/>
  <c r="V901" i="2" s="1"/>
  <c r="T902" i="2"/>
  <c r="V902" i="2" s="1"/>
  <c r="T903" i="2"/>
  <c r="V903" i="2" s="1"/>
  <c r="T904" i="2"/>
  <c r="V904" i="2" s="1"/>
  <c r="T905" i="2"/>
  <c r="V905" i="2" s="1"/>
  <c r="T906" i="2"/>
  <c r="V906" i="2" s="1"/>
  <c r="T907" i="2"/>
  <c r="V907" i="2" s="1"/>
  <c r="T908" i="2"/>
  <c r="V908" i="2" s="1"/>
  <c r="T909" i="2"/>
  <c r="V909" i="2" s="1"/>
  <c r="T910" i="2"/>
  <c r="V910" i="2" s="1"/>
  <c r="T911" i="2"/>
  <c r="V911" i="2" s="1"/>
  <c r="T912" i="2"/>
  <c r="V912" i="2" s="1"/>
  <c r="T913" i="2"/>
  <c r="V913" i="2" s="1"/>
  <c r="T914" i="2"/>
  <c r="V914" i="2" s="1"/>
  <c r="T915" i="2"/>
  <c r="V915" i="2" s="1"/>
  <c r="T916" i="2"/>
  <c r="V916" i="2" s="1"/>
  <c r="T917" i="2"/>
  <c r="V917" i="2" s="1"/>
  <c r="T918" i="2"/>
  <c r="V918" i="2" s="1"/>
  <c r="T919" i="2"/>
  <c r="V919" i="2" s="1"/>
  <c r="T920" i="2"/>
  <c r="V920" i="2" s="1"/>
  <c r="T921" i="2"/>
  <c r="V921" i="2" s="1"/>
  <c r="T922" i="2"/>
  <c r="V922" i="2" s="1"/>
  <c r="T923" i="2"/>
  <c r="V923" i="2" s="1"/>
  <c r="T924" i="2"/>
  <c r="V924" i="2" s="1"/>
  <c r="T925" i="2"/>
  <c r="V925" i="2" s="1"/>
  <c r="T926" i="2"/>
  <c r="V926" i="2" s="1"/>
  <c r="T927" i="2"/>
  <c r="V927" i="2" s="1"/>
  <c r="T928" i="2"/>
  <c r="V928" i="2" s="1"/>
  <c r="T929" i="2"/>
  <c r="V929" i="2" s="1"/>
  <c r="T930" i="2"/>
  <c r="V930" i="2" s="1"/>
  <c r="T931" i="2"/>
  <c r="V931" i="2" s="1"/>
  <c r="T932" i="2"/>
  <c r="V932" i="2" s="1"/>
  <c r="T933" i="2"/>
  <c r="V933" i="2" s="1"/>
  <c r="T934" i="2"/>
  <c r="V934" i="2" s="1"/>
  <c r="T935" i="2"/>
  <c r="V935" i="2" s="1"/>
  <c r="T936" i="2"/>
  <c r="V936" i="2" s="1"/>
  <c r="T937" i="2"/>
  <c r="V937" i="2" s="1"/>
  <c r="T938" i="2"/>
  <c r="V938" i="2" s="1"/>
  <c r="T939" i="2"/>
  <c r="V939" i="2" s="1"/>
  <c r="T940" i="2"/>
  <c r="V940" i="2" s="1"/>
  <c r="T941" i="2"/>
  <c r="V941" i="2" s="1"/>
  <c r="T942" i="2"/>
  <c r="V942" i="2" s="1"/>
  <c r="T943" i="2"/>
  <c r="V943" i="2" s="1"/>
  <c r="T944" i="2"/>
  <c r="V944" i="2" s="1"/>
  <c r="T945" i="2"/>
  <c r="V945" i="2" s="1"/>
  <c r="T946" i="2"/>
  <c r="V946" i="2" s="1"/>
  <c r="T947" i="2"/>
  <c r="V947" i="2" s="1"/>
  <c r="T948" i="2"/>
  <c r="V948" i="2" s="1"/>
  <c r="T949" i="2"/>
  <c r="V949" i="2" s="1"/>
  <c r="T950" i="2"/>
  <c r="V950" i="2" s="1"/>
  <c r="T951" i="2"/>
  <c r="V951" i="2" s="1"/>
  <c r="T952" i="2"/>
  <c r="V952" i="2" s="1"/>
  <c r="T953" i="2"/>
  <c r="V953" i="2" s="1"/>
  <c r="T954" i="2"/>
  <c r="V954" i="2" s="1"/>
  <c r="T955" i="2"/>
  <c r="V955" i="2" s="1"/>
  <c r="T956" i="2"/>
  <c r="V956" i="2" s="1"/>
  <c r="T957" i="2"/>
  <c r="V957" i="2" s="1"/>
  <c r="T958" i="2"/>
  <c r="V958" i="2" s="1"/>
  <c r="T959" i="2"/>
  <c r="V959" i="2" s="1"/>
  <c r="T960" i="2"/>
  <c r="V960" i="2" s="1"/>
  <c r="T961" i="2"/>
  <c r="V961" i="2" s="1"/>
  <c r="T962" i="2"/>
  <c r="V962" i="2" s="1"/>
  <c r="T963" i="2"/>
  <c r="V963" i="2" s="1"/>
  <c r="T964" i="2"/>
  <c r="V964" i="2" s="1"/>
  <c r="T965" i="2"/>
  <c r="V965" i="2" s="1"/>
  <c r="T966" i="2"/>
  <c r="V966" i="2" s="1"/>
  <c r="T967" i="2"/>
  <c r="V967" i="2" s="1"/>
  <c r="T968" i="2"/>
  <c r="V968" i="2" s="1"/>
  <c r="T969" i="2"/>
  <c r="V969" i="2" s="1"/>
  <c r="T970" i="2"/>
  <c r="V970" i="2" s="1"/>
  <c r="T971" i="2"/>
  <c r="V971" i="2" s="1"/>
  <c r="T972" i="2"/>
  <c r="V972" i="2" s="1"/>
  <c r="T973" i="2"/>
  <c r="V973" i="2" s="1"/>
  <c r="T974" i="2"/>
  <c r="V974" i="2" s="1"/>
  <c r="T975" i="2"/>
  <c r="V975" i="2" s="1"/>
  <c r="T976" i="2"/>
  <c r="V976" i="2" s="1"/>
  <c r="T977" i="2"/>
  <c r="V977" i="2" s="1"/>
  <c r="T978" i="2"/>
  <c r="V978" i="2" s="1"/>
  <c r="T979" i="2"/>
  <c r="V979" i="2" s="1"/>
  <c r="T980" i="2"/>
  <c r="U980" i="2" s="1"/>
  <c r="T981" i="2"/>
  <c r="V981" i="2" s="1"/>
  <c r="T982" i="2"/>
  <c r="V982" i="2" s="1"/>
  <c r="T983" i="2"/>
  <c r="V983" i="2" s="1"/>
  <c r="T984" i="2"/>
  <c r="V984" i="2" s="1"/>
  <c r="T985" i="2"/>
  <c r="V985" i="2" s="1"/>
  <c r="T986" i="2"/>
  <c r="V986" i="2" s="1"/>
  <c r="T987" i="2"/>
  <c r="V987" i="2" s="1"/>
  <c r="T988" i="2"/>
  <c r="V988" i="2" s="1"/>
  <c r="T989" i="2"/>
  <c r="V989" i="2" s="1"/>
  <c r="T990" i="2"/>
  <c r="V990" i="2" s="1"/>
  <c r="T991" i="2"/>
  <c r="V991" i="2" s="1"/>
  <c r="T992" i="2"/>
  <c r="V992" i="2" s="1"/>
  <c r="T993" i="2"/>
  <c r="V993" i="2" s="1"/>
  <c r="T994" i="2"/>
  <c r="V994" i="2" s="1"/>
  <c r="T995" i="2"/>
  <c r="V995" i="2" s="1"/>
  <c r="T996" i="2"/>
  <c r="V996" i="2" s="1"/>
  <c r="T997" i="2"/>
  <c r="V997" i="2" s="1"/>
  <c r="T998" i="2"/>
  <c r="V998" i="2" s="1"/>
  <c r="T999" i="2"/>
  <c r="V999" i="2" s="1"/>
  <c r="T1000" i="2"/>
  <c r="V1000" i="2" s="1"/>
  <c r="T1001" i="2"/>
  <c r="U1001" i="2" s="1"/>
  <c r="U1000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U998" i="2" l="1"/>
  <c r="U995" i="2" s="1"/>
  <c r="U992" i="2" s="1"/>
  <c r="U989" i="2" s="1"/>
  <c r="U986" i="2" s="1"/>
  <c r="U983" i="2" s="1"/>
  <c r="U2" i="2"/>
  <c r="U997" i="2"/>
  <c r="U994" i="2" s="1"/>
  <c r="U991" i="2" s="1"/>
  <c r="U988" i="2" s="1"/>
  <c r="U985" i="2" s="1"/>
  <c r="U996" i="2"/>
  <c r="U999" i="2"/>
  <c r="V1001" i="2"/>
  <c r="V980" i="2"/>
  <c r="U993" i="2"/>
  <c r="U977" i="2"/>
  <c r="U982" i="2"/>
  <c r="U990" i="2"/>
  <c r="U974" i="2"/>
  <c r="U987" i="2" l="1"/>
  <c r="U971" i="2"/>
  <c r="U979" i="2"/>
  <c r="U968" i="2" l="1"/>
  <c r="U976" i="2"/>
  <c r="U984" i="2"/>
  <c r="U973" i="2" l="1"/>
  <c r="U981" i="2"/>
  <c r="U965" i="2"/>
  <c r="U962" i="2" l="1"/>
  <c r="U978" i="2"/>
  <c r="U970" i="2"/>
  <c r="U975" i="2" l="1"/>
  <c r="U967" i="2"/>
  <c r="U959" i="2"/>
  <c r="U964" i="2" l="1"/>
  <c r="U956" i="2"/>
  <c r="U972" i="2"/>
  <c r="U953" i="2" l="1"/>
  <c r="U961" i="2"/>
  <c r="U969" i="2"/>
  <c r="U958" i="2" l="1"/>
  <c r="U966" i="2"/>
  <c r="U950" i="2"/>
  <c r="U963" i="2" l="1"/>
  <c r="U947" i="2"/>
  <c r="U955" i="2"/>
  <c r="U944" i="2" l="1"/>
  <c r="U952" i="2"/>
  <c r="U960" i="2"/>
  <c r="U949" i="2" l="1"/>
  <c r="U957" i="2"/>
  <c r="U941" i="2"/>
  <c r="U954" i="2" l="1"/>
  <c r="U938" i="2"/>
  <c r="U946" i="2"/>
  <c r="U935" i="2" l="1"/>
  <c r="U943" i="2"/>
  <c r="U951" i="2"/>
  <c r="U940" i="2" l="1"/>
  <c r="U948" i="2"/>
  <c r="U932" i="2"/>
  <c r="U945" i="2" l="1"/>
  <c r="U929" i="2"/>
  <c r="U937" i="2"/>
  <c r="U926" i="2" l="1"/>
  <c r="U934" i="2"/>
  <c r="U942" i="2"/>
  <c r="U931" i="2" l="1"/>
  <c r="U939" i="2"/>
  <c r="U923" i="2"/>
  <c r="U936" i="2" l="1"/>
  <c r="U920" i="2"/>
  <c r="U928" i="2"/>
  <c r="U917" i="2" l="1"/>
  <c r="U925" i="2"/>
  <c r="U933" i="2"/>
  <c r="U930" i="2" l="1"/>
  <c r="U922" i="2"/>
  <c r="U914" i="2"/>
  <c r="U919" i="2" l="1"/>
  <c r="U911" i="2"/>
  <c r="U927" i="2"/>
  <c r="U908" i="2" l="1"/>
  <c r="U924" i="2"/>
  <c r="U916" i="2"/>
  <c r="U921" i="2" l="1"/>
  <c r="U913" i="2"/>
  <c r="U905" i="2"/>
  <c r="U910" i="2" l="1"/>
  <c r="U902" i="2"/>
  <c r="U918" i="2"/>
  <c r="U915" i="2" l="1"/>
  <c r="U899" i="2"/>
  <c r="U907" i="2"/>
  <c r="U904" i="2" l="1"/>
  <c r="U896" i="2"/>
  <c r="U912" i="2"/>
  <c r="U909" i="2" l="1"/>
  <c r="U893" i="2"/>
  <c r="U901" i="2"/>
  <c r="U890" i="2" l="1"/>
  <c r="U898" i="2"/>
  <c r="U906" i="2"/>
  <c r="U895" i="2" l="1"/>
  <c r="U903" i="2"/>
  <c r="U887" i="2"/>
  <c r="U900" i="2" l="1"/>
  <c r="U884" i="2"/>
  <c r="U892" i="2"/>
  <c r="U881" i="2" l="1"/>
  <c r="U897" i="2"/>
  <c r="U889" i="2"/>
  <c r="U894" i="2" l="1"/>
  <c r="U886" i="2"/>
  <c r="U878" i="2"/>
  <c r="U875" i="2" l="1"/>
  <c r="U891" i="2"/>
  <c r="U883" i="2"/>
  <c r="U880" i="2" l="1"/>
  <c r="U872" i="2"/>
  <c r="U888" i="2"/>
  <c r="U885" i="2" l="1"/>
  <c r="U869" i="2"/>
  <c r="U877" i="2"/>
  <c r="U866" i="2" l="1"/>
  <c r="U874" i="2"/>
  <c r="U882" i="2"/>
  <c r="U871" i="2" l="1"/>
  <c r="U879" i="2"/>
  <c r="U863" i="2"/>
  <c r="U860" i="2" l="1"/>
  <c r="U876" i="2"/>
  <c r="U868" i="2"/>
  <c r="U873" i="2" l="1"/>
  <c r="U865" i="2"/>
  <c r="U857" i="2"/>
  <c r="U854" i="2" l="1"/>
  <c r="U862" i="2"/>
  <c r="U870" i="2"/>
  <c r="U859" i="2" l="1"/>
  <c r="U867" i="2"/>
  <c r="U851" i="2"/>
  <c r="U848" i="2" l="1"/>
  <c r="U864" i="2"/>
  <c r="U856" i="2"/>
  <c r="U853" i="2" l="1"/>
  <c r="U861" i="2"/>
  <c r="U845" i="2"/>
  <c r="U842" i="2" l="1"/>
  <c r="U858" i="2"/>
  <c r="U850" i="2"/>
  <c r="U847" i="2" l="1"/>
  <c r="U855" i="2"/>
  <c r="U839" i="2"/>
  <c r="U836" i="2" l="1"/>
  <c r="U852" i="2"/>
  <c r="U844" i="2"/>
  <c r="U841" i="2" l="1"/>
  <c r="U849" i="2"/>
  <c r="U833" i="2"/>
  <c r="U830" i="2" l="1"/>
  <c r="U846" i="2"/>
  <c r="U838" i="2"/>
  <c r="U835" i="2" l="1"/>
  <c r="U843" i="2"/>
  <c r="U827" i="2"/>
  <c r="U824" i="2" l="1"/>
  <c r="U840" i="2"/>
  <c r="U832" i="2"/>
  <c r="U829" i="2" l="1"/>
  <c r="U837" i="2"/>
  <c r="U821" i="2"/>
  <c r="U818" i="2" l="1"/>
  <c r="U834" i="2"/>
  <c r="U826" i="2"/>
  <c r="U823" i="2" l="1"/>
  <c r="U831" i="2"/>
  <c r="U815" i="2"/>
  <c r="U812" i="2" l="1"/>
  <c r="U828" i="2"/>
  <c r="U820" i="2"/>
  <c r="U825" i="2" l="1"/>
  <c r="U817" i="2"/>
  <c r="U809" i="2"/>
  <c r="U814" i="2" l="1"/>
  <c r="U822" i="2"/>
  <c r="U806" i="2"/>
  <c r="U803" i="2" l="1"/>
  <c r="U819" i="2"/>
  <c r="U811" i="2"/>
  <c r="U808" i="2" l="1"/>
  <c r="U816" i="2"/>
  <c r="U800" i="2"/>
  <c r="U797" i="2" l="1"/>
  <c r="U805" i="2"/>
  <c r="U813" i="2"/>
  <c r="U794" i="2" l="1"/>
  <c r="U810" i="2"/>
  <c r="U802" i="2"/>
  <c r="U799" i="2" l="1"/>
  <c r="U791" i="2"/>
  <c r="U807" i="2"/>
  <c r="U796" i="2" l="1"/>
  <c r="U788" i="2"/>
  <c r="U804" i="2"/>
  <c r="U785" i="2" l="1"/>
  <c r="U801" i="2"/>
  <c r="U793" i="2"/>
  <c r="U798" i="2" l="1"/>
  <c r="U790" i="2"/>
  <c r="U782" i="2"/>
  <c r="U779" i="2" l="1"/>
  <c r="U795" i="2"/>
  <c r="U787" i="2"/>
  <c r="U792" i="2" l="1"/>
  <c r="U784" i="2"/>
  <c r="U776" i="2"/>
  <c r="U781" i="2" l="1"/>
  <c r="U773" i="2"/>
  <c r="U789" i="2"/>
  <c r="U770" i="2" l="1"/>
  <c r="U786" i="2"/>
  <c r="U778" i="2"/>
  <c r="U783" i="2" l="1"/>
  <c r="U775" i="2"/>
  <c r="U767" i="2"/>
  <c r="U772" i="2" l="1"/>
  <c r="U764" i="2"/>
  <c r="U780" i="2"/>
  <c r="U761" i="2" l="1"/>
  <c r="U769" i="2"/>
  <c r="U777" i="2"/>
  <c r="U766" i="2" l="1"/>
  <c r="U774" i="2"/>
  <c r="U758" i="2"/>
  <c r="U771" i="2" l="1"/>
  <c r="U755" i="2"/>
  <c r="U763" i="2"/>
  <c r="U752" i="2" l="1"/>
  <c r="U760" i="2"/>
  <c r="U768" i="2"/>
  <c r="U765" i="2" l="1"/>
  <c r="U757" i="2"/>
  <c r="U749" i="2"/>
  <c r="U754" i="2" l="1"/>
  <c r="U746" i="2"/>
  <c r="U762" i="2"/>
  <c r="U743" i="2" l="1"/>
  <c r="U759" i="2"/>
  <c r="U751" i="2"/>
  <c r="U756" i="2" l="1"/>
  <c r="U748" i="2"/>
  <c r="U740" i="2"/>
  <c r="U737" i="2" l="1"/>
  <c r="U745" i="2"/>
  <c r="U753" i="2"/>
  <c r="U742" i="2" l="1"/>
  <c r="U750" i="2"/>
  <c r="U734" i="2"/>
  <c r="U747" i="2" l="1"/>
  <c r="U731" i="2"/>
  <c r="U739" i="2"/>
  <c r="U728" i="2" l="1"/>
  <c r="U736" i="2"/>
  <c r="U744" i="2"/>
  <c r="U741" i="2" l="1"/>
  <c r="U733" i="2"/>
  <c r="U725" i="2"/>
  <c r="U730" i="2" l="1"/>
  <c r="U722" i="2"/>
  <c r="U738" i="2"/>
  <c r="U735" i="2" l="1"/>
  <c r="U719" i="2"/>
  <c r="U727" i="2"/>
  <c r="U716" i="2" l="1"/>
  <c r="U724" i="2"/>
  <c r="U732" i="2"/>
  <c r="U721" i="2" l="1"/>
  <c r="U729" i="2"/>
  <c r="U713" i="2"/>
  <c r="U726" i="2" l="1"/>
  <c r="U710" i="2"/>
  <c r="U718" i="2"/>
  <c r="U707" i="2" l="1"/>
  <c r="U715" i="2"/>
  <c r="U723" i="2"/>
  <c r="U712" i="2" l="1"/>
  <c r="U720" i="2"/>
  <c r="U704" i="2"/>
  <c r="U717" i="2" l="1"/>
  <c r="U701" i="2"/>
  <c r="U709" i="2"/>
  <c r="U698" i="2" l="1"/>
  <c r="U706" i="2"/>
  <c r="U714" i="2"/>
  <c r="U703" i="2" l="1"/>
  <c r="U711" i="2"/>
  <c r="U695" i="2"/>
  <c r="U708" i="2" l="1"/>
  <c r="U692" i="2"/>
  <c r="U700" i="2"/>
  <c r="U689" i="2" l="1"/>
  <c r="U705" i="2"/>
  <c r="U697" i="2"/>
  <c r="U702" i="2" l="1"/>
  <c r="U686" i="2"/>
  <c r="U694" i="2"/>
  <c r="U683" i="2" l="1"/>
  <c r="U691" i="2"/>
  <c r="U699" i="2"/>
  <c r="U688" i="2" l="1"/>
  <c r="U696" i="2"/>
  <c r="U680" i="2"/>
  <c r="U693" i="2" l="1"/>
  <c r="U677" i="2"/>
  <c r="U685" i="2"/>
  <c r="U674" i="2" l="1"/>
  <c r="U682" i="2"/>
  <c r="U690" i="2"/>
  <c r="U679" i="2" l="1"/>
  <c r="U687" i="2"/>
  <c r="U671" i="2"/>
  <c r="U684" i="2" l="1"/>
  <c r="U668" i="2"/>
  <c r="U676" i="2"/>
  <c r="U673" i="2" l="1"/>
  <c r="U681" i="2"/>
  <c r="U665" i="2"/>
  <c r="U662" i="2" l="1"/>
  <c r="U678" i="2"/>
  <c r="U670" i="2"/>
  <c r="U675" i="2" l="1"/>
  <c r="U667" i="2"/>
  <c r="U659" i="2"/>
  <c r="U664" i="2" l="1"/>
  <c r="U656" i="2"/>
  <c r="U672" i="2"/>
  <c r="U669" i="2" l="1"/>
  <c r="U653" i="2"/>
  <c r="U661" i="2"/>
  <c r="U658" i="2" l="1"/>
  <c r="U650" i="2"/>
  <c r="U666" i="2"/>
  <c r="U647" i="2" l="1"/>
  <c r="U663" i="2"/>
  <c r="U655" i="2"/>
  <c r="U644" i="2" l="1"/>
  <c r="U660" i="2"/>
  <c r="U652" i="2"/>
  <c r="U657" i="2" l="1"/>
  <c r="U649" i="2"/>
  <c r="U641" i="2"/>
  <c r="U646" i="2" l="1"/>
  <c r="U638" i="2"/>
  <c r="U654" i="2"/>
  <c r="U635" i="2" l="1"/>
  <c r="U651" i="2"/>
  <c r="U643" i="2"/>
  <c r="U648" i="2" l="1"/>
  <c r="U640" i="2"/>
  <c r="U632" i="2"/>
  <c r="U637" i="2" l="1"/>
  <c r="U629" i="2"/>
  <c r="U645" i="2"/>
  <c r="U626" i="2" l="1"/>
  <c r="U642" i="2"/>
  <c r="U634" i="2"/>
  <c r="U631" i="2" l="1"/>
  <c r="U623" i="2"/>
  <c r="U639" i="2"/>
  <c r="U620" i="2" l="1"/>
  <c r="U636" i="2"/>
  <c r="U628" i="2"/>
  <c r="U625" i="2" l="1"/>
  <c r="U633" i="2"/>
  <c r="U617" i="2"/>
  <c r="U630" i="2" l="1"/>
  <c r="U614" i="2"/>
  <c r="U622" i="2"/>
  <c r="U611" i="2" l="1"/>
  <c r="U619" i="2"/>
  <c r="U627" i="2"/>
  <c r="U616" i="2" l="1"/>
  <c r="U624" i="2"/>
  <c r="U608" i="2"/>
  <c r="U621" i="2" l="1"/>
  <c r="U605" i="2"/>
  <c r="U613" i="2"/>
  <c r="U602" i="2" l="1"/>
  <c r="U610" i="2"/>
  <c r="U618" i="2"/>
  <c r="U607" i="2" l="1"/>
  <c r="U615" i="2"/>
  <c r="U599" i="2"/>
  <c r="U612" i="2" l="1"/>
  <c r="U596" i="2"/>
  <c r="U604" i="2"/>
  <c r="U593" i="2" l="1"/>
  <c r="U601" i="2"/>
  <c r="U609" i="2"/>
  <c r="U598" i="2" l="1"/>
  <c r="U606" i="2"/>
  <c r="U590" i="2"/>
  <c r="U603" i="2" l="1"/>
  <c r="U587" i="2"/>
  <c r="U595" i="2"/>
  <c r="U584" i="2" l="1"/>
  <c r="U592" i="2"/>
  <c r="U600" i="2"/>
  <c r="U589" i="2" l="1"/>
  <c r="U597" i="2"/>
  <c r="U581" i="2"/>
  <c r="U594" i="2" l="1"/>
  <c r="U578" i="2"/>
  <c r="U586" i="2"/>
  <c r="U575" i="2" l="1"/>
  <c r="U583" i="2"/>
  <c r="U591" i="2"/>
  <c r="U580" i="2" l="1"/>
  <c r="U588" i="2"/>
  <c r="U572" i="2"/>
  <c r="U585" i="2" l="1"/>
  <c r="U569" i="2"/>
  <c r="U577" i="2"/>
  <c r="U566" i="2" l="1"/>
  <c r="U574" i="2"/>
  <c r="U582" i="2"/>
  <c r="U571" i="2" l="1"/>
  <c r="U579" i="2"/>
  <c r="U563" i="2"/>
  <c r="U576" i="2" l="1"/>
  <c r="U560" i="2"/>
  <c r="U568" i="2"/>
  <c r="U557" i="2" l="1"/>
  <c r="U565" i="2"/>
  <c r="U573" i="2"/>
  <c r="U562" i="2" l="1"/>
  <c r="U570" i="2"/>
  <c r="U554" i="2"/>
  <c r="U567" i="2" l="1"/>
  <c r="U551" i="2"/>
  <c r="U559" i="2"/>
  <c r="U548" i="2" l="1"/>
  <c r="U556" i="2"/>
  <c r="U564" i="2"/>
  <c r="U553" i="2" l="1"/>
  <c r="U561" i="2"/>
  <c r="U545" i="2"/>
  <c r="U558" i="2" l="1"/>
  <c r="U542" i="2"/>
  <c r="U550" i="2"/>
  <c r="U539" i="2" l="1"/>
  <c r="U547" i="2"/>
  <c r="U555" i="2"/>
  <c r="U544" i="2" l="1"/>
  <c r="U552" i="2"/>
  <c r="U536" i="2"/>
  <c r="U549" i="2" l="1"/>
  <c r="U533" i="2"/>
  <c r="U541" i="2"/>
  <c r="U538" i="2" l="1"/>
  <c r="U530" i="2"/>
  <c r="U546" i="2"/>
  <c r="U527" i="2" l="1"/>
  <c r="U543" i="2"/>
  <c r="U535" i="2"/>
  <c r="U540" i="2" l="1"/>
  <c r="U532" i="2"/>
  <c r="U524" i="2"/>
  <c r="U521" i="2" l="1"/>
  <c r="U537" i="2"/>
  <c r="U529" i="2"/>
  <c r="U526" i="2" l="1"/>
  <c r="U518" i="2"/>
  <c r="U534" i="2"/>
  <c r="U515" i="2" l="1"/>
  <c r="U531" i="2"/>
  <c r="U523" i="2"/>
  <c r="U528" i="2" l="1"/>
  <c r="U520" i="2"/>
  <c r="U512" i="2"/>
  <c r="U517" i="2" l="1"/>
  <c r="U509" i="2"/>
  <c r="U525" i="2"/>
  <c r="U506" i="2" l="1"/>
  <c r="U522" i="2"/>
  <c r="U514" i="2"/>
  <c r="U519" i="2" l="1"/>
  <c r="U511" i="2"/>
  <c r="U503" i="2"/>
  <c r="U500" i="2" l="1"/>
  <c r="U516" i="2"/>
  <c r="U508" i="2"/>
  <c r="U513" i="2" l="1"/>
  <c r="U497" i="2"/>
  <c r="U505" i="2"/>
  <c r="U502" i="2" l="1"/>
  <c r="U494" i="2"/>
  <c r="U510" i="2"/>
  <c r="U491" i="2" l="1"/>
  <c r="U507" i="2"/>
  <c r="U499" i="2"/>
  <c r="U504" i="2" l="1"/>
  <c r="U496" i="2"/>
  <c r="U488" i="2"/>
  <c r="U493" i="2" l="1"/>
  <c r="U485" i="2"/>
  <c r="U501" i="2"/>
  <c r="U482" i="2" l="1"/>
  <c r="U498" i="2"/>
  <c r="U490" i="2"/>
  <c r="U495" i="2" l="1"/>
  <c r="U487" i="2"/>
  <c r="U479" i="2"/>
  <c r="U484" i="2" l="1"/>
  <c r="U476" i="2"/>
  <c r="U492" i="2"/>
  <c r="U489" i="2" l="1"/>
  <c r="U481" i="2"/>
  <c r="U473" i="2"/>
  <c r="U478" i="2" l="1"/>
  <c r="U470" i="2"/>
  <c r="U486" i="2"/>
  <c r="U467" i="2" l="1"/>
  <c r="U483" i="2"/>
  <c r="U475" i="2"/>
  <c r="U472" i="2" l="1"/>
  <c r="U480" i="2"/>
  <c r="U464" i="2"/>
  <c r="U477" i="2" l="1"/>
  <c r="U461" i="2"/>
  <c r="U469" i="2"/>
  <c r="U466" i="2" l="1"/>
  <c r="U474" i="2"/>
  <c r="U458" i="2"/>
  <c r="U455" i="2" l="1"/>
  <c r="U471" i="2"/>
  <c r="U463" i="2"/>
  <c r="U468" i="2" l="1"/>
  <c r="U460" i="2"/>
  <c r="U452" i="2"/>
  <c r="U457" i="2" l="1"/>
  <c r="U465" i="2"/>
  <c r="U449" i="2"/>
  <c r="U462" i="2" l="1"/>
  <c r="U446" i="2"/>
  <c r="U454" i="2"/>
  <c r="U451" i="2" l="1"/>
  <c r="U443" i="2"/>
  <c r="U459" i="2"/>
  <c r="U456" i="2" l="1"/>
  <c r="U440" i="2"/>
  <c r="U448" i="2"/>
  <c r="U445" i="2" l="1"/>
  <c r="U437" i="2"/>
  <c r="U453" i="2"/>
  <c r="U434" i="2" l="1"/>
  <c r="U450" i="2"/>
  <c r="U442" i="2"/>
  <c r="U447" i="2" l="1"/>
  <c r="U439" i="2"/>
  <c r="U431" i="2"/>
  <c r="U436" i="2" l="1"/>
  <c r="U428" i="2"/>
  <c r="U444" i="2"/>
  <c r="U425" i="2" l="1"/>
  <c r="U433" i="2"/>
  <c r="U441" i="2"/>
  <c r="U430" i="2" l="1"/>
  <c r="U438" i="2"/>
  <c r="U422" i="2"/>
  <c r="U435" i="2" l="1"/>
  <c r="U419" i="2"/>
  <c r="U427" i="2"/>
  <c r="U416" i="2" l="1"/>
  <c r="U424" i="2"/>
  <c r="U432" i="2"/>
  <c r="U421" i="2" l="1"/>
  <c r="U429" i="2"/>
  <c r="U413" i="2"/>
  <c r="U426" i="2" l="1"/>
  <c r="U410" i="2"/>
  <c r="U418" i="2"/>
  <c r="U407" i="2" l="1"/>
  <c r="U415" i="2"/>
  <c r="U423" i="2"/>
  <c r="U412" i="2" l="1"/>
  <c r="U420" i="2"/>
  <c r="U404" i="2"/>
  <c r="U417" i="2" l="1"/>
  <c r="U401" i="2"/>
  <c r="U409" i="2"/>
  <c r="U398" i="2" l="1"/>
  <c r="U406" i="2"/>
  <c r="U414" i="2"/>
  <c r="U403" i="2" l="1"/>
  <c r="U411" i="2"/>
  <c r="U395" i="2"/>
  <c r="U408" i="2" l="1"/>
  <c r="U392" i="2"/>
  <c r="U400" i="2"/>
  <c r="U389" i="2" l="1"/>
  <c r="U397" i="2"/>
  <c r="U405" i="2"/>
  <c r="U402" i="2" l="1"/>
  <c r="U394" i="2"/>
  <c r="U386" i="2"/>
  <c r="U391" i="2" l="1"/>
  <c r="U383" i="2"/>
  <c r="U399" i="2"/>
  <c r="U380" i="2" l="1"/>
  <c r="U396" i="2"/>
  <c r="U388" i="2"/>
  <c r="U385" i="2" l="1"/>
  <c r="U393" i="2"/>
  <c r="U377" i="2"/>
  <c r="U374" i="2" l="1"/>
  <c r="U390" i="2"/>
  <c r="U382" i="2"/>
  <c r="U379" i="2" l="1"/>
  <c r="U387" i="2"/>
  <c r="U371" i="2"/>
  <c r="U368" i="2" l="1"/>
  <c r="U384" i="2"/>
  <c r="U376" i="2"/>
  <c r="U381" i="2" l="1"/>
  <c r="U373" i="2"/>
  <c r="U365" i="2"/>
  <c r="U370" i="2" l="1"/>
  <c r="U362" i="2"/>
  <c r="U378" i="2"/>
  <c r="U375" i="2" l="1"/>
  <c r="U359" i="2"/>
  <c r="U367" i="2"/>
  <c r="U364" i="2" l="1"/>
  <c r="U356" i="2"/>
  <c r="U372" i="2"/>
  <c r="U353" i="2" l="1"/>
  <c r="U369" i="2"/>
  <c r="U361" i="2"/>
  <c r="U366" i="2" l="1"/>
  <c r="U358" i="2"/>
  <c r="U350" i="2"/>
  <c r="U347" i="2" l="1"/>
  <c r="U355" i="2"/>
  <c r="U363" i="2"/>
  <c r="U352" i="2" l="1"/>
  <c r="U360" i="2"/>
  <c r="U344" i="2"/>
  <c r="U357" i="2" l="1"/>
  <c r="U341" i="2"/>
  <c r="U349" i="2"/>
  <c r="U354" i="2" l="1"/>
  <c r="U338" i="2"/>
  <c r="U346" i="2"/>
  <c r="U335" i="2" l="1"/>
  <c r="U343" i="2"/>
  <c r="U351" i="2"/>
  <c r="U340" i="2" l="1"/>
  <c r="U348" i="2"/>
  <c r="U332" i="2"/>
  <c r="U345" i="2" l="1"/>
  <c r="U329" i="2"/>
  <c r="U337" i="2"/>
  <c r="U326" i="2" l="1"/>
  <c r="U334" i="2"/>
  <c r="U342" i="2"/>
  <c r="U339" i="2" l="1"/>
  <c r="U331" i="2"/>
  <c r="U323" i="2"/>
  <c r="U328" i="2" l="1"/>
  <c r="U320" i="2"/>
  <c r="U336" i="2"/>
  <c r="U333" i="2" l="1"/>
  <c r="U317" i="2"/>
  <c r="U325" i="2"/>
  <c r="U322" i="2" l="1"/>
  <c r="U314" i="2"/>
  <c r="U330" i="2"/>
  <c r="U311" i="2" l="1"/>
  <c r="U327" i="2"/>
  <c r="U319" i="2"/>
  <c r="U316" i="2" l="1"/>
  <c r="U324" i="2"/>
  <c r="U308" i="2"/>
  <c r="U305" i="2" l="1"/>
  <c r="U321" i="2"/>
  <c r="U313" i="2"/>
  <c r="U318" i="2" l="1"/>
  <c r="U310" i="2"/>
  <c r="U302" i="2"/>
  <c r="U299" i="2" l="1"/>
  <c r="U315" i="2"/>
  <c r="U307" i="2"/>
  <c r="U312" i="2" l="1"/>
  <c r="U304" i="2"/>
  <c r="U296" i="2"/>
  <c r="U301" i="2" l="1"/>
  <c r="U293" i="2"/>
  <c r="U309" i="2"/>
  <c r="U290" i="2" l="1"/>
  <c r="U306" i="2"/>
  <c r="U298" i="2"/>
  <c r="U303" i="2" l="1"/>
  <c r="U295" i="2"/>
  <c r="U287" i="2"/>
  <c r="U284" i="2" l="1"/>
  <c r="U292" i="2"/>
  <c r="U300" i="2"/>
  <c r="U289" i="2" l="1"/>
  <c r="U297" i="2"/>
  <c r="U281" i="2"/>
  <c r="U294" i="2" l="1"/>
  <c r="U278" i="2"/>
  <c r="U286" i="2"/>
  <c r="U275" i="2" l="1"/>
  <c r="U283" i="2"/>
  <c r="U291" i="2"/>
  <c r="U280" i="2" l="1"/>
  <c r="U288" i="2"/>
  <c r="U272" i="2"/>
  <c r="U285" i="2" l="1"/>
  <c r="U277" i="2"/>
  <c r="U269" i="2"/>
  <c r="U266" i="2" l="1"/>
  <c r="U274" i="2"/>
  <c r="U282" i="2"/>
  <c r="U271" i="2" l="1"/>
  <c r="U279" i="2"/>
  <c r="U263" i="2"/>
  <c r="U276" i="2" l="1"/>
  <c r="U260" i="2"/>
  <c r="U268" i="2"/>
  <c r="U257" i="2" l="1"/>
  <c r="U265" i="2"/>
  <c r="U273" i="2"/>
  <c r="U262" i="2" l="1"/>
  <c r="U270" i="2"/>
  <c r="U254" i="2"/>
  <c r="U251" i="2" l="1"/>
  <c r="U267" i="2"/>
  <c r="U259" i="2"/>
  <c r="U264" i="2" l="1"/>
  <c r="U256" i="2"/>
  <c r="U248" i="2"/>
  <c r="U253" i="2" l="1"/>
  <c r="U245" i="2"/>
  <c r="U261" i="2"/>
  <c r="U250" i="2" l="1"/>
  <c r="U242" i="2"/>
  <c r="U258" i="2"/>
  <c r="U239" i="2" l="1"/>
  <c r="U255" i="2"/>
  <c r="U247" i="2"/>
  <c r="U244" i="2" l="1"/>
  <c r="U252" i="2"/>
  <c r="U236" i="2"/>
  <c r="U233" i="2" l="1"/>
  <c r="U249" i="2"/>
  <c r="U241" i="2"/>
  <c r="U246" i="2" l="1"/>
  <c r="U238" i="2"/>
  <c r="U230" i="2"/>
  <c r="U235" i="2" l="1"/>
  <c r="U227" i="2"/>
  <c r="U243" i="2"/>
  <c r="U224" i="2" l="1"/>
  <c r="U240" i="2"/>
  <c r="U232" i="2"/>
  <c r="U237" i="2" l="1"/>
  <c r="U229" i="2"/>
  <c r="U221" i="2"/>
  <c r="U226" i="2" l="1"/>
  <c r="U218" i="2"/>
  <c r="U234" i="2"/>
  <c r="U215" i="2" l="1"/>
  <c r="U231" i="2"/>
  <c r="U223" i="2"/>
  <c r="U220" i="2" l="1"/>
  <c r="U228" i="2"/>
  <c r="U212" i="2"/>
  <c r="U209" i="2" l="1"/>
  <c r="U225" i="2"/>
  <c r="U217" i="2"/>
  <c r="U222" i="2" l="1"/>
  <c r="U206" i="2"/>
  <c r="U214" i="2"/>
  <c r="U203" i="2" l="1"/>
  <c r="U211" i="2"/>
  <c r="U219" i="2"/>
  <c r="U208" i="2" l="1"/>
  <c r="U216" i="2"/>
  <c r="U200" i="2"/>
  <c r="U213" i="2" l="1"/>
  <c r="U197" i="2"/>
  <c r="U205" i="2"/>
  <c r="U194" i="2" l="1"/>
  <c r="U202" i="2"/>
  <c r="U210" i="2"/>
  <c r="U199" i="2" l="1"/>
  <c r="U207" i="2"/>
  <c r="U191" i="2"/>
  <c r="U204" i="2" l="1"/>
  <c r="U188" i="2"/>
  <c r="U196" i="2"/>
  <c r="U185" i="2" l="1"/>
  <c r="U193" i="2"/>
  <c r="U201" i="2"/>
  <c r="U190" i="2" l="1"/>
  <c r="U198" i="2"/>
  <c r="U182" i="2"/>
  <c r="U195" i="2" l="1"/>
  <c r="U179" i="2"/>
  <c r="U187" i="2"/>
  <c r="U184" i="2" l="1"/>
  <c r="U176" i="2"/>
  <c r="U192" i="2"/>
  <c r="U173" i="2" l="1"/>
  <c r="U189" i="2"/>
  <c r="U181" i="2"/>
  <c r="U186" i="2" l="1"/>
  <c r="U178" i="2"/>
  <c r="U170" i="2"/>
  <c r="U175" i="2" l="1"/>
  <c r="U167" i="2"/>
  <c r="U183" i="2"/>
  <c r="U164" i="2" l="1"/>
  <c r="U180" i="2"/>
  <c r="U172" i="2"/>
  <c r="U169" i="2" l="1"/>
  <c r="U177" i="2"/>
  <c r="U161" i="2"/>
  <c r="U174" i="2" l="1"/>
  <c r="U158" i="2"/>
  <c r="U166" i="2"/>
  <c r="U155" i="2" l="1"/>
  <c r="U163" i="2"/>
  <c r="U171" i="2"/>
  <c r="U160" i="2" l="1"/>
  <c r="U168" i="2"/>
  <c r="U152" i="2"/>
  <c r="U149" i="2" l="1"/>
  <c r="U165" i="2"/>
  <c r="U157" i="2"/>
  <c r="U162" i="2" l="1"/>
  <c r="U154" i="2"/>
  <c r="U146" i="2"/>
  <c r="U143" i="2" l="1"/>
  <c r="U159" i="2"/>
  <c r="U151" i="2"/>
  <c r="U156" i="2" l="1"/>
  <c r="U148" i="2"/>
  <c r="U140" i="2"/>
  <c r="U145" i="2" l="1"/>
  <c r="U137" i="2"/>
  <c r="U153" i="2"/>
  <c r="U134" i="2" l="1"/>
  <c r="U142" i="2"/>
  <c r="U150" i="2"/>
  <c r="U139" i="2" l="1"/>
  <c r="U147" i="2"/>
  <c r="U131" i="2"/>
  <c r="U144" i="2" l="1"/>
  <c r="U128" i="2"/>
  <c r="U136" i="2"/>
  <c r="U133" i="2" l="1"/>
  <c r="U125" i="2"/>
  <c r="U141" i="2"/>
  <c r="U122" i="2" l="1"/>
  <c r="U138" i="2"/>
  <c r="U130" i="2"/>
  <c r="U135" i="2" l="1"/>
  <c r="U127" i="2"/>
  <c r="U119" i="2"/>
  <c r="U124" i="2" l="1"/>
  <c r="U116" i="2"/>
  <c r="U132" i="2"/>
  <c r="U129" i="2" l="1"/>
  <c r="U113" i="2"/>
  <c r="U121" i="2"/>
  <c r="U110" i="2" l="1"/>
  <c r="U126" i="2"/>
  <c r="U118" i="2"/>
  <c r="U123" i="2" l="1"/>
  <c r="U115" i="2"/>
  <c r="U107" i="2"/>
  <c r="U112" i="2" l="1"/>
  <c r="U104" i="2"/>
  <c r="U120" i="2"/>
  <c r="U101" i="2" l="1"/>
  <c r="U117" i="2"/>
  <c r="U109" i="2"/>
  <c r="U114" i="2" l="1"/>
  <c r="U106" i="2"/>
  <c r="U98" i="2"/>
  <c r="U103" i="2" l="1"/>
  <c r="U95" i="2"/>
  <c r="U111" i="2"/>
  <c r="U108" i="2" l="1"/>
  <c r="U92" i="2"/>
  <c r="U100" i="2"/>
  <c r="U89" i="2" l="1"/>
  <c r="U97" i="2"/>
  <c r="U105" i="2"/>
  <c r="U94" i="2" l="1"/>
  <c r="U102" i="2"/>
  <c r="U86" i="2"/>
  <c r="U99" i="2" l="1"/>
  <c r="U83" i="2"/>
  <c r="U91" i="2"/>
  <c r="U80" i="2" l="1"/>
  <c r="U88" i="2"/>
  <c r="U96" i="2"/>
  <c r="U93" i="2" l="1"/>
  <c r="U77" i="2"/>
  <c r="U85" i="2"/>
  <c r="U74" i="2" l="1"/>
  <c r="U82" i="2"/>
  <c r="U90" i="2"/>
  <c r="U71" i="2" l="1"/>
  <c r="U79" i="2"/>
  <c r="U87" i="2"/>
  <c r="U76" i="2" l="1"/>
  <c r="U84" i="2"/>
  <c r="U68" i="2"/>
  <c r="U81" i="2" l="1"/>
  <c r="U65" i="2"/>
  <c r="U73" i="2"/>
  <c r="U70" i="2" l="1"/>
  <c r="U62" i="2"/>
  <c r="U78" i="2"/>
  <c r="U75" i="2" l="1"/>
  <c r="U59" i="2"/>
  <c r="U67" i="2"/>
  <c r="U56" i="2" l="1"/>
  <c r="U64" i="2"/>
  <c r="U72" i="2"/>
  <c r="U69" i="2" l="1"/>
  <c r="U61" i="2"/>
  <c r="U53" i="2"/>
  <c r="U50" i="2" l="1"/>
  <c r="U58" i="2"/>
  <c r="U66" i="2"/>
  <c r="U63" i="2" l="1"/>
  <c r="U55" i="2"/>
  <c r="U47" i="2"/>
  <c r="U60" i="2" l="1"/>
  <c r="U52" i="2"/>
  <c r="U44" i="2"/>
  <c r="U49" i="2" l="1"/>
  <c r="U41" i="2"/>
  <c r="U57" i="2"/>
  <c r="U54" i="2" l="1"/>
  <c r="U38" i="2"/>
  <c r="U46" i="2"/>
  <c r="U35" i="2" l="1"/>
  <c r="U43" i="2"/>
  <c r="U51" i="2"/>
  <c r="U40" i="2" l="1"/>
  <c r="U48" i="2"/>
  <c r="U32" i="2"/>
  <c r="U45" i="2" l="1"/>
  <c r="U29" i="2"/>
  <c r="U37" i="2"/>
  <c r="U42" i="2" l="1"/>
  <c r="U26" i="2"/>
  <c r="U34" i="2"/>
  <c r="U39" i="2" l="1"/>
  <c r="U23" i="2"/>
  <c r="U31" i="2"/>
  <c r="U28" i="2" l="1"/>
  <c r="U20" i="2"/>
  <c r="U36" i="2"/>
  <c r="U33" i="2" l="1"/>
  <c r="U17" i="2"/>
  <c r="U25" i="2"/>
  <c r="U22" i="2" l="1"/>
  <c r="U14" i="2"/>
  <c r="U30" i="2"/>
  <c r="U27" i="2" l="1"/>
  <c r="U11" i="2"/>
  <c r="U19" i="2"/>
  <c r="U16" i="2" l="1"/>
  <c r="U8" i="2"/>
  <c r="U24" i="2"/>
  <c r="U21" i="2" l="1"/>
  <c r="U5" i="2"/>
  <c r="U13" i="2"/>
  <c r="U10" i="2" l="1"/>
  <c r="U18" i="2"/>
  <c r="U15" i="2" l="1"/>
  <c r="U7" i="2"/>
  <c r="U4" i="2" l="1"/>
  <c r="U12" i="2"/>
  <c r="U9" i="2" l="1"/>
  <c r="U6" i="2" l="1"/>
  <c r="U3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6C6EDF-A0B3-44E3-8D3B-BA9D1D48DB0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<sst xmlns="http://schemas.openxmlformats.org/spreadsheetml/2006/main" count="22045" uniqueCount="1282">
  <si>
    <t>AG-2011-2040</t>
  </si>
  <si>
    <t>Standard Class</t>
  </si>
  <si>
    <t>Toby Braunhardt</t>
  </si>
  <si>
    <t>Consumer</t>
  </si>
  <si>
    <t>Constantine</t>
  </si>
  <si>
    <t>Algeria</t>
  </si>
  <si>
    <t>Africa</t>
  </si>
  <si>
    <t>Office Supplies</t>
  </si>
  <si>
    <t>Storage</t>
  </si>
  <si>
    <t>Medium</t>
  </si>
  <si>
    <t>IN-2011-47883</t>
  </si>
  <si>
    <t>Joseph Holt</t>
  </si>
  <si>
    <t>New South Wales</t>
  </si>
  <si>
    <t>Australia</t>
  </si>
  <si>
    <t>APAC</t>
  </si>
  <si>
    <t>Oceania</t>
  </si>
  <si>
    <t>Supplies</t>
  </si>
  <si>
    <t>HU-2011-1220</t>
  </si>
  <si>
    <t>Second Class</t>
  </si>
  <si>
    <t>Annie Thurman</t>
  </si>
  <si>
    <t>Budapest</t>
  </si>
  <si>
    <t>Hungary</t>
  </si>
  <si>
    <t>EMEA</t>
  </si>
  <si>
    <t>High</t>
  </si>
  <si>
    <t>IT-2011-3647632</t>
  </si>
  <si>
    <t>Eugene Moren</t>
  </si>
  <si>
    <t>Home Office</t>
  </si>
  <si>
    <t>Stockholm</t>
  </si>
  <si>
    <t>Sweden</t>
  </si>
  <si>
    <t>EU</t>
  </si>
  <si>
    <t>North</t>
  </si>
  <si>
    <t>Paper</t>
  </si>
  <si>
    <t>Furniture</t>
  </si>
  <si>
    <t>Furnishings</t>
  </si>
  <si>
    <t>CA-2011-1510</t>
  </si>
  <si>
    <t>Magdelene Morse</t>
  </si>
  <si>
    <t>Ontario</t>
  </si>
  <si>
    <t>Canada</t>
  </si>
  <si>
    <t>Technology</t>
  </si>
  <si>
    <t>Machines</t>
  </si>
  <si>
    <t>IN-2011-79397</t>
  </si>
  <si>
    <t>Same Day</t>
  </si>
  <si>
    <t>Kean Nguyen</t>
  </si>
  <si>
    <t>Corporate</t>
  </si>
  <si>
    <t>Appliances</t>
  </si>
  <si>
    <t>Critical</t>
  </si>
  <si>
    <t>ID-2011-80230</t>
  </si>
  <si>
    <t>Ken Lonsdale</t>
  </si>
  <si>
    <t>Auckland</t>
  </si>
  <si>
    <t>New Zealand</t>
  </si>
  <si>
    <t>Copiers</t>
  </si>
  <si>
    <t>Low</t>
  </si>
  <si>
    <t>IZ-2011-4680</t>
  </si>
  <si>
    <t>Lindsay Williams</t>
  </si>
  <si>
    <t>Ninawa</t>
  </si>
  <si>
    <t>Iraq</t>
  </si>
  <si>
    <t>Chairs</t>
  </si>
  <si>
    <t>IN-2011-65159</t>
  </si>
  <si>
    <t>Larry Blacks</t>
  </si>
  <si>
    <t>National Capital</t>
  </si>
  <si>
    <t>Philippines</t>
  </si>
  <si>
    <t>Southeast Asia</t>
  </si>
  <si>
    <t>Tables</t>
  </si>
  <si>
    <t>ES-2011-4869686</t>
  </si>
  <si>
    <t>Dorothy Dickinson</t>
  </si>
  <si>
    <t>England</t>
  </si>
  <si>
    <t>United Kingdom</t>
  </si>
  <si>
    <t>Bookcases</t>
  </si>
  <si>
    <t>IN-2011-33652</t>
  </si>
  <si>
    <t>Dennis Pardue</t>
  </si>
  <si>
    <t>Sarawak</t>
  </si>
  <si>
    <t>Malaysia</t>
  </si>
  <si>
    <t>MX-2011-160234</t>
  </si>
  <si>
    <t>Stewart Visinsky</t>
  </si>
  <si>
    <t>Guatemala</t>
  </si>
  <si>
    <t>LATAM</t>
  </si>
  <si>
    <t>Central</t>
  </si>
  <si>
    <t>Phones</t>
  </si>
  <si>
    <t>IR-2011-770</t>
  </si>
  <si>
    <t>Jas O'Carroll</t>
  </si>
  <si>
    <t>Yazd</t>
  </si>
  <si>
    <t>Iran</t>
  </si>
  <si>
    <t>Accessories</t>
  </si>
  <si>
    <t>ID-2011-12596</t>
  </si>
  <si>
    <t>Chris McAfee</t>
  </si>
  <si>
    <t>Nakhon Ratchasima</t>
  </si>
  <si>
    <t>Thailand</t>
  </si>
  <si>
    <t>Labels</t>
  </si>
  <si>
    <t>IR-2011-7690</t>
  </si>
  <si>
    <t>Nat Gilpin</t>
  </si>
  <si>
    <t>Razavi Khorasan</t>
  </si>
  <si>
    <t>Art</t>
  </si>
  <si>
    <t>TZ-2011-7370</t>
  </si>
  <si>
    <t>Jack Garza</t>
  </si>
  <si>
    <t>Dar Es Salaam</t>
  </si>
  <si>
    <t>Tanzania</t>
  </si>
  <si>
    <t>Envelopes</t>
  </si>
  <si>
    <t>Fasteners</t>
  </si>
  <si>
    <t>MX-2011-111255</t>
  </si>
  <si>
    <t>Russell Applegate</t>
  </si>
  <si>
    <t>Parana</t>
  </si>
  <si>
    <t>Brazil</t>
  </si>
  <si>
    <t>South</t>
  </si>
  <si>
    <t>MX-2011-140641</t>
  </si>
  <si>
    <t>Maya Herman</t>
  </si>
  <si>
    <t>Yucatán</t>
  </si>
  <si>
    <t>Mexico</t>
  </si>
  <si>
    <t>MX-2011-158771</t>
  </si>
  <si>
    <t>Beth Thompson</t>
  </si>
  <si>
    <t>Granma</t>
  </si>
  <si>
    <t>Cuba</t>
  </si>
  <si>
    <t>Caribbean</t>
  </si>
  <si>
    <t>ES-2011-4939443</t>
  </si>
  <si>
    <t>Arthur Prichep</t>
  </si>
  <si>
    <t>Rhône-Alpes</t>
  </si>
  <si>
    <t>France</t>
  </si>
  <si>
    <t>US-2011-136007</t>
  </si>
  <si>
    <t>Alagoas</t>
  </si>
  <si>
    <t>MX-2011-159373</t>
  </si>
  <si>
    <t>Arthur Wiediger</t>
  </si>
  <si>
    <t>Santiago de Cuba</t>
  </si>
  <si>
    <t>IT-2011-2942451</t>
  </si>
  <si>
    <t>Grant Thornton</t>
  </si>
  <si>
    <t>CA-2011-103800</t>
  </si>
  <si>
    <t>Darren Powers</t>
  </si>
  <si>
    <t>Texas</t>
  </si>
  <si>
    <t>United States</t>
  </si>
  <si>
    <t>US</t>
  </si>
  <si>
    <t>IN-2011-33036</t>
  </si>
  <si>
    <t>Bradley Drucker</t>
  </si>
  <si>
    <t>Tottori</t>
  </si>
  <si>
    <t>Japan</t>
  </si>
  <si>
    <t>North Asia</t>
  </si>
  <si>
    <t>SU-2011-5190</t>
  </si>
  <si>
    <t>Jasper Cacioppo</t>
  </si>
  <si>
    <t>Khartoum</t>
  </si>
  <si>
    <t>Sudan</t>
  </si>
  <si>
    <t>Binders</t>
  </si>
  <si>
    <t>MX-2011-109267</t>
  </si>
  <si>
    <t>Jennifer Halladay</t>
  </si>
  <si>
    <t>Veracruz</t>
  </si>
  <si>
    <t>ES-2011-3848439</t>
  </si>
  <si>
    <t>First Class</t>
  </si>
  <si>
    <t>Michael Granlund</t>
  </si>
  <si>
    <t>CA-2011-112326</t>
  </si>
  <si>
    <t>Phillina Ober</t>
  </si>
  <si>
    <t>Illinois</t>
  </si>
  <si>
    <t>IN-2011-27681</t>
  </si>
  <si>
    <t>Shaun Weien</t>
  </si>
  <si>
    <t>Taipei City</t>
  </si>
  <si>
    <t>Taiwan</t>
  </si>
  <si>
    <t>ES-2011-5496179</t>
  </si>
  <si>
    <t>Shahid Hopkins</t>
  </si>
  <si>
    <t>Ile-de-France</t>
  </si>
  <si>
    <t>IN-2011-29963</t>
  </si>
  <si>
    <t>Brosina Hoffman</t>
  </si>
  <si>
    <t>Sumatera Barat</t>
  </si>
  <si>
    <t>Indonesia</t>
  </si>
  <si>
    <t>ID-2011-41632</t>
  </si>
  <si>
    <t>Robert Dilbeck</t>
  </si>
  <si>
    <t>Ho Chí Minh City</t>
  </si>
  <si>
    <t>Vietnam</t>
  </si>
  <si>
    <t>AO-2011-4910</t>
  </si>
  <si>
    <t>Grace Kelly</t>
  </si>
  <si>
    <t>Luanda</t>
  </si>
  <si>
    <t>Angola</t>
  </si>
  <si>
    <t>IN-2011-76107</t>
  </si>
  <si>
    <t>Khloe Miller</t>
  </si>
  <si>
    <t>Jilin</t>
  </si>
  <si>
    <t>China</t>
  </si>
  <si>
    <t>CA-2011-141817</t>
  </si>
  <si>
    <t>Mick Brown</t>
  </si>
  <si>
    <t>Pennsylvania</t>
  </si>
  <si>
    <t>East</t>
  </si>
  <si>
    <t>CA-2011-167199</t>
  </si>
  <si>
    <t>Maria Etezadi</t>
  </si>
  <si>
    <t>Kentucky</t>
  </si>
  <si>
    <t>MZ-2011-1260</t>
  </si>
  <si>
    <t>Niassa</t>
  </si>
  <si>
    <t>Mozambique</t>
  </si>
  <si>
    <t>ID-2011-58670</t>
  </si>
  <si>
    <t>Maribeth Schnelling</t>
  </si>
  <si>
    <t>ES-2011-5433855</t>
  </si>
  <si>
    <t>Dave Poirier</t>
  </si>
  <si>
    <t>Provence-Alpes-Côte d'Azur</t>
  </si>
  <si>
    <t>LE-2011-9590</t>
  </si>
  <si>
    <t>Harry Marie</t>
  </si>
  <si>
    <t>Beirut</t>
  </si>
  <si>
    <t>Lebanon</t>
  </si>
  <si>
    <t>CA-2011-130813</t>
  </si>
  <si>
    <t>Lycoris Saunders</t>
  </si>
  <si>
    <t>California</t>
  </si>
  <si>
    <t>West</t>
  </si>
  <si>
    <t>AG-2011-7230</t>
  </si>
  <si>
    <t>Alyssa Crouse</t>
  </si>
  <si>
    <t>Alger</t>
  </si>
  <si>
    <t>MX-2011-135629</t>
  </si>
  <si>
    <t>São Paulo</t>
  </si>
  <si>
    <t>CA-2011-106054</t>
  </si>
  <si>
    <t>Jack O'Briant</t>
  </si>
  <si>
    <t>Georgia</t>
  </si>
  <si>
    <t>ID-2011-28752</t>
  </si>
  <si>
    <t>Adam Bellavance</t>
  </si>
  <si>
    <t>Singapore</t>
  </si>
  <si>
    <t>IT-2011-5134922</t>
  </si>
  <si>
    <t>Joy Smith</t>
  </si>
  <si>
    <t>Groningen</t>
  </si>
  <si>
    <t>Netherlands</t>
  </si>
  <si>
    <t>AO-2011-1670</t>
  </si>
  <si>
    <t>Henia Zydlo</t>
  </si>
  <si>
    <t>Benguela</t>
  </si>
  <si>
    <t>IN-2011-19330</t>
  </si>
  <si>
    <t>Nicole Fjeld</t>
  </si>
  <si>
    <t>Yunnan</t>
  </si>
  <si>
    <t>IT-2011-4546695</t>
  </si>
  <si>
    <t>Midi-Pyrénées</t>
  </si>
  <si>
    <t>MX-2011-121202</t>
  </si>
  <si>
    <t>Christopher Martinez</t>
  </si>
  <si>
    <t>CA-2011-105417</t>
  </si>
  <si>
    <t>Vivek Sundaresam</t>
  </si>
  <si>
    <t>NI-2011-4770</t>
  </si>
  <si>
    <t>Joe Elijah</t>
  </si>
  <si>
    <t>Lagos</t>
  </si>
  <si>
    <t>Nigeria</t>
  </si>
  <si>
    <t>ID-2011-20814</t>
  </si>
  <si>
    <t>Ed Braxton</t>
  </si>
  <si>
    <t>Jawa Timur</t>
  </si>
  <si>
    <t>IN-2011-69366</t>
  </si>
  <si>
    <t>Alejandro Grove</t>
  </si>
  <si>
    <t>Kiên Giang</t>
  </si>
  <si>
    <t>ID-2011-46483</t>
  </si>
  <si>
    <t>Sample Company A</t>
  </si>
  <si>
    <t>Calabarzon</t>
  </si>
  <si>
    <t>IN-2011-61302</t>
  </si>
  <si>
    <t>Dan Lawera</t>
  </si>
  <si>
    <t>Queensland</t>
  </si>
  <si>
    <t>HU-2011-1380</t>
  </si>
  <si>
    <t>Elpida Rittenbach</t>
  </si>
  <si>
    <t>EG-2011-4260</t>
  </si>
  <si>
    <t>Sanjit Jacobs</t>
  </si>
  <si>
    <t>Al Qahirah</t>
  </si>
  <si>
    <t>Egypt</t>
  </si>
  <si>
    <t>AG-2011-1070</t>
  </si>
  <si>
    <t>Tiffany House</t>
  </si>
  <si>
    <t>US-2011-101091</t>
  </si>
  <si>
    <t>Jocasta Rupert</t>
  </si>
  <si>
    <t>Carabobo</t>
  </si>
  <si>
    <t>Venezuela</t>
  </si>
  <si>
    <t>IT-2011-3659171</t>
  </si>
  <si>
    <t>Greg Guthrie</t>
  </si>
  <si>
    <t>MX-2011-140697</t>
  </si>
  <si>
    <t>Paul MacIntyre</t>
  </si>
  <si>
    <t>México</t>
  </si>
  <si>
    <t>IN-2011-13065</t>
  </si>
  <si>
    <t>Patrick O'Donnell</t>
  </si>
  <si>
    <t>Guangxi</t>
  </si>
  <si>
    <t>SF-2011-6400</t>
  </si>
  <si>
    <t>Ricardo Sperren</t>
  </si>
  <si>
    <t>North-West</t>
  </si>
  <si>
    <t>South Africa</t>
  </si>
  <si>
    <t>CA-2011-135405</t>
  </si>
  <si>
    <t>Melanie Seite</t>
  </si>
  <si>
    <t>ID-2011-13660</t>
  </si>
  <si>
    <t>Brian Dahlen</t>
  </si>
  <si>
    <t>Bangkok</t>
  </si>
  <si>
    <t>ES-2011-5158390</t>
  </si>
  <si>
    <t>Roy Collins</t>
  </si>
  <si>
    <t>US-2011-163874</t>
  </si>
  <si>
    <t>Philip Fox</t>
  </si>
  <si>
    <t>IN-2011-39308</t>
  </si>
  <si>
    <t>David Flashing</t>
  </si>
  <si>
    <t>Jawa Barat</t>
  </si>
  <si>
    <t>IN-2011-79761</t>
  </si>
  <si>
    <t>Steve Carroll</t>
  </si>
  <si>
    <t>ES-2011-4359424</t>
  </si>
  <si>
    <t>Murcia</t>
  </si>
  <si>
    <t>Spain</t>
  </si>
  <si>
    <t>IN-2011-29872</t>
  </si>
  <si>
    <t>Dianna Vittorini</t>
  </si>
  <si>
    <t>Jammu and Kashmir</t>
  </si>
  <si>
    <t>India</t>
  </si>
  <si>
    <t>Central Asia</t>
  </si>
  <si>
    <t>TU-2011-800</t>
  </si>
  <si>
    <t>Chuck Sachs</t>
  </si>
  <si>
    <t>Bursa</t>
  </si>
  <si>
    <t>Turkey</t>
  </si>
  <si>
    <t>ID-2011-82589</t>
  </si>
  <si>
    <t>Tanja Norvell</t>
  </si>
  <si>
    <t>Otago</t>
  </si>
  <si>
    <t>ES-2011-1466305</t>
  </si>
  <si>
    <t>Vienna</t>
  </si>
  <si>
    <t>Austria</t>
  </si>
  <si>
    <t>CA-2011-149020</t>
  </si>
  <si>
    <t>Anthony Jacobs</t>
  </si>
  <si>
    <t>Virginia</t>
  </si>
  <si>
    <t>ES-2011-1138719</t>
  </si>
  <si>
    <t>Eric Murdock</t>
  </si>
  <si>
    <t>Liguria</t>
  </si>
  <si>
    <t>Italy</t>
  </si>
  <si>
    <t>MX-2011-141530</t>
  </si>
  <si>
    <t>Thomas Seio</t>
  </si>
  <si>
    <t>Coahuila</t>
  </si>
  <si>
    <t>ES-2011-1460199</t>
  </si>
  <si>
    <t>Roy Phan</t>
  </si>
  <si>
    <t>Lower Saxony</t>
  </si>
  <si>
    <t>Germany</t>
  </si>
  <si>
    <t>ES-2011-4976144</t>
  </si>
  <si>
    <t>Anthony Garverick</t>
  </si>
  <si>
    <t>ES-2011-5040255</t>
  </si>
  <si>
    <t>Peter Bühler</t>
  </si>
  <si>
    <t>CA-2011-130092</t>
  </si>
  <si>
    <t>Seth Vernon</t>
  </si>
  <si>
    <t>Delaware</t>
  </si>
  <si>
    <t>NI-2011-1670</t>
  </si>
  <si>
    <t>Shaun Chance</t>
  </si>
  <si>
    <t>EG-2011-4270</t>
  </si>
  <si>
    <t>Roger Demir</t>
  </si>
  <si>
    <t>Aswan</t>
  </si>
  <si>
    <t>MX-2011-150567</t>
  </si>
  <si>
    <t>Ben Wallace</t>
  </si>
  <si>
    <t>Jalisco</t>
  </si>
  <si>
    <t>IT-2011-5340302</t>
  </si>
  <si>
    <t>Greg Matthias</t>
  </si>
  <si>
    <t>South Holland</t>
  </si>
  <si>
    <t>US-2011-105760</t>
  </si>
  <si>
    <t>James Lanier</t>
  </si>
  <si>
    <t>Anzoátegui</t>
  </si>
  <si>
    <t>IT-2011-5951216</t>
  </si>
  <si>
    <t>Stuart Calhoun</t>
  </si>
  <si>
    <t>Västra Götaland</t>
  </si>
  <si>
    <t>IN-2011-38349</t>
  </si>
  <si>
    <t>Cari Sayre</t>
  </si>
  <si>
    <t>South Australia</t>
  </si>
  <si>
    <t>CA-2011-157147</t>
  </si>
  <si>
    <t>CA-2011-162775</t>
  </si>
  <si>
    <t>Chris Selesnick</t>
  </si>
  <si>
    <t>Louisiana</t>
  </si>
  <si>
    <t>ES-2011-1043483</t>
  </si>
  <si>
    <t>Sharelle Roach</t>
  </si>
  <si>
    <t>CA-2011-109232</t>
  </si>
  <si>
    <t>Natalie DeCherney</t>
  </si>
  <si>
    <t>South Carolina</t>
  </si>
  <si>
    <t>MX-2011-135979</t>
  </si>
  <si>
    <t>Bart Pistole</t>
  </si>
  <si>
    <t>Estelí</t>
  </si>
  <si>
    <t>Nicaragua</t>
  </si>
  <si>
    <t>MX-2011-168599</t>
  </si>
  <si>
    <t>Ted Butterfield</t>
  </si>
  <si>
    <t>Baja California</t>
  </si>
  <si>
    <t>SF-2011-7680</t>
  </si>
  <si>
    <t>Steve Nguyen</t>
  </si>
  <si>
    <t>Eastern Cape</t>
  </si>
  <si>
    <t>TU-2011-4040</t>
  </si>
  <si>
    <t>Bruce Degenhardt</t>
  </si>
  <si>
    <t>Gaziantep</t>
  </si>
  <si>
    <t>ID-2011-16453</t>
  </si>
  <si>
    <t>Muhammed Yedwab</t>
  </si>
  <si>
    <t>CA-2011-118192</t>
  </si>
  <si>
    <t>Michael Moore</t>
  </si>
  <si>
    <t>Ohio</t>
  </si>
  <si>
    <t>ES-2011-3661686</t>
  </si>
  <si>
    <t>Don Jones</t>
  </si>
  <si>
    <t>ES-2011-1374122</t>
  </si>
  <si>
    <t>Craig Leslie</t>
  </si>
  <si>
    <t>Nord-Pas-de-Calais</t>
  </si>
  <si>
    <t>MX-2011-129420</t>
  </si>
  <si>
    <t>Ross Baird</t>
  </si>
  <si>
    <t>La Romana</t>
  </si>
  <si>
    <t>Dominican Republic</t>
  </si>
  <si>
    <t>ID-2011-38832</t>
  </si>
  <si>
    <t>Mick Crebagga</t>
  </si>
  <si>
    <t>Bali</t>
  </si>
  <si>
    <t>CA-2011-149524</t>
  </si>
  <si>
    <t>Brendan Sweed</t>
  </si>
  <si>
    <t>NI-2011-2280</t>
  </si>
  <si>
    <t>Rivers</t>
  </si>
  <si>
    <t>CA-2011-103366</t>
  </si>
  <si>
    <t>Erica Hackney</t>
  </si>
  <si>
    <t>MX-2011-145765</t>
  </si>
  <si>
    <t>Alan Haines</t>
  </si>
  <si>
    <t>San Salvador</t>
  </si>
  <si>
    <t>El Salvador</t>
  </si>
  <si>
    <t>ES-2011-3305419</t>
  </si>
  <si>
    <t>Edward Hooks</t>
  </si>
  <si>
    <t>CA-2011-115791</t>
  </si>
  <si>
    <t>Delfina Latchford</t>
  </si>
  <si>
    <t>ID-2011-80538</t>
  </si>
  <si>
    <t>Vivian Mathis</t>
  </si>
  <si>
    <t>Western Australia</t>
  </si>
  <si>
    <t>IN-2011-78501</t>
  </si>
  <si>
    <t>Tamara Willingham</t>
  </si>
  <si>
    <t>IT-2011-1373680</t>
  </si>
  <si>
    <t>Shirley Daniels</t>
  </si>
  <si>
    <t>Hovedstaden</t>
  </si>
  <si>
    <t>Denmark</t>
  </si>
  <si>
    <t>TZ-2011-5130</t>
  </si>
  <si>
    <t>Charles Sheldon</t>
  </si>
  <si>
    <t>Arusha</t>
  </si>
  <si>
    <t>ES-2011-4174897</t>
  </si>
  <si>
    <t>Michael Dominguez</t>
  </si>
  <si>
    <t>Valenciana</t>
  </si>
  <si>
    <t>MX-2011-115644</t>
  </si>
  <si>
    <t>Vivek Gonzalez</t>
  </si>
  <si>
    <t>Amazonas</t>
  </si>
  <si>
    <t>ES-2011-4825230</t>
  </si>
  <si>
    <t>Richard Bierner</t>
  </si>
  <si>
    <t>South Denmark</t>
  </si>
  <si>
    <t>SA-2011-7780</t>
  </si>
  <si>
    <t>Beth Paige</t>
  </si>
  <si>
    <t>Al Jawf</t>
  </si>
  <si>
    <t>Saudi Arabia</t>
  </si>
  <si>
    <t>ZA-2011-9910</t>
  </si>
  <si>
    <t>Patrick Gardner</t>
  </si>
  <si>
    <t>Eastern</t>
  </si>
  <si>
    <t>Zambia</t>
  </si>
  <si>
    <t>ES-2011-3666932</t>
  </si>
  <si>
    <t>Matt Abelman</t>
  </si>
  <si>
    <t>Sicily</t>
  </si>
  <si>
    <t>MX-2011-139199</t>
  </si>
  <si>
    <t>Aleksandra Gannaway</t>
  </si>
  <si>
    <t>IN-2011-45020</t>
  </si>
  <si>
    <t>Pauline Webber</t>
  </si>
  <si>
    <t>Yangon</t>
  </si>
  <si>
    <t>Myanmar (Burma)</t>
  </si>
  <si>
    <t>CA-2011-123477</t>
  </si>
  <si>
    <t>David Wiener</t>
  </si>
  <si>
    <t>Oregon</t>
  </si>
  <si>
    <t>ES-2011-1690587</t>
  </si>
  <si>
    <t>Ann Blume</t>
  </si>
  <si>
    <t>Lombardy</t>
  </si>
  <si>
    <t>CA-2011-8390</t>
  </si>
  <si>
    <t>Michael Kennedy</t>
  </si>
  <si>
    <t>Manitoba</t>
  </si>
  <si>
    <t>AO-2011-8430</t>
  </si>
  <si>
    <t>Michelle Arnett</t>
  </si>
  <si>
    <t>MX-2011-131618</t>
  </si>
  <si>
    <t>Suzanne McNair</t>
  </si>
  <si>
    <t>Guerrero</t>
  </si>
  <si>
    <t>CA-2011-146591</t>
  </si>
  <si>
    <t>Toby Swindell</t>
  </si>
  <si>
    <t>Arizona</t>
  </si>
  <si>
    <t>IR-2011-9150</t>
  </si>
  <si>
    <t>Irene Maddox</t>
  </si>
  <si>
    <t>US-2011-153591</t>
  </si>
  <si>
    <t>Alejandro Ballentine</t>
  </si>
  <si>
    <t>Distrito Federal</t>
  </si>
  <si>
    <t>ES-2011-1122594</t>
  </si>
  <si>
    <t>Darren Koutras</t>
  </si>
  <si>
    <t>NI-2011-8880</t>
  </si>
  <si>
    <t>Randy Bradley</t>
  </si>
  <si>
    <t>Kano</t>
  </si>
  <si>
    <t>RS-2011-7010</t>
  </si>
  <si>
    <t>Ruben Dartt</t>
  </si>
  <si>
    <t>Belgorod</t>
  </si>
  <si>
    <t>Russia</t>
  </si>
  <si>
    <t>IN-2011-43585</t>
  </si>
  <si>
    <t>Toby Ritter</t>
  </si>
  <si>
    <t>MX-2011-146584</t>
  </si>
  <si>
    <t>Hunter Lopez</t>
  </si>
  <si>
    <t>Managua</t>
  </si>
  <si>
    <t>MG-2011-9660</t>
  </si>
  <si>
    <t>Sally Hughsby</t>
  </si>
  <si>
    <t>Ulaanbaatar</t>
  </si>
  <si>
    <t>Mongolia</t>
  </si>
  <si>
    <t>US-2011-147627</t>
  </si>
  <si>
    <t>Arkansas</t>
  </si>
  <si>
    <t>CA-2011-167927</t>
  </si>
  <si>
    <t>Xylona Preis</t>
  </si>
  <si>
    <t>Michigan</t>
  </si>
  <si>
    <t>ES-2011-3229667</t>
  </si>
  <si>
    <t>Ryan Crowe</t>
  </si>
  <si>
    <t>North Rhine-Westphalia</t>
  </si>
  <si>
    <t>IR-2011-3900</t>
  </si>
  <si>
    <t>Darrin Van Huff</t>
  </si>
  <si>
    <t>US-2011-147774</t>
  </si>
  <si>
    <t>Muhammed MacIntyre</t>
  </si>
  <si>
    <t>Tennessee</t>
  </si>
  <si>
    <t>ID-2011-63017</t>
  </si>
  <si>
    <t>CA-2011-148614</t>
  </si>
  <si>
    <t>Mark Van Huff</t>
  </si>
  <si>
    <t>ES-2011-5497239</t>
  </si>
  <si>
    <t>Paul Stevenson</t>
  </si>
  <si>
    <t>Tuscany</t>
  </si>
  <si>
    <t>ES-2011-3906248</t>
  </si>
  <si>
    <t>Marc Harrigan</t>
  </si>
  <si>
    <t>Flemish Brabant</t>
  </si>
  <si>
    <t>Belgium</t>
  </si>
  <si>
    <t>ID-2011-86950</t>
  </si>
  <si>
    <t>Sung Shariari</t>
  </si>
  <si>
    <t>KE-2011-7940</t>
  </si>
  <si>
    <t>Jason Klamczynski</t>
  </si>
  <si>
    <t>Coast</t>
  </si>
  <si>
    <t>Kenya</t>
  </si>
  <si>
    <t>ES-2011-1550182</t>
  </si>
  <si>
    <t>Claudia Bergmann</t>
  </si>
  <si>
    <t>Champagne-Ardenne</t>
  </si>
  <si>
    <t>MX-2011-143238</t>
  </si>
  <si>
    <t>Carl Ludwig</t>
  </si>
  <si>
    <t>Santa Ana</t>
  </si>
  <si>
    <t>MX-2011-165526</t>
  </si>
  <si>
    <t>Michael Paige</t>
  </si>
  <si>
    <t>Atlántico</t>
  </si>
  <si>
    <t>Colombia</t>
  </si>
  <si>
    <t>CA-2011-110422</t>
  </si>
  <si>
    <t>Tom Boeckenhauer</t>
  </si>
  <si>
    <t>Florida</t>
  </si>
  <si>
    <t>TU-2011-9560</t>
  </si>
  <si>
    <t>Brendan Murry</t>
  </si>
  <si>
    <t>MX-2011-116393</t>
  </si>
  <si>
    <t>Larry Tron</t>
  </si>
  <si>
    <t>SA-2011-7370</t>
  </si>
  <si>
    <t>Corey Roper</t>
  </si>
  <si>
    <t>Al Madinah</t>
  </si>
  <si>
    <t>EN-2011-70</t>
  </si>
  <si>
    <t>Harjumaa</t>
  </si>
  <si>
    <t>Estonia</t>
  </si>
  <si>
    <t>ES-2011-3060159</t>
  </si>
  <si>
    <t>Christine Phan</t>
  </si>
  <si>
    <t>IT-2011-2413417</t>
  </si>
  <si>
    <t>Shirley Jackson</t>
  </si>
  <si>
    <t>Emilia-Romagna</t>
  </si>
  <si>
    <t>IN-2011-85459</t>
  </si>
  <si>
    <t>Jill Matthias</t>
  </si>
  <si>
    <t>Wellington</t>
  </si>
  <si>
    <t>IN-2011-20737</t>
  </si>
  <si>
    <t>Lena Creighton</t>
  </si>
  <si>
    <t>Northern Territory</t>
  </si>
  <si>
    <t>CA-2011-102645</t>
  </si>
  <si>
    <t>Ionia McGrath</t>
  </si>
  <si>
    <t>Nevada</t>
  </si>
  <si>
    <t>IN-2011-10552</t>
  </si>
  <si>
    <t>Chuck Clark</t>
  </si>
  <si>
    <t>Madhya Pradesh</t>
  </si>
  <si>
    <t>MA-2011-3960</t>
  </si>
  <si>
    <t>Greg Hansen</t>
  </si>
  <si>
    <t>Atsinanana</t>
  </si>
  <si>
    <t>Madagascar</t>
  </si>
  <si>
    <t>ES-2011-5158376</t>
  </si>
  <si>
    <t>Joni Sundaresam</t>
  </si>
  <si>
    <t>IN-2011-64557</t>
  </si>
  <si>
    <t>Mitch Webber</t>
  </si>
  <si>
    <t>Sumatera Utara</t>
  </si>
  <si>
    <t>CA-2011-146997</t>
  </si>
  <si>
    <t>Speros Goranitis</t>
  </si>
  <si>
    <t>Indiana</t>
  </si>
  <si>
    <t>TU-2011-8930</t>
  </si>
  <si>
    <t>Janet Martin</t>
  </si>
  <si>
    <t>Afyonkarahisar</t>
  </si>
  <si>
    <t>ES-2011-3104322</t>
  </si>
  <si>
    <t>Frank Olsen</t>
  </si>
  <si>
    <t>Poitou-Charentes</t>
  </si>
  <si>
    <t>NI-2011-7750</t>
  </si>
  <si>
    <t>Gary Hwang</t>
  </si>
  <si>
    <t>Kwara</t>
  </si>
  <si>
    <t>ES-2011-4880899</t>
  </si>
  <si>
    <t>Aimee Bixby</t>
  </si>
  <si>
    <t>ES-2011-3746760</t>
  </si>
  <si>
    <t>Filia McAdams</t>
  </si>
  <si>
    <t>SF-2011-2290</t>
  </si>
  <si>
    <t>Brad Thomas</t>
  </si>
  <si>
    <t>Free State</t>
  </si>
  <si>
    <t>MX-2011-161508</t>
  </si>
  <si>
    <t>IN-2011-53658</t>
  </si>
  <si>
    <t>Luke Weiss</t>
  </si>
  <si>
    <t>Hunan</t>
  </si>
  <si>
    <t>MX-2011-162936</t>
  </si>
  <si>
    <t>Sue Ann Reed</t>
  </si>
  <si>
    <t>Guantánamo</t>
  </si>
  <si>
    <t>ID-2011-36011</t>
  </si>
  <si>
    <t>Heather Kirkland</t>
  </si>
  <si>
    <t>TU-2011-5460</t>
  </si>
  <si>
    <t>Jay Fein</t>
  </si>
  <si>
    <t>Izmir</t>
  </si>
  <si>
    <t>IT-2011-4233239</t>
  </si>
  <si>
    <t>Allen Rosenblatt</t>
  </si>
  <si>
    <t>Lisboa</t>
  </si>
  <si>
    <t>Portugal</t>
  </si>
  <si>
    <t>MO-2011-3300</t>
  </si>
  <si>
    <t>Nat Carroll</t>
  </si>
  <si>
    <t>Fès-Boulemane</t>
  </si>
  <si>
    <t>Morocco</t>
  </si>
  <si>
    <t>SL-2011-6640</t>
  </si>
  <si>
    <t>Southern</t>
  </si>
  <si>
    <t>Sierra Leone</t>
  </si>
  <si>
    <t>ES-2011-4436456</t>
  </si>
  <si>
    <t>Hunter Glantz</t>
  </si>
  <si>
    <t>IR-2011-3890</t>
  </si>
  <si>
    <t>Bradley Talbott</t>
  </si>
  <si>
    <t>Markazi</t>
  </si>
  <si>
    <t>IN-2011-31496</t>
  </si>
  <si>
    <t>Nathan Mautz</t>
  </si>
  <si>
    <t>Telangana</t>
  </si>
  <si>
    <t>IN-2011-76198</t>
  </si>
  <si>
    <t>Anna Andreadi</t>
  </si>
  <si>
    <t>IT-2011-2536577</t>
  </si>
  <si>
    <t>Alan Shonely</t>
  </si>
  <si>
    <t>Languedoc-Roussillon</t>
  </si>
  <si>
    <t>IN-2011-15270</t>
  </si>
  <si>
    <t>Christina Anderson</t>
  </si>
  <si>
    <t>Jawa Tengah</t>
  </si>
  <si>
    <t>ES-2011-3940520</t>
  </si>
  <si>
    <t>Oslo</t>
  </si>
  <si>
    <t>Norway</t>
  </si>
  <si>
    <t>ES-2011-3429709</t>
  </si>
  <si>
    <t>Patrick O'Brill</t>
  </si>
  <si>
    <t>Madrid</t>
  </si>
  <si>
    <t>CA-2011-167997</t>
  </si>
  <si>
    <t>Carol Adams</t>
  </si>
  <si>
    <t>South Dakota</t>
  </si>
  <si>
    <t>MX-2011-160150</t>
  </si>
  <si>
    <t>Neola Schneider</t>
  </si>
  <si>
    <t>Tamaulipas</t>
  </si>
  <si>
    <t>US-2011-155502</t>
  </si>
  <si>
    <t>IN-2011-33890</t>
  </si>
  <si>
    <t>Shandong</t>
  </si>
  <si>
    <t>CT-2011-6350</t>
  </si>
  <si>
    <t>Todd Sumrall</t>
  </si>
  <si>
    <t>Bangui</t>
  </si>
  <si>
    <t>Central African Republic</t>
  </si>
  <si>
    <t>EZ-2011-4800</t>
  </si>
  <si>
    <t>Ryan Akin</t>
  </si>
  <si>
    <t>Olomouc</t>
  </si>
  <si>
    <t>Czech Republic</t>
  </si>
  <si>
    <t>ID-2011-78102</t>
  </si>
  <si>
    <t>Dennis Bolton</t>
  </si>
  <si>
    <t>Kalimantan Timur</t>
  </si>
  <si>
    <t>MO-2011-1670</t>
  </si>
  <si>
    <t>Liz Pelletier</t>
  </si>
  <si>
    <t>Rabat-Salé-Zemmour-Zaer</t>
  </si>
  <si>
    <t>IN-2011-50704</t>
  </si>
  <si>
    <t>Guangdong</t>
  </si>
  <si>
    <t>MX-2011-124555</t>
  </si>
  <si>
    <t>Barry Weirich</t>
  </si>
  <si>
    <t>Duarte</t>
  </si>
  <si>
    <t>IN-2011-63990</t>
  </si>
  <si>
    <t>US-2011-117163</t>
  </si>
  <si>
    <t>Ed Jacobs</t>
  </si>
  <si>
    <t>ID-2011-42164</t>
  </si>
  <si>
    <t>IT-2011-4728742</t>
  </si>
  <si>
    <t>Herbert Flentye</t>
  </si>
  <si>
    <t>US-2011-119053</t>
  </si>
  <si>
    <t>Resi Pölking</t>
  </si>
  <si>
    <t>US-2011-156664</t>
  </si>
  <si>
    <t>Lara</t>
  </si>
  <si>
    <t>BN-2011-1530</t>
  </si>
  <si>
    <t>Nona Balk</t>
  </si>
  <si>
    <t>Littoral</t>
  </si>
  <si>
    <t>Benin</t>
  </si>
  <si>
    <t>CA-2011-100328</t>
  </si>
  <si>
    <t>New York</t>
  </si>
  <si>
    <t>ID-2011-80545</t>
  </si>
  <si>
    <t>Harold Engle</t>
  </si>
  <si>
    <t>NI-2011-2370</t>
  </si>
  <si>
    <t>David Philippe</t>
  </si>
  <si>
    <t>NI-2011-9200</t>
  </si>
  <si>
    <t>Arthur Gainer</t>
  </si>
  <si>
    <t>IN-2011-81833</t>
  </si>
  <si>
    <t>Troy Staebel</t>
  </si>
  <si>
    <t>IN-2011-32196</t>
  </si>
  <si>
    <t>Luke Schmidt</t>
  </si>
  <si>
    <t>Victoria</t>
  </si>
  <si>
    <t>CA-2011-134103</t>
  </si>
  <si>
    <t>Mike Vittorini</t>
  </si>
  <si>
    <t>MO-2011-4320</t>
  </si>
  <si>
    <t>Bryan Davis</t>
  </si>
  <si>
    <t>Marrakech-Tensift-El Haouz</t>
  </si>
  <si>
    <t>MX-2011-100762</t>
  </si>
  <si>
    <t>Charles McCrossin</t>
  </si>
  <si>
    <t>IN-2011-72334</t>
  </si>
  <si>
    <t>Sarah Foster</t>
  </si>
  <si>
    <t>Chongqing</t>
  </si>
  <si>
    <t>US-2011-120957</t>
  </si>
  <si>
    <t>Damala Kotsonis</t>
  </si>
  <si>
    <t>Santo Domingo</t>
  </si>
  <si>
    <t>IN-2011-18070</t>
  </si>
  <si>
    <t>Brendan Dodson</t>
  </si>
  <si>
    <t>IN-2011-30733</t>
  </si>
  <si>
    <t>Dhaka</t>
  </si>
  <si>
    <t>Bangladesh</t>
  </si>
  <si>
    <t>CA-2011-115161</t>
  </si>
  <si>
    <t>Liz Carlisle</t>
  </si>
  <si>
    <t>AO-2011-1390</t>
  </si>
  <si>
    <t>David Kendrick</t>
  </si>
  <si>
    <t>ID-2011-56493</t>
  </si>
  <si>
    <t>Stephanie Phelps</t>
  </si>
  <si>
    <t>Hubei</t>
  </si>
  <si>
    <t>IN-2011-36074</t>
  </si>
  <si>
    <t>US-2011-118892</t>
  </si>
  <si>
    <t>Dave Hallsten</t>
  </si>
  <si>
    <t>Panama</t>
  </si>
  <si>
    <t>IR-2011-6550</t>
  </si>
  <si>
    <t>ES-2011-5268439</t>
  </si>
  <si>
    <t>Gene Hale</t>
  </si>
  <si>
    <t>ES-2011-5460465</t>
  </si>
  <si>
    <t>Ralph Ritter</t>
  </si>
  <si>
    <t>ES-2011-2205486</t>
  </si>
  <si>
    <t>IN-2011-56990</t>
  </si>
  <si>
    <t>Erin Smith</t>
  </si>
  <si>
    <t>Henan</t>
  </si>
  <si>
    <t>ES-2011-1640672</t>
  </si>
  <si>
    <t>Ken Heidel</t>
  </si>
  <si>
    <t>Saxony</t>
  </si>
  <si>
    <t>IT-2011-1877466</t>
  </si>
  <si>
    <t>Evan Henry</t>
  </si>
  <si>
    <t>ES-2011-2511634</t>
  </si>
  <si>
    <t>Andalusía</t>
  </si>
  <si>
    <t>IT-2011-4488946</t>
  </si>
  <si>
    <t>Ellis Ballard</t>
  </si>
  <si>
    <t>Bavaria</t>
  </si>
  <si>
    <t>CA-2011-140795</t>
  </si>
  <si>
    <t>Wisconsin</t>
  </si>
  <si>
    <t>ES-2011-3188488</t>
  </si>
  <si>
    <t>Catalonia</t>
  </si>
  <si>
    <t>ES-2011-3642330</t>
  </si>
  <si>
    <t>ID-2011-60882</t>
  </si>
  <si>
    <t>Giulietta Dortch</t>
  </si>
  <si>
    <t>ES-2011-2734651</t>
  </si>
  <si>
    <t>Lori Olson</t>
  </si>
  <si>
    <t>IN-2011-35857</t>
  </si>
  <si>
    <t>Duane Noonan</t>
  </si>
  <si>
    <t>IT-2011-5645183</t>
  </si>
  <si>
    <t>Max Ludwig</t>
  </si>
  <si>
    <t>Uppsala</t>
  </si>
  <si>
    <t>CA-2011-123400</t>
  </si>
  <si>
    <t>Eric Barreto</t>
  </si>
  <si>
    <t>NI-2011-7970</t>
  </si>
  <si>
    <t>Dean Braden</t>
  </si>
  <si>
    <t>IN-2011-35654</t>
  </si>
  <si>
    <t>Theresa Swint</t>
  </si>
  <si>
    <t>Guizhou</t>
  </si>
  <si>
    <t>AO-2011-1710</t>
  </si>
  <si>
    <t>CA-2011-139857</t>
  </si>
  <si>
    <t>Cynthia Delaney</t>
  </si>
  <si>
    <t>IN-2011-80167</t>
  </si>
  <si>
    <t>Christopher Conant</t>
  </si>
  <si>
    <t>SF-2011-2090</t>
  </si>
  <si>
    <t>Tom Stivers</t>
  </si>
  <si>
    <t>Gauteng</t>
  </si>
  <si>
    <t>ES-2011-3354251</t>
  </si>
  <si>
    <t>CA-2011-111059</t>
  </si>
  <si>
    <t>Washington</t>
  </si>
  <si>
    <t>NI-2011-8350</t>
  </si>
  <si>
    <t>Ann Steele</t>
  </si>
  <si>
    <t>TU-2011-7850</t>
  </si>
  <si>
    <t>Anthony Witt</t>
  </si>
  <si>
    <t>CA-2011-104808</t>
  </si>
  <si>
    <t>Mark Haberlin</t>
  </si>
  <si>
    <t>CA-2011-107181</t>
  </si>
  <si>
    <t>Deborah Brumfield</t>
  </si>
  <si>
    <t>TU-2011-6800</t>
  </si>
  <si>
    <t>Justin MacKendrick</t>
  </si>
  <si>
    <t>Aydin</t>
  </si>
  <si>
    <t>CA-2011-131905</t>
  </si>
  <si>
    <t>Neil Ducich</t>
  </si>
  <si>
    <t>IN-2011-67021</t>
  </si>
  <si>
    <t>Natalie Webber</t>
  </si>
  <si>
    <t>IN-2011-33351</t>
  </si>
  <si>
    <t>Duane Benoit</t>
  </si>
  <si>
    <t>Jiangsu</t>
  </si>
  <si>
    <t>IN-2011-40512</t>
  </si>
  <si>
    <t>Liz Thompson</t>
  </si>
  <si>
    <t>ES-2011-2367994</t>
  </si>
  <si>
    <t>Susan MacKendrick</t>
  </si>
  <si>
    <t>ID-2011-85396</t>
  </si>
  <si>
    <t>Scott Williamson</t>
  </si>
  <si>
    <t>ES-2011-2857462</t>
  </si>
  <si>
    <t>George Bell</t>
  </si>
  <si>
    <t>CA-2011-108182</t>
  </si>
  <si>
    <t>US-2011-169390</t>
  </si>
  <si>
    <t>ES-2011-5045844</t>
  </si>
  <si>
    <t>Edward Becker</t>
  </si>
  <si>
    <t>Alsace</t>
  </si>
  <si>
    <t>CA-2011-107755</t>
  </si>
  <si>
    <t>Cyma Kinney</t>
  </si>
  <si>
    <t>New Jersey</t>
  </si>
  <si>
    <t>ES-2011-2608306</t>
  </si>
  <si>
    <t>EG-2011-3900</t>
  </si>
  <si>
    <t>Kelly Williams</t>
  </si>
  <si>
    <t>MX-2011-119977</t>
  </si>
  <si>
    <t>Santiago</t>
  </si>
  <si>
    <t>Chile</t>
  </si>
  <si>
    <t>IN-2011-36494</t>
  </si>
  <si>
    <t>IZ-2011-9890</t>
  </si>
  <si>
    <t>Julia Barnett</t>
  </si>
  <si>
    <t>MX-2011-137064</t>
  </si>
  <si>
    <t>Tom Prescott</t>
  </si>
  <si>
    <t>Sancti Spíritus</t>
  </si>
  <si>
    <t>MX-2011-116218</t>
  </si>
  <si>
    <t>MX-2011-117709</t>
  </si>
  <si>
    <t>Shui Tom</t>
  </si>
  <si>
    <t>ES-2011-4342226</t>
  </si>
  <si>
    <t>Clay Ludtke</t>
  </si>
  <si>
    <t>Hesse</t>
  </si>
  <si>
    <t>Yoseph Carroll</t>
  </si>
  <si>
    <t>ES-2011-5389664</t>
  </si>
  <si>
    <t>Overijssel</t>
  </si>
  <si>
    <t>ES-2011-2722980</t>
  </si>
  <si>
    <t>Hallie Redmond</t>
  </si>
  <si>
    <t>ID-2011-61876</t>
  </si>
  <si>
    <t>Daniel Raglin</t>
  </si>
  <si>
    <t>Daejeon</t>
  </si>
  <si>
    <t>South Korea</t>
  </si>
  <si>
    <t>ID-2011-55975</t>
  </si>
  <si>
    <t>Erica Hernandez</t>
  </si>
  <si>
    <t>CA-2011-125759</t>
  </si>
  <si>
    <t>ID-2011-64599</t>
  </si>
  <si>
    <t>Shizuoka</t>
  </si>
  <si>
    <t>SF-2011-8180</t>
  </si>
  <si>
    <t>John Huston</t>
  </si>
  <si>
    <t>ES-2011-4632225</t>
  </si>
  <si>
    <t>Michelle Ellison</t>
  </si>
  <si>
    <t>IT-2011-1181278</t>
  </si>
  <si>
    <t>Paul Lucas</t>
  </si>
  <si>
    <t>IN-2011-61050</t>
  </si>
  <si>
    <t>Pahang</t>
  </si>
  <si>
    <t>ES-2011-3818297</t>
  </si>
  <si>
    <t>Jennifer Patt</t>
  </si>
  <si>
    <t>Basel-Stadt</t>
  </si>
  <si>
    <t>Switzerland</t>
  </si>
  <si>
    <t>ES-2011-4744800</t>
  </si>
  <si>
    <t>Chad McGuire</t>
  </si>
  <si>
    <t>MX-2011-135552</t>
  </si>
  <si>
    <t>Quincy Jones</t>
  </si>
  <si>
    <t>ES-2011-3609014</t>
  </si>
  <si>
    <t>Meg O'Connel</t>
  </si>
  <si>
    <t>MD-2011-8270</t>
  </si>
  <si>
    <t>Philisse Overcash</t>
  </si>
  <si>
    <t>Chisinau</t>
  </si>
  <si>
    <t>Moldova</t>
  </si>
  <si>
    <t>ID-2011-28661</t>
  </si>
  <si>
    <t>UG-2011-9740</t>
  </si>
  <si>
    <t>Mary O'Rourke</t>
  </si>
  <si>
    <t>Kampala</t>
  </si>
  <si>
    <t>Uganda</t>
  </si>
  <si>
    <t>ZI-2011-9280</t>
  </si>
  <si>
    <t>Anna Häberlin</t>
  </si>
  <si>
    <t>Bulawayo</t>
  </si>
  <si>
    <t>Zimbabwe</t>
  </si>
  <si>
    <t>IR-2011-6140</t>
  </si>
  <si>
    <t>Lisa DeCherney</t>
  </si>
  <si>
    <t>Gilan</t>
  </si>
  <si>
    <t>MX-2011-130981</t>
  </si>
  <si>
    <t>IN-2011-60917</t>
  </si>
  <si>
    <t>Sung Pak</t>
  </si>
  <si>
    <t>Karnataka</t>
  </si>
  <si>
    <t>CA-2011-127614</t>
  </si>
  <si>
    <t>Natalie Fritzler</t>
  </si>
  <si>
    <t>MO-2011-7930</t>
  </si>
  <si>
    <t>Grand Casablanca</t>
  </si>
  <si>
    <t>CA-2011-168368</t>
  </si>
  <si>
    <t>Guy Armstrong</t>
  </si>
  <si>
    <t>Missouri</t>
  </si>
  <si>
    <t>IN-2011-73734</t>
  </si>
  <si>
    <t>US-2011-110674</t>
  </si>
  <si>
    <t>Sanjit Chand</t>
  </si>
  <si>
    <t>RS-2011-3350</t>
  </si>
  <si>
    <t>Bashkortostan</t>
  </si>
  <si>
    <t>IN-2011-85284</t>
  </si>
  <si>
    <t>Katrina Bavinger</t>
  </si>
  <si>
    <t>NG-2011-830</t>
  </si>
  <si>
    <t>Niamey</t>
  </si>
  <si>
    <t>Niger</t>
  </si>
  <si>
    <t>MX-2011-106803</t>
  </si>
  <si>
    <t>Laurel Beltran</t>
  </si>
  <si>
    <t>Holguín</t>
  </si>
  <si>
    <t>IN-2011-11350</t>
  </si>
  <si>
    <t>Toby Gnade</t>
  </si>
  <si>
    <t>Liaoning</t>
  </si>
  <si>
    <t>SG-2011-4160</t>
  </si>
  <si>
    <t>Toby Carlisle</t>
  </si>
  <si>
    <t>Dakar</t>
  </si>
  <si>
    <t>Senegal</t>
  </si>
  <si>
    <t>IN-2011-22662</t>
  </si>
  <si>
    <t>Hong Kong</t>
  </si>
  <si>
    <t>ES-2011-2543443</t>
  </si>
  <si>
    <t>Helen Andreada</t>
  </si>
  <si>
    <t>RS-2011-4710</t>
  </si>
  <si>
    <t>Kaluga</t>
  </si>
  <si>
    <t>SF-2011-6380</t>
  </si>
  <si>
    <t>Pete Armstrong</t>
  </si>
  <si>
    <t>IN-2011-75890</t>
  </si>
  <si>
    <t>Jeremy Ellison</t>
  </si>
  <si>
    <t>Saitama</t>
  </si>
  <si>
    <t>ID-2011-47575</t>
  </si>
  <si>
    <t>IT-2011-1044550</t>
  </si>
  <si>
    <t>Gary Zandusky</t>
  </si>
  <si>
    <t>IT-2011-3264984</t>
  </si>
  <si>
    <t>Tracy Poddar</t>
  </si>
  <si>
    <t>CA-2011-121762</t>
  </si>
  <si>
    <t>Marina Lichtenstein</t>
  </si>
  <si>
    <t>CG-2011-6250</t>
  </si>
  <si>
    <t>Trudy Brown</t>
  </si>
  <si>
    <t>Kinshasa</t>
  </si>
  <si>
    <t>Democratic Republic of the Congo</t>
  </si>
  <si>
    <t>CA-2011-107706</t>
  </si>
  <si>
    <t>IT-2011-1978668</t>
  </si>
  <si>
    <t>Odella Nelson</t>
  </si>
  <si>
    <t>IN-2011-78263</t>
  </si>
  <si>
    <t>Benjamin Farhat</t>
  </si>
  <si>
    <t>Uttar Pradesh</t>
  </si>
  <si>
    <t>MX-2011-133816</t>
  </si>
  <si>
    <t>Matt Hagelstein</t>
  </si>
  <si>
    <t>IN-2011-65033</t>
  </si>
  <si>
    <t>Bart Watters</t>
  </si>
  <si>
    <t>Rob Williams</t>
  </si>
  <si>
    <t>MX-2011-143812</t>
  </si>
  <si>
    <t>Tracy Zic</t>
  </si>
  <si>
    <t>CA-2011-165568</t>
  </si>
  <si>
    <t>Barry Französisch</t>
  </si>
  <si>
    <t>MX-2011-163636</t>
  </si>
  <si>
    <t>Emily Ducich</t>
  </si>
  <si>
    <t>IN-2011-40498</t>
  </si>
  <si>
    <t>Laura Armstrong</t>
  </si>
  <si>
    <t>Heilongjiang</t>
  </si>
  <si>
    <t>ID-2011-66048</t>
  </si>
  <si>
    <t>ZI-2011-3890</t>
  </si>
  <si>
    <t>Katrina Willman</t>
  </si>
  <si>
    <t>Harare</t>
  </si>
  <si>
    <t>CA-2011-122567</t>
  </si>
  <si>
    <t>Michael Nguyen</t>
  </si>
  <si>
    <t>NI-2011-3080</t>
  </si>
  <si>
    <t>IN-2011-17111</t>
  </si>
  <si>
    <t>Michelle Lonsdale</t>
  </si>
  <si>
    <t>CA-2011-4710</t>
  </si>
  <si>
    <t>Skye Norling</t>
  </si>
  <si>
    <t>ID-2011-72173</t>
  </si>
  <si>
    <t>Seoul</t>
  </si>
  <si>
    <t>ES-2011-5118812</t>
  </si>
  <si>
    <t>Alan Barnes</t>
  </si>
  <si>
    <t>IN-2011-31895</t>
  </si>
  <si>
    <t>Rajasthan</t>
  </si>
  <si>
    <t>IN-2011-51530</t>
  </si>
  <si>
    <t>Jim Radford</t>
  </si>
  <si>
    <t>ES-2011-5987802</t>
  </si>
  <si>
    <t>Daniel Lacy</t>
  </si>
  <si>
    <t>CA-2011-154165</t>
  </si>
  <si>
    <t>ES-2011-1720401</t>
  </si>
  <si>
    <t>Burgundy</t>
  </si>
  <si>
    <t>IN-2011-46504</t>
  </si>
  <si>
    <t>US-2011-165589</t>
  </si>
  <si>
    <t>Troy Blackwell</t>
  </si>
  <si>
    <t>CA-2011-152905</t>
  </si>
  <si>
    <t>Aaron Bergman</t>
  </si>
  <si>
    <t>IN-2011-64627</t>
  </si>
  <si>
    <t>Sam Craven</t>
  </si>
  <si>
    <t>Tokyo</t>
  </si>
  <si>
    <t>ES-2011-4052630</t>
  </si>
  <si>
    <t>Zuschuss Donatelli</t>
  </si>
  <si>
    <t>IN-2011-78781</t>
  </si>
  <si>
    <t>John Lucas</t>
  </si>
  <si>
    <t>IN-2011-26456</t>
  </si>
  <si>
    <t>Erin Ashbrook</t>
  </si>
  <si>
    <t>Hebei</t>
  </si>
  <si>
    <t>ID-2011-24454</t>
  </si>
  <si>
    <t>Liz MacKendrick</t>
  </si>
  <si>
    <t>IN-2011-58341</t>
  </si>
  <si>
    <t>Andrew Roberts</t>
  </si>
  <si>
    <t>IN-2011-59993</t>
  </si>
  <si>
    <t>CA-2011-109491</t>
  </si>
  <si>
    <t>Linda Cazamias</t>
  </si>
  <si>
    <t>IT-2011-3284965</t>
  </si>
  <si>
    <t>Sarah Jordon</t>
  </si>
  <si>
    <t>Zürich</t>
  </si>
  <si>
    <t>ES-2011-4228024</t>
  </si>
  <si>
    <t>Alice McCarthy</t>
  </si>
  <si>
    <t>CA-2011-164903</t>
  </si>
  <si>
    <t>Steven Roelle</t>
  </si>
  <si>
    <t>ES-2011-3353574</t>
  </si>
  <si>
    <t>Paul Gonzalez</t>
  </si>
  <si>
    <t>PL-2011-9340</t>
  </si>
  <si>
    <t>Rick Wilson</t>
  </si>
  <si>
    <t>Pomerania</t>
  </si>
  <si>
    <t>Poland</t>
  </si>
  <si>
    <t>IR-2011-360</t>
  </si>
  <si>
    <t>Sam Zeldin</t>
  </si>
  <si>
    <t>Tehran</t>
  </si>
  <si>
    <t>IT-2011-4664416</t>
  </si>
  <si>
    <t>Dublin</t>
  </si>
  <si>
    <t>Ireland</t>
  </si>
  <si>
    <t>IN-2011-16362</t>
  </si>
  <si>
    <t>Rick Huthwaite</t>
  </si>
  <si>
    <t>TU-2011-5500</t>
  </si>
  <si>
    <t>Andrew Gjertsen</t>
  </si>
  <si>
    <t>CG-2011-1930</t>
  </si>
  <si>
    <t>Patricia Hirasaki</t>
  </si>
  <si>
    <t>South Kivu</t>
  </si>
  <si>
    <t>ES-2011-4187064</t>
  </si>
  <si>
    <t>Julia Dunbar</t>
  </si>
  <si>
    <t>CA-2011-165540</t>
  </si>
  <si>
    <t>Tamara Manning</t>
  </si>
  <si>
    <t>TU-2011-5990</t>
  </si>
  <si>
    <t>Diyarbakir</t>
  </si>
  <si>
    <t>IN-2011-44901</t>
  </si>
  <si>
    <t>Mitch Gastineau</t>
  </si>
  <si>
    <t>Maharashtra</t>
  </si>
  <si>
    <t>US-2011-145674</t>
  </si>
  <si>
    <t>ID-2011-55667</t>
  </si>
  <si>
    <t>Roland Fjeld</t>
  </si>
  <si>
    <t>Punjab</t>
  </si>
  <si>
    <t>Pakistan</t>
  </si>
  <si>
    <t>AJ-2011-4460</t>
  </si>
  <si>
    <t>Carlos Meador</t>
  </si>
  <si>
    <t>Baki</t>
  </si>
  <si>
    <t>Azerbaijan</t>
  </si>
  <si>
    <t>CA-2011-133354</t>
  </si>
  <si>
    <t>IT-2011-2889545</t>
  </si>
  <si>
    <t>Lazio</t>
  </si>
  <si>
    <t>ES-2011-2377967</t>
  </si>
  <si>
    <t>Julie Creighton</t>
  </si>
  <si>
    <t>Namur</t>
  </si>
  <si>
    <t>IR-2011-6700</t>
  </si>
  <si>
    <t>Qom</t>
  </si>
  <si>
    <t>MX-2011-161480</t>
  </si>
  <si>
    <t>Carlos Soltero</t>
  </si>
  <si>
    <t>Rio Grande do Sul</t>
  </si>
  <si>
    <t>US-2011-149559</t>
  </si>
  <si>
    <t>Bahia</t>
  </si>
  <si>
    <t>IN-2011-74378</t>
  </si>
  <si>
    <t>Jim Mitchum</t>
  </si>
  <si>
    <t>CA-2011-8490</t>
  </si>
  <si>
    <t>US-2011-132388</t>
  </si>
  <si>
    <t>NI-2011-9470</t>
  </si>
  <si>
    <t>SG-2011-8120</t>
  </si>
  <si>
    <t>Christy Brittain</t>
  </si>
  <si>
    <t>CA-2011-103744</t>
  </si>
  <si>
    <t>Michael Grace</t>
  </si>
  <si>
    <t>AG-2011-8180</t>
  </si>
  <si>
    <t>Rose O'Brian</t>
  </si>
  <si>
    <t>ID-2011-56969</t>
  </si>
  <si>
    <t>Fred McMath</t>
  </si>
  <si>
    <t>MX-2011-131352</t>
  </si>
  <si>
    <t>Mike Kennedy</t>
  </si>
  <si>
    <t>Pinar del Río</t>
  </si>
  <si>
    <t>CG-2011-6540</t>
  </si>
  <si>
    <t>Tracy Hopkins</t>
  </si>
  <si>
    <t>Orientale</t>
  </si>
  <si>
    <t>MX-2011-114909</t>
  </si>
  <si>
    <t>Emily Grady</t>
  </si>
  <si>
    <t>US-2011-137680</t>
  </si>
  <si>
    <t>MX-2011-135440</t>
  </si>
  <si>
    <t>Bill Stewart</t>
  </si>
  <si>
    <t>Matagalpa</t>
  </si>
  <si>
    <t>ID-2011-25735</t>
  </si>
  <si>
    <t>Jakarta</t>
  </si>
  <si>
    <t>IT-2011-3203475</t>
  </si>
  <si>
    <t>Bobby Odegard</t>
  </si>
  <si>
    <t>North Holland</t>
  </si>
  <si>
    <t>MX-2011-116246</t>
  </si>
  <si>
    <t>Rob Lucas</t>
  </si>
  <si>
    <t>IN-2011-43718</t>
  </si>
  <si>
    <t>Chiba</t>
  </si>
  <si>
    <t>MX-2011-133466</t>
  </si>
  <si>
    <t>US-2011-162012</t>
  </si>
  <si>
    <t>IN-2011-15991</t>
  </si>
  <si>
    <t>Lena Cacioppo</t>
  </si>
  <si>
    <t>IR-2011-6860</t>
  </si>
  <si>
    <t>Dennis Kane</t>
  </si>
  <si>
    <t>Bushehr</t>
  </si>
  <si>
    <t>ID-2011-72894</t>
  </si>
  <si>
    <t>MX-2011-156748</t>
  </si>
  <si>
    <t>Sarah Brown</t>
  </si>
  <si>
    <t>IN-2011-56213</t>
  </si>
  <si>
    <t>CA-2011-156545</t>
  </si>
  <si>
    <t>ID-2011-56129</t>
  </si>
  <si>
    <t>CA-2011-1800</t>
  </si>
  <si>
    <t>ES-2011-1705541</t>
  </si>
  <si>
    <t>UP-2011-3730</t>
  </si>
  <si>
    <t>Vinnytsya</t>
  </si>
  <si>
    <t>Ukraine</t>
  </si>
  <si>
    <t>ES-2011-3893444</t>
  </si>
  <si>
    <t>Berlin</t>
  </si>
  <si>
    <t>CA-2011-113880</t>
  </si>
  <si>
    <t>Vicky Freymann</t>
  </si>
  <si>
    <t>IN-2011-59986</t>
  </si>
  <si>
    <t>Katherine Hughes</t>
  </si>
  <si>
    <t>CA-2011-104269</t>
  </si>
  <si>
    <t>Dave Brooks</t>
  </si>
  <si>
    <t>CA-2011-168312</t>
  </si>
  <si>
    <t>Giulietta Weimer</t>
  </si>
  <si>
    <t>CA-2011-131009</t>
  </si>
  <si>
    <t>Shahid Collister</t>
  </si>
  <si>
    <t>UP-2011-3090</t>
  </si>
  <si>
    <t>Bryan Spruell</t>
  </si>
  <si>
    <t>Kherson</t>
  </si>
  <si>
    <t>ES-2011-1517387</t>
  </si>
  <si>
    <t>IN-2011-56738</t>
  </si>
  <si>
    <t>Randy Ferguson</t>
  </si>
  <si>
    <t>Aichi</t>
  </si>
  <si>
    <t>IN-2011-26946</t>
  </si>
  <si>
    <t>Logan Haushalter</t>
  </si>
  <si>
    <t>Sumatera Selatan</t>
  </si>
  <si>
    <t>ES-2011-2010166</t>
  </si>
  <si>
    <t>ID-2011-50144</t>
  </si>
  <si>
    <t>Tasmania</t>
  </si>
  <si>
    <t>ES-2011-1416586</t>
  </si>
  <si>
    <t>Ed Ludwig</t>
  </si>
  <si>
    <t>IN-2011-52146</t>
  </si>
  <si>
    <t>Brian DeCherney</t>
  </si>
  <si>
    <t>ES-2011-3227800</t>
  </si>
  <si>
    <t>Jeremy Farry</t>
  </si>
  <si>
    <t>NI-2011-190</t>
  </si>
  <si>
    <t>US-2011-143707</t>
  </si>
  <si>
    <t>IN-2011-53469</t>
  </si>
  <si>
    <t>ID-2011-34037</t>
  </si>
  <si>
    <t>Mary Zewe</t>
  </si>
  <si>
    <t>IN-2011-34800</t>
  </si>
  <si>
    <t>IZ-2011-6520</t>
  </si>
  <si>
    <t>Baghdad</t>
  </si>
  <si>
    <t>CA-2011-111157</t>
  </si>
  <si>
    <t>Nicole Hansen</t>
  </si>
  <si>
    <t>MX-2011-158575</t>
  </si>
  <si>
    <t>Frank Hawley</t>
  </si>
  <si>
    <t>Las Tunas</t>
  </si>
  <si>
    <t>CA-2011-107524</t>
  </si>
  <si>
    <t>Kristina Nunn</t>
  </si>
  <si>
    <t>AL-2011-7440</t>
  </si>
  <si>
    <t>Scot Coram</t>
  </si>
  <si>
    <t>Elbasan</t>
  </si>
  <si>
    <t>Albania</t>
  </si>
  <si>
    <t>IN-2011-52853</t>
  </si>
  <si>
    <t>MX-2011-150357</t>
  </si>
  <si>
    <t>Mitch Willingham</t>
  </si>
  <si>
    <t>MO-2011-720</t>
  </si>
  <si>
    <t>RO-2011-6490</t>
  </si>
  <si>
    <t>Sandra Flanagan</t>
  </si>
  <si>
    <t>Iasi</t>
  </si>
  <si>
    <t>Romania</t>
  </si>
  <si>
    <t>US-2011-115392</t>
  </si>
  <si>
    <t>Cari Schnelling</t>
  </si>
  <si>
    <t>Cortés</t>
  </si>
  <si>
    <t>Honduras</t>
  </si>
  <si>
    <t>US-2011-127978</t>
  </si>
  <si>
    <t>Jill Stevenson</t>
  </si>
  <si>
    <t>CA-2011-105648</t>
  </si>
  <si>
    <t>Eva Jacobs</t>
  </si>
  <si>
    <t>CA-2011-127964</t>
  </si>
  <si>
    <t>Anne Pryor</t>
  </si>
  <si>
    <t>EG-2011-2040</t>
  </si>
  <si>
    <t>CA-2011-130421</t>
  </si>
  <si>
    <t>AG-2011-380</t>
  </si>
  <si>
    <t>NI-2011-1790</t>
  </si>
  <si>
    <t>Astrea Jones</t>
  </si>
  <si>
    <t>Anambra</t>
  </si>
  <si>
    <t>ES-2011-1708225</t>
  </si>
  <si>
    <t>IS-2011-9280</t>
  </si>
  <si>
    <t>Thais Sissman</t>
  </si>
  <si>
    <t>Jerusalem</t>
  </si>
  <si>
    <t>Israel</t>
  </si>
  <si>
    <t>ES-2011-4926746</t>
  </si>
  <si>
    <t>Roger Barcio</t>
  </si>
  <si>
    <t>Pays de la Loire</t>
  </si>
  <si>
    <t>IR-2011-5440</t>
  </si>
  <si>
    <t>Yana Sorensen</t>
  </si>
  <si>
    <t>US-2011-128475</t>
  </si>
  <si>
    <t>Chris Cortes</t>
  </si>
  <si>
    <t>CA-2011-155852</t>
  </si>
  <si>
    <t>Ashley Jarboe</t>
  </si>
  <si>
    <t>North Carolina</t>
  </si>
  <si>
    <t>IN-2011-75743</t>
  </si>
  <si>
    <t>Brad Eason</t>
  </si>
  <si>
    <t>Sichuan</t>
  </si>
  <si>
    <t>CA-2011-116239</t>
  </si>
  <si>
    <t>MX-2011-138632</t>
  </si>
  <si>
    <t>Darrin Martin</t>
  </si>
  <si>
    <t>TU-2011-6490</t>
  </si>
  <si>
    <t>Pierre Wener</t>
  </si>
  <si>
    <t>Istanbul</t>
  </si>
  <si>
    <t>NI-2011-4420</t>
  </si>
  <si>
    <t>John Lee</t>
  </si>
  <si>
    <t>Enugu</t>
  </si>
  <si>
    <t>CA-2011-117016</t>
  </si>
  <si>
    <t>CA-2011-169061</t>
  </si>
  <si>
    <t>ES-2011-2242689</t>
  </si>
  <si>
    <t>PL-2011-4990</t>
  </si>
  <si>
    <t>Barry Pond</t>
  </si>
  <si>
    <t>Silesia</t>
  </si>
  <si>
    <t>MX-2011-105564</t>
  </si>
  <si>
    <t>Russell D'Ascenzo</t>
  </si>
  <si>
    <t>SA-2011-1980</t>
  </si>
  <si>
    <t>Maureen Gnade</t>
  </si>
  <si>
    <t>Makkah</t>
  </si>
  <si>
    <t>CA-2011-104563</t>
  </si>
  <si>
    <t>Craig Molinari</t>
  </si>
  <si>
    <t>MX-2011-134684</t>
  </si>
  <si>
    <t>ES-2011-4410046</t>
  </si>
  <si>
    <t>CA-2011-156587</t>
  </si>
  <si>
    <t>US-2011-131982</t>
  </si>
  <si>
    <t>Nora Pelletier</t>
  </si>
  <si>
    <t>IN-2011-54302</t>
  </si>
  <si>
    <t>Naresj Patel</t>
  </si>
  <si>
    <t>CM-2011-6790</t>
  </si>
  <si>
    <t>Centre</t>
  </si>
  <si>
    <t>Cameroon</t>
  </si>
  <si>
    <t>MX-2011-152681</t>
  </si>
  <si>
    <t>Greg Tran</t>
  </si>
  <si>
    <t>IN-2011-33855</t>
  </si>
  <si>
    <t>IN-2011-30306</t>
  </si>
  <si>
    <t>Phnom Penh</t>
  </si>
  <si>
    <t>Cambodia</t>
  </si>
  <si>
    <t>IN-2011-67028</t>
  </si>
  <si>
    <t>NI-2011-4070</t>
  </si>
  <si>
    <t>Georgia Rosenberg</t>
  </si>
  <si>
    <t>MX-2011-145135</t>
  </si>
  <si>
    <t>ES-2011-2535754</t>
  </si>
  <si>
    <t>Baden-Württemberg</t>
  </si>
  <si>
    <t>GG-2011-3530</t>
  </si>
  <si>
    <t>Tbilisi</t>
  </si>
  <si>
    <t>PL-2011-7070</t>
  </si>
  <si>
    <t>Joe Kamberova</t>
  </si>
  <si>
    <t>Masovia</t>
  </si>
  <si>
    <t>CA-2011-8990</t>
  </si>
  <si>
    <t>British Columbia</t>
  </si>
  <si>
    <t>US-2011-166002</t>
  </si>
  <si>
    <t>Maurice Satty</t>
  </si>
  <si>
    <t>Buenos Aires</t>
  </si>
  <si>
    <t>Argentina</t>
  </si>
  <si>
    <t>ID-2011-14094</t>
  </si>
  <si>
    <t>Kalyca Meade</t>
  </si>
  <si>
    <t>SF-2011-1480</t>
  </si>
  <si>
    <t>Anna Gayman</t>
  </si>
  <si>
    <t>ID-2011-68631</t>
  </si>
  <si>
    <t>Saphhira Shifley</t>
  </si>
  <si>
    <t>ES-2011-3832823</t>
  </si>
  <si>
    <t>Janet Lee</t>
  </si>
  <si>
    <t>IN-2011-25084</t>
  </si>
  <si>
    <t>Bryan Mills</t>
  </si>
  <si>
    <t>ES-2011-2711513</t>
  </si>
  <si>
    <t>Tonja Turnell</t>
  </si>
  <si>
    <t>US-2011-140116</t>
  </si>
  <si>
    <t>Kean Thornton</t>
  </si>
  <si>
    <t>Colorado</t>
  </si>
  <si>
    <t>IN-2011-60357</t>
  </si>
  <si>
    <t>MX-2011-133956</t>
  </si>
  <si>
    <t>Katherine Ducich</t>
  </si>
  <si>
    <t>ES-2011-3468356</t>
  </si>
  <si>
    <t>MX-2011-147858</t>
  </si>
  <si>
    <t>Maranhão</t>
  </si>
  <si>
    <t>TU-2011-3450</t>
  </si>
  <si>
    <t>Becky Castell</t>
  </si>
  <si>
    <t>Ankara</t>
  </si>
  <si>
    <t>ES-2011-4509445</t>
  </si>
  <si>
    <t>Bill Tyler</t>
  </si>
  <si>
    <t>US-2011-100279</t>
  </si>
  <si>
    <t>IR-2011-7220</t>
  </si>
  <si>
    <t>Peter McVee</t>
  </si>
  <si>
    <t>CA-2011-114790</t>
  </si>
  <si>
    <t>ES-2011-1001989</t>
  </si>
  <si>
    <t>Maureen Fritzler</t>
  </si>
  <si>
    <t>IN-2011-22249</t>
  </si>
  <si>
    <t>MX-2011-154620</t>
  </si>
  <si>
    <t>Karen Seio</t>
  </si>
  <si>
    <t>CA-2011-158337</t>
  </si>
  <si>
    <t>Kelly Andreada</t>
  </si>
  <si>
    <t>MX-2011-104752</t>
  </si>
  <si>
    <t>Michelle Moray</t>
  </si>
  <si>
    <t>Order_id</t>
  </si>
  <si>
    <t>Order_date</t>
  </si>
  <si>
    <t>Ship_date</t>
  </si>
  <si>
    <t>Ship_mode</t>
  </si>
  <si>
    <t>Segment</t>
  </si>
  <si>
    <t>Customer_name</t>
  </si>
  <si>
    <t>State</t>
  </si>
  <si>
    <t>Country</t>
  </si>
  <si>
    <t>Market</t>
  </si>
  <si>
    <t>Region</t>
  </si>
  <si>
    <t>Category</t>
  </si>
  <si>
    <t>Sub_category</t>
  </si>
  <si>
    <t>Sales</t>
  </si>
  <si>
    <t>Quantity</t>
  </si>
  <si>
    <t>Discount</t>
  </si>
  <si>
    <t>Profit</t>
  </si>
  <si>
    <t>Shipping_cost</t>
  </si>
  <si>
    <t>Order_priority</t>
  </si>
  <si>
    <t>Shipping Days</t>
  </si>
  <si>
    <t>Total Sales</t>
  </si>
  <si>
    <t>Sales After Discount</t>
  </si>
  <si>
    <t>Discount Amount</t>
  </si>
  <si>
    <t>Total Profit</t>
  </si>
  <si>
    <t>Total Shipping Cost</t>
  </si>
  <si>
    <t>Net Profit</t>
  </si>
  <si>
    <t>Profit Status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</si>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</sst>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3" fontId="0" fillId="0" borderId="0" xfId="0" applyNumberFormat="1"/>
    <xf numFmtId="0" fontId="0" fillId="2" borderId="0" xfId="0" applyFill="1"/>
    <xf numFmtId="0" fontId="0" fillId="0" borderId="0" xfId="0" applyNumberFormat="1"/>
    <xf numFmtId="9" fontId="0" fillId="0" borderId="0" xfId="1" applyFont="1"/>
    <xf numFmtId="0" fontId="0" fillId="3" borderId="0" xfId="0" applyFill="1"/>
    <xf numFmtId="9" fontId="0" fillId="3" borderId="0" xfId="1" applyFont="1" applyFill="1"/>
  </cellXfs>
  <cellStyles count="2">
    <cellStyle name="Normal" xfId="0" builtinId="0"/>
    <cellStyle name="Percent" xfId="1" builtinId="5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A6E6A5C-81BC-4F28-9CED-5128C4EA2BE6}" autoFormatId="16" applyNumberFormats="0" applyBorderFormats="0" applyFontFormats="0" applyPatternFormats="0" applyAlignmentFormats="0" applyWidthHeightFormats="0">
  <queryTableRefresh nextId="28" unboundColumnsRight="9">
    <queryTableFields count="27">
      <queryTableField id="1" name="Order_id" tableColumnId="1"/>
      <queryTableField id="2" name="Order_date" tableColumnId="2"/>
      <queryTableField id="3" name="Ship_date" tableColumnId="3"/>
      <queryTableField id="4" name="Ship_mode" tableColumnId="4"/>
      <queryTableField id="5" name="Customer_name" tableColumnId="5"/>
      <queryTableField id="6" name="Segment" tableColumnId="6"/>
      <queryTableField id="7" name="State" tableColumnId="7"/>
      <queryTableField id="8" name="Country" tableColumnId="8"/>
      <queryTableField id="9" name="Market" tableColumnId="9"/>
      <queryTableField id="10" name="Region" tableColumnId="10"/>
      <queryTableField id="11" name="Category" tableColumnId="11"/>
      <queryTableField id="12" name="Sub_category" tableColumnId="12"/>
      <queryTableField id="13" name="Sales" tableColumnId="13"/>
      <queryTableField id="14" name="Quantity" tableColumnId="14"/>
      <queryTableField id="15" name="Discount" tableColumnId="15"/>
      <queryTableField id="16" name="Profit" tableColumnId="16"/>
      <queryTableField id="17" name="Shipping_cost" tableColumnId="17"/>
      <queryTableField id="18" name="Order_priority" tableColumnId="18"/>
      <queryTableField id="19" dataBound="0" tableColumnId="19"/>
      <queryTableField id="20" dataBound="0" tableColumnId="20"/>
      <queryTableField id="23" dataBound="0" tableColumnId="23"/>
      <queryTableField id="21" dataBound="0" tableColumnId="21"/>
      <queryTableField id="22" dataBound="0" tableColumnId="22"/>
      <queryTableField id="27" dataBound="0" tableColumnId="27"/>
      <queryTableField id="24" dataBound="0" tableColumnId="24"/>
      <queryTableField id="25" dataBound="0" tableColumnId="25"/>
      <queryTableField id="26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DC119C-9C27-484D-A4C1-AA78EDE8A00E}" name="Sheet1" displayName="Sheet1" ref="A1:AA1001" tableType="queryTable" totalsRowShown="0">
  <autoFilter ref="A1:AA1001" xr:uid="{11DC119C-9C27-484D-A4C1-AA78EDE8A00E}"/>
  <tableColumns count="27">
    <tableColumn id="1" xr3:uid="{9781E7D1-E813-4CDF-A820-94E9A7888EF8}" uniqueName="1" name="Order_id" queryTableFieldId="1" dataDxfId="20"/>
    <tableColumn id="2" xr3:uid="{99E975B7-49B8-4D66-903D-94B5485354B0}" uniqueName="2" name="Order_date" queryTableFieldId="2" dataDxfId="19"/>
    <tableColumn id="3" xr3:uid="{7C36BC57-1C34-4309-841D-815D626E349E}" uniqueName="3" name="Ship_date" queryTableFieldId="3" dataDxfId="18"/>
    <tableColumn id="4" xr3:uid="{28EFE44A-5D4C-40AB-B7A7-192B351B3A53}" uniqueName="4" name="Ship_mode" queryTableFieldId="4" dataDxfId="17"/>
    <tableColumn id="5" xr3:uid="{6D3A7E03-B407-4C25-B80F-CE5E11DDF390}" uniqueName="5" name="Customer_name" queryTableFieldId="5" dataDxfId="16"/>
    <tableColumn id="6" xr3:uid="{53DA34BB-A2B2-4112-B216-AECE57A37F47}" uniqueName="6" name="Segment" queryTableFieldId="6" dataDxfId="15"/>
    <tableColumn id="7" xr3:uid="{D575F8F3-42BB-422C-BD62-978B38514EF6}" uniqueName="7" name="State" queryTableFieldId="7" dataDxfId="14"/>
    <tableColumn id="8" xr3:uid="{3B4C06F4-E15A-42C7-9E5A-5D7A4C9ECA96}" uniqueName="8" name="Country" queryTableFieldId="8" dataDxfId="13"/>
    <tableColumn id="9" xr3:uid="{C9155313-50DF-47E7-840C-22B1ECAA3F58}" uniqueName="9" name="Market" queryTableFieldId="9" dataDxfId="12"/>
    <tableColumn id="10" xr3:uid="{C7A93027-73A8-49BB-B76A-05A9A9FD7332}" uniqueName="10" name="Region" queryTableFieldId="10" dataDxfId="11"/>
    <tableColumn id="11" xr3:uid="{19426C50-EE41-4E7A-BE32-CC8FEB9D66A9}" uniqueName="11" name="Category" queryTableFieldId="11" dataDxfId="10"/>
    <tableColumn id="12" xr3:uid="{F37F213C-13F4-46C4-B0E5-D75834DBC464}" uniqueName="12" name="Sub_category" queryTableFieldId="12" dataDxfId="9"/>
    <tableColumn id="13" xr3:uid="{D0D2E125-16C6-4A67-B5D5-86577561877F}" uniqueName="13" name="Sales" queryTableFieldId="13"/>
    <tableColumn id="14" xr3:uid="{3A7DDC32-BEE5-4D7D-888C-9763C9ACEF6D}" uniqueName="14" name="Quantity" queryTableFieldId="14"/>
    <tableColumn id="15" xr3:uid="{20DE973C-1BFD-4976-8127-C57C331AFF51}" uniqueName="15" name="Discount" queryTableFieldId="15"/>
    <tableColumn id="16" xr3:uid="{99CEA166-797C-43CE-B73A-2474EF3FA194}" uniqueName="16" name="Profit" queryTableFieldId="16"/>
    <tableColumn id="17" xr3:uid="{D707F8E2-261D-45DD-ADDC-0A9C58388D58}" uniqueName="17" name="Shipping_cost" queryTableFieldId="17"/>
    <tableColumn id="18" xr3:uid="{33B68116-7D9D-48CC-921D-D9B0AC23C913}" uniqueName="18" name="Order_priority" queryTableFieldId="18" dataDxfId="8"/>
    <tableColumn id="19" xr3:uid="{CACB9752-7618-4253-93BC-3067B09E6B1C}" uniqueName="19" name="Shipping Days" queryTableFieldId="19" dataDxfId="7">
      <calculatedColumnFormula>Sheet1[[#This Row],[Ship_date]]-Sheet1[[#This Row],[Order_date]]</calculatedColumnFormula>
    </tableColumn>
    <tableColumn id="20" xr3:uid="{A78AFC52-1A9F-4CBD-89C0-F053FB3C23F7}" uniqueName="20" name="Total Sales" queryTableFieldId="20" dataDxfId="5">
      <calculatedColumnFormula>Sheet1[[#This Row],[Quantity]]*Sheet1[[#This Row],[Sales]]</calculatedColumnFormula>
    </tableColumn>
    <tableColumn id="23" xr3:uid="{CBE00C90-8B75-4A24-A623-6CC568981BF4}" uniqueName="23" name="Discount Amount" queryTableFieldId="23" dataDxfId="6">
      <calculatedColumnFormula>Sheet1[[#This Row],[Total Sales]]*Sheet1[[#This Row],[Discount]]</calculatedColumnFormula>
    </tableColumn>
    <tableColumn id="21" xr3:uid="{9BB54F62-0E72-48B9-BFBF-8CF8B0EAEF91}" uniqueName="21" name="Sales After Discount" queryTableFieldId="21" dataDxfId="4">
      <calculatedColumnFormula>Sheet1[[#This Row],[Total Sales]]-Sheet1[[#This Row],[Total Sales]]*Sheet1[[#This Row],[Discount]]</calculatedColumnFormula>
    </tableColumn>
    <tableColumn id="22" xr3:uid="{0B78E77D-16A9-48C0-9DF7-72A74983B87C}" uniqueName="22" name="Total Profit" queryTableFieldId="22" dataDxfId="3">
      <calculatedColumnFormula>Sheet1[[#This Row],[Quantity]]*Sheet1[[#This Row],[Profit]]</calculatedColumnFormula>
    </tableColumn>
    <tableColumn id="27" xr3:uid="{91A29C0D-4526-4CFE-AD27-15FE9D2B670E}" uniqueName="27" name="Profit Margin" queryTableFieldId="27" dataCellStyle="Percent">
      <calculatedColumnFormula>Sheet1[[#This Row],[Total Profit]]/Sheet1[[#This Row],[Sales After Discount]]</calculatedColumnFormula>
    </tableColumn>
    <tableColumn id="24" xr3:uid="{521A1D4A-D597-4199-88B0-BF3F4114C503}" uniqueName="24" name="Total Shipping Cost" queryTableFieldId="24" dataDxfId="2">
      <calculatedColumnFormula>Sheet1[[#This Row],[Shipping_cost]]*Sheet1[[#This Row],[Quantity]]</calculatedColumnFormula>
    </tableColumn>
    <tableColumn id="25" xr3:uid="{71C36DDA-1243-4B4B-9949-92EF69560DF9}" uniqueName="25" name="Net Profit" queryTableFieldId="25" dataDxfId="1">
      <calculatedColumnFormula>Sheet1[[#This Row],[Total Profit]]-Sheet1[[#This Row],[Total Shipping Cost]]</calculatedColumnFormula>
    </tableColumn>
    <tableColumn id="26" xr3:uid="{035D12BB-308D-4183-87EE-507C6DFCB310}" uniqueName="26" name="Profit Status" queryTableFieldId="26" dataDxfId="0">
      <calculatedColumnFormula>IF(Sheet1[[#This Row],[Net Profit]]&gt;0,"Profit","Loss")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7938B-D4CA-4F77-9802-4C59DD68DC9A}">
  <dimension ref="A1:AA1001"/>
  <sheetViews>
    <sheetView tabSelected="1" zoomScaleNormal="100" workbookViewId="0">
      <selection activeCell="Y8" sqref="Y8"/>
    </sheetView>
  </sheetViews>
  <sheetFormatPr defaultRowHeight="15" x14ac:dyDescent="0.25"/>
  <cols>
    <col min="1" max="1" width="17.5703125" customWidth="1"/>
    <col min="2" max="2" width="16.85546875" customWidth="1"/>
    <col min="3" max="3" width="16.5703125" customWidth="1"/>
    <col min="4" max="4" width="15.5703125" customWidth="1"/>
    <col min="5" max="5" width="21.42578125" bestFit="1" customWidth="1"/>
    <col min="6" max="6" width="13" customWidth="1"/>
    <col min="7" max="7" width="16.5703125" customWidth="1"/>
    <col min="8" max="8" width="18" customWidth="1"/>
    <col min="9" max="9" width="12.5703125" customWidth="1"/>
    <col min="10" max="10" width="18" customWidth="1"/>
    <col min="11" max="11" width="14" customWidth="1"/>
    <col min="12" max="12" width="15.140625" bestFit="1" customWidth="1"/>
    <col min="13" max="13" width="7.85546875" bestFit="1" customWidth="1"/>
    <col min="14" max="15" width="11" bestFit="1" customWidth="1"/>
    <col min="16" max="16" width="9.140625" customWidth="1"/>
    <col min="17" max="17" width="15.28515625" customWidth="1"/>
    <col min="18" max="18" width="16.28515625" customWidth="1"/>
    <col min="19" max="19" width="15.42578125" customWidth="1"/>
    <col min="20" max="20" width="13" customWidth="1"/>
    <col min="21" max="21" width="18.5703125" customWidth="1"/>
    <col min="22" max="22" width="20.85546875" customWidth="1"/>
    <col min="23" max="23" width="13.140625" customWidth="1"/>
    <col min="24" max="24" width="15" style="5" customWidth="1"/>
    <col min="25" max="25" width="20.28515625" customWidth="1"/>
    <col min="26" max="26" width="12.7109375" customWidth="1"/>
    <col min="27" max="27" width="13.5703125" customWidth="1"/>
  </cols>
  <sheetData>
    <row r="1" spans="1:27" x14ac:dyDescent="0.25">
      <c r="A1" t="s">
        <v>1255</v>
      </c>
      <c r="B1" t="s">
        <v>1256</v>
      </c>
      <c r="C1" t="s">
        <v>1257</v>
      </c>
      <c r="D1" t="s">
        <v>1258</v>
      </c>
      <c r="E1" t="s">
        <v>1260</v>
      </c>
      <c r="F1" t="s">
        <v>1259</v>
      </c>
      <c r="G1" t="s">
        <v>1261</v>
      </c>
      <c r="H1" t="s">
        <v>1262</v>
      </c>
      <c r="I1" t="s">
        <v>1263</v>
      </c>
      <c r="J1" t="s">
        <v>1264</v>
      </c>
      <c r="K1" t="s">
        <v>1265</v>
      </c>
      <c r="L1" t="s">
        <v>1266</v>
      </c>
      <c r="M1" t="s">
        <v>1267</v>
      </c>
      <c r="N1" t="s">
        <v>1268</v>
      </c>
      <c r="O1" t="s">
        <v>1269</v>
      </c>
      <c r="P1" t="s">
        <v>1270</v>
      </c>
      <c r="Q1" t="s">
        <v>1271</v>
      </c>
      <c r="R1" t="s">
        <v>1272</v>
      </c>
      <c r="S1" s="6" t="s">
        <v>1273</v>
      </c>
      <c r="T1" s="6" t="s">
        <v>1274</v>
      </c>
      <c r="U1" s="6" t="s">
        <v>1276</v>
      </c>
      <c r="V1" s="6" t="s">
        <v>1275</v>
      </c>
      <c r="W1" s="6" t="s">
        <v>1277</v>
      </c>
      <c r="X1" s="7" t="s">
        <v>1281</v>
      </c>
      <c r="Y1" s="6" t="s">
        <v>1278</v>
      </c>
      <c r="Z1" s="6" t="s">
        <v>1279</v>
      </c>
      <c r="AA1" s="6" t="s">
        <v>1280</v>
      </c>
    </row>
    <row r="2" spans="1:27" x14ac:dyDescent="0.25">
      <c r="A2" t="s">
        <v>0</v>
      </c>
      <c r="B2" s="1">
        <v>40544</v>
      </c>
      <c r="C2" s="1">
        <v>40549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6</v>
      </c>
      <c r="K2" t="s">
        <v>7</v>
      </c>
      <c r="L2" t="s">
        <v>8</v>
      </c>
      <c r="M2">
        <v>408</v>
      </c>
      <c r="N2">
        <v>2</v>
      </c>
      <c r="O2">
        <v>0</v>
      </c>
      <c r="P2">
        <v>106.14</v>
      </c>
      <c r="Q2">
        <v>35.46</v>
      </c>
      <c r="R2" t="s">
        <v>9</v>
      </c>
      <c r="S2">
        <f>Sheet1[[#This Row],[Ship_date]]-Sheet1[[#This Row],[Order_date]]</f>
        <v>5</v>
      </c>
      <c r="T2">
        <f>Sheet1[[#This Row],[Quantity]]*Sheet1[[#This Row],[Sales]]</f>
        <v>816</v>
      </c>
      <c r="U2">
        <f>Sheet1[[#This Row],[Total Sales]]*Sheet1[[#This Row],[Discount]]</f>
        <v>0</v>
      </c>
      <c r="V2" s="4">
        <f>Sheet1[[#This Row],[Total Sales]]-Sheet1[[#This Row],[Total Sales]]*Sheet1[[#This Row],[Discount]]</f>
        <v>816</v>
      </c>
      <c r="W2" s="4">
        <f>Sheet1[[#This Row],[Quantity]]*Sheet1[[#This Row],[Profit]]</f>
        <v>212.28</v>
      </c>
      <c r="X2" s="5">
        <f>Sheet1[[#This Row],[Total Profit]]/Sheet1[[#This Row],[Sales After Discount]]</f>
        <v>0.2601470588235294</v>
      </c>
      <c r="Y2" s="4">
        <f>Sheet1[[#This Row],[Shipping_cost]]*Sheet1[[#This Row],[Quantity]]</f>
        <v>70.92</v>
      </c>
      <c r="Z2" s="4">
        <f>Sheet1[[#This Row],[Total Profit]]-Sheet1[[#This Row],[Total Shipping Cost]]</f>
        <v>141.36000000000001</v>
      </c>
      <c r="AA2" s="4" t="str">
        <f>IF(Sheet1[[#This Row],[Net Profit]]&gt;0,"Profit","Loss")</f>
        <v>Profit</v>
      </c>
    </row>
    <row r="3" spans="1:27" x14ac:dyDescent="0.25">
      <c r="A3" t="s">
        <v>10</v>
      </c>
      <c r="B3" s="1">
        <v>40544</v>
      </c>
      <c r="C3" s="1">
        <v>40551</v>
      </c>
      <c r="D3" t="s">
        <v>1</v>
      </c>
      <c r="E3" t="s">
        <v>11</v>
      </c>
      <c r="F3" t="s">
        <v>3</v>
      </c>
      <c r="G3" t="s">
        <v>12</v>
      </c>
      <c r="H3" t="s">
        <v>13</v>
      </c>
      <c r="I3" t="s">
        <v>14</v>
      </c>
      <c r="J3" t="s">
        <v>15</v>
      </c>
      <c r="K3" t="s">
        <v>7</v>
      </c>
      <c r="L3" t="s">
        <v>16</v>
      </c>
      <c r="M3">
        <v>120</v>
      </c>
      <c r="N3">
        <v>3</v>
      </c>
      <c r="O3">
        <v>0.1</v>
      </c>
      <c r="P3">
        <v>36.036000000000001</v>
      </c>
      <c r="Q3">
        <v>9.7200000000000006</v>
      </c>
      <c r="R3" t="s">
        <v>9</v>
      </c>
      <c r="S3">
        <f>Sheet1[[#This Row],[Ship_date]]-Sheet1[[#This Row],[Order_date]]</f>
        <v>7</v>
      </c>
      <c r="T3">
        <f>Sheet1[[#This Row],[Quantity]]*Sheet1[[#This Row],[Sales]]</f>
        <v>360</v>
      </c>
      <c r="U3">
        <f>Sheet1[[#This Row],[Total Sales]]*Sheet1[[#This Row],[Discount]]</f>
        <v>36</v>
      </c>
      <c r="V3" s="4">
        <f>Sheet1[[#This Row],[Total Sales]]-Sheet1[[#This Row],[Total Sales]]*Sheet1[[#This Row],[Discount]]</f>
        <v>324</v>
      </c>
      <c r="W3" s="4">
        <f>Sheet1[[#This Row],[Quantity]]*Sheet1[[#This Row],[Profit]]</f>
        <v>108.108</v>
      </c>
      <c r="X3" s="5">
        <f>Sheet1[[#This Row],[Total Profit]]/Sheet1[[#This Row],[Sales After Discount]]</f>
        <v>0.33366666666666667</v>
      </c>
      <c r="Y3" s="4">
        <f>Sheet1[[#This Row],[Shipping_cost]]*Sheet1[[#This Row],[Quantity]]</f>
        <v>29.160000000000004</v>
      </c>
      <c r="Z3" s="4">
        <f>Sheet1[[#This Row],[Total Profit]]-Sheet1[[#This Row],[Total Shipping Cost]]</f>
        <v>78.948000000000008</v>
      </c>
      <c r="AA3" s="4" t="str">
        <f>IF(Sheet1[[#This Row],[Net Profit]]&gt;0,"Profit","Loss")</f>
        <v>Profit</v>
      </c>
    </row>
    <row r="4" spans="1:27" x14ac:dyDescent="0.25">
      <c r="A4" t="s">
        <v>17</v>
      </c>
      <c r="B4" s="1">
        <v>40544</v>
      </c>
      <c r="C4" s="1">
        <v>40548</v>
      </c>
      <c r="D4" t="s">
        <v>18</v>
      </c>
      <c r="E4" t="s">
        <v>19</v>
      </c>
      <c r="F4" t="s">
        <v>3</v>
      </c>
      <c r="G4" t="s">
        <v>20</v>
      </c>
      <c r="H4" t="s">
        <v>21</v>
      </c>
      <c r="I4" t="s">
        <v>22</v>
      </c>
      <c r="J4" t="s">
        <v>22</v>
      </c>
      <c r="K4" t="s">
        <v>7</v>
      </c>
      <c r="L4" t="s">
        <v>8</v>
      </c>
      <c r="M4">
        <v>66</v>
      </c>
      <c r="N4">
        <v>4</v>
      </c>
      <c r="O4">
        <v>0</v>
      </c>
      <c r="P4">
        <v>29.64</v>
      </c>
      <c r="Q4">
        <v>8.17</v>
      </c>
      <c r="R4" t="s">
        <v>23</v>
      </c>
      <c r="S4">
        <f>Sheet1[[#This Row],[Ship_date]]-Sheet1[[#This Row],[Order_date]]</f>
        <v>4</v>
      </c>
      <c r="T4">
        <f>Sheet1[[#This Row],[Quantity]]*Sheet1[[#This Row],[Sales]]</f>
        <v>264</v>
      </c>
      <c r="U4">
        <f>Sheet1[[#This Row],[Total Sales]]*Sheet1[[#This Row],[Discount]]</f>
        <v>0</v>
      </c>
      <c r="V4" s="4">
        <f>Sheet1[[#This Row],[Total Sales]]-Sheet1[[#This Row],[Total Sales]]*Sheet1[[#This Row],[Discount]]</f>
        <v>264</v>
      </c>
      <c r="W4" s="4">
        <f>Sheet1[[#This Row],[Quantity]]*Sheet1[[#This Row],[Profit]]</f>
        <v>118.56</v>
      </c>
      <c r="X4" s="5">
        <f>Sheet1[[#This Row],[Total Profit]]/Sheet1[[#This Row],[Sales After Discount]]</f>
        <v>0.4490909090909091</v>
      </c>
      <c r="Y4" s="4">
        <f>Sheet1[[#This Row],[Shipping_cost]]*Sheet1[[#This Row],[Quantity]]</f>
        <v>32.68</v>
      </c>
      <c r="Z4" s="4">
        <f>Sheet1[[#This Row],[Total Profit]]-Sheet1[[#This Row],[Total Shipping Cost]]</f>
        <v>85.88</v>
      </c>
      <c r="AA4" s="4" t="str">
        <f>IF(Sheet1[[#This Row],[Net Profit]]&gt;0,"Profit","Loss")</f>
        <v>Profit</v>
      </c>
    </row>
    <row r="5" spans="1:27" x14ac:dyDescent="0.25">
      <c r="A5" t="s">
        <v>24</v>
      </c>
      <c r="B5" s="1">
        <v>40544</v>
      </c>
      <c r="C5" s="1">
        <v>40548</v>
      </c>
      <c r="D5" t="s">
        <v>18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7</v>
      </c>
      <c r="L5" t="s">
        <v>31</v>
      </c>
      <c r="M5">
        <v>45</v>
      </c>
      <c r="N5">
        <v>3</v>
      </c>
      <c r="O5">
        <v>0.5</v>
      </c>
      <c r="P5">
        <v>-26.055</v>
      </c>
      <c r="Q5">
        <v>4.82</v>
      </c>
      <c r="R5" t="s">
        <v>23</v>
      </c>
      <c r="S5">
        <f>Sheet1[[#This Row],[Ship_date]]-Sheet1[[#This Row],[Order_date]]</f>
        <v>4</v>
      </c>
      <c r="T5">
        <f>Sheet1[[#This Row],[Quantity]]*Sheet1[[#This Row],[Sales]]</f>
        <v>135</v>
      </c>
      <c r="U5">
        <f>Sheet1[[#This Row],[Total Sales]]*Sheet1[[#This Row],[Discount]]</f>
        <v>67.5</v>
      </c>
      <c r="V5" s="4">
        <f>Sheet1[[#This Row],[Total Sales]]-Sheet1[[#This Row],[Total Sales]]*Sheet1[[#This Row],[Discount]]</f>
        <v>67.5</v>
      </c>
      <c r="W5" s="4">
        <f>Sheet1[[#This Row],[Quantity]]*Sheet1[[#This Row],[Profit]]</f>
        <v>-78.164999999999992</v>
      </c>
      <c r="X5" s="5">
        <f>Sheet1[[#This Row],[Total Profit]]/Sheet1[[#This Row],[Sales After Discount]]</f>
        <v>-1.1579999999999999</v>
      </c>
      <c r="Y5" s="4">
        <f>Sheet1[[#This Row],[Shipping_cost]]*Sheet1[[#This Row],[Quantity]]</f>
        <v>14.46</v>
      </c>
      <c r="Z5" s="4">
        <f>Sheet1[[#This Row],[Total Profit]]-Sheet1[[#This Row],[Total Shipping Cost]]</f>
        <v>-92.625</v>
      </c>
      <c r="AA5" s="4" t="str">
        <f>IF(Sheet1[[#This Row],[Net Profit]]&gt;0,"Profit","Loss")</f>
        <v>Loss</v>
      </c>
    </row>
    <row r="6" spans="1:27" x14ac:dyDescent="0.25">
      <c r="A6" t="s">
        <v>10</v>
      </c>
      <c r="B6" s="1">
        <v>40544</v>
      </c>
      <c r="C6" s="1">
        <v>40551</v>
      </c>
      <c r="D6" t="s">
        <v>1</v>
      </c>
      <c r="E6" t="s">
        <v>11</v>
      </c>
      <c r="F6" t="s">
        <v>3</v>
      </c>
      <c r="G6" t="s">
        <v>12</v>
      </c>
      <c r="H6" t="s">
        <v>13</v>
      </c>
      <c r="I6" t="s">
        <v>14</v>
      </c>
      <c r="J6" t="s">
        <v>15</v>
      </c>
      <c r="K6" t="s">
        <v>32</v>
      </c>
      <c r="L6" t="s">
        <v>33</v>
      </c>
      <c r="M6">
        <v>114</v>
      </c>
      <c r="N6">
        <v>5</v>
      </c>
      <c r="O6">
        <v>0.1</v>
      </c>
      <c r="P6">
        <v>37.770000000000003</v>
      </c>
      <c r="Q6">
        <v>4.7</v>
      </c>
      <c r="R6" t="s">
        <v>9</v>
      </c>
      <c r="S6">
        <f>Sheet1[[#This Row],[Ship_date]]-Sheet1[[#This Row],[Order_date]]</f>
        <v>7</v>
      </c>
      <c r="T6">
        <f>Sheet1[[#This Row],[Quantity]]*Sheet1[[#This Row],[Sales]]</f>
        <v>570</v>
      </c>
      <c r="U6">
        <f>Sheet1[[#This Row],[Total Sales]]*Sheet1[[#This Row],[Discount]]</f>
        <v>57</v>
      </c>
      <c r="V6" s="4">
        <f>Sheet1[[#This Row],[Total Sales]]-Sheet1[[#This Row],[Total Sales]]*Sheet1[[#This Row],[Discount]]</f>
        <v>513</v>
      </c>
      <c r="W6" s="4">
        <f>Sheet1[[#This Row],[Quantity]]*Sheet1[[#This Row],[Profit]]</f>
        <v>188.85000000000002</v>
      </c>
      <c r="X6" s="5">
        <f>Sheet1[[#This Row],[Total Profit]]/Sheet1[[#This Row],[Sales After Discount]]</f>
        <v>0.36812865497076031</v>
      </c>
      <c r="Y6" s="4">
        <f>Sheet1[[#This Row],[Shipping_cost]]*Sheet1[[#This Row],[Quantity]]</f>
        <v>23.5</v>
      </c>
      <c r="Z6" s="4">
        <f>Sheet1[[#This Row],[Total Profit]]-Sheet1[[#This Row],[Total Shipping Cost]]</f>
        <v>165.35000000000002</v>
      </c>
      <c r="AA6" s="4" t="str">
        <f>IF(Sheet1[[#This Row],[Net Profit]]&gt;0,"Profit","Loss")</f>
        <v>Profit</v>
      </c>
    </row>
    <row r="7" spans="1:27" x14ac:dyDescent="0.25">
      <c r="A7" t="s">
        <v>10</v>
      </c>
      <c r="B7" s="1">
        <v>40544</v>
      </c>
      <c r="C7" s="1">
        <v>40551</v>
      </c>
      <c r="D7" t="s">
        <v>1</v>
      </c>
      <c r="E7" t="s">
        <v>11</v>
      </c>
      <c r="F7" t="s">
        <v>3</v>
      </c>
      <c r="G7" t="s">
        <v>12</v>
      </c>
      <c r="H7" t="s">
        <v>13</v>
      </c>
      <c r="I7" t="s">
        <v>14</v>
      </c>
      <c r="J7" t="s">
        <v>15</v>
      </c>
      <c r="K7" t="s">
        <v>7</v>
      </c>
      <c r="L7" t="s">
        <v>31</v>
      </c>
      <c r="M7">
        <v>55</v>
      </c>
      <c r="N7">
        <v>2</v>
      </c>
      <c r="O7">
        <v>0.1</v>
      </c>
      <c r="P7">
        <v>15.342000000000001</v>
      </c>
      <c r="Q7">
        <v>1.8</v>
      </c>
      <c r="R7" t="s">
        <v>9</v>
      </c>
      <c r="S7">
        <f>Sheet1[[#This Row],[Ship_date]]-Sheet1[[#This Row],[Order_date]]</f>
        <v>7</v>
      </c>
      <c r="T7">
        <f>Sheet1[[#This Row],[Quantity]]*Sheet1[[#This Row],[Sales]]</f>
        <v>110</v>
      </c>
      <c r="U7">
        <f>Sheet1[[#This Row],[Total Sales]]*Sheet1[[#This Row],[Discount]]</f>
        <v>11</v>
      </c>
      <c r="V7" s="4">
        <f>Sheet1[[#This Row],[Total Sales]]-Sheet1[[#This Row],[Total Sales]]*Sheet1[[#This Row],[Discount]]</f>
        <v>99</v>
      </c>
      <c r="W7" s="4">
        <f>Sheet1[[#This Row],[Quantity]]*Sheet1[[#This Row],[Profit]]</f>
        <v>30.684000000000001</v>
      </c>
      <c r="X7" s="5">
        <f>Sheet1[[#This Row],[Total Profit]]/Sheet1[[#This Row],[Sales After Discount]]</f>
        <v>0.30993939393939396</v>
      </c>
      <c r="Y7" s="4">
        <f>Sheet1[[#This Row],[Shipping_cost]]*Sheet1[[#This Row],[Quantity]]</f>
        <v>3.6</v>
      </c>
      <c r="Z7" s="4">
        <f>Sheet1[[#This Row],[Total Profit]]-Sheet1[[#This Row],[Total Shipping Cost]]</f>
        <v>27.084</v>
      </c>
      <c r="AA7" s="4" t="str">
        <f>IF(Sheet1[[#This Row],[Net Profit]]&gt;0,"Profit","Loss")</f>
        <v>Profit</v>
      </c>
    </row>
    <row r="8" spans="1:27" x14ac:dyDescent="0.25">
      <c r="A8" t="s">
        <v>34</v>
      </c>
      <c r="B8" s="1">
        <v>40545</v>
      </c>
      <c r="C8" s="1">
        <v>40549</v>
      </c>
      <c r="D8" t="s">
        <v>1</v>
      </c>
      <c r="E8" t="s">
        <v>35</v>
      </c>
      <c r="F8" t="s">
        <v>3</v>
      </c>
      <c r="G8" t="s">
        <v>36</v>
      </c>
      <c r="H8" t="s">
        <v>37</v>
      </c>
      <c r="I8" t="s">
        <v>37</v>
      </c>
      <c r="J8" t="s">
        <v>37</v>
      </c>
      <c r="K8" t="s">
        <v>38</v>
      </c>
      <c r="L8" t="s">
        <v>39</v>
      </c>
      <c r="M8">
        <v>314</v>
      </c>
      <c r="N8">
        <v>1</v>
      </c>
      <c r="O8">
        <v>0</v>
      </c>
      <c r="P8">
        <v>3.12</v>
      </c>
      <c r="Q8">
        <v>24.1</v>
      </c>
      <c r="R8" t="s">
        <v>9</v>
      </c>
      <c r="S8">
        <f>Sheet1[[#This Row],[Ship_date]]-Sheet1[[#This Row],[Order_date]]</f>
        <v>4</v>
      </c>
      <c r="T8">
        <f>Sheet1[[#This Row],[Quantity]]*Sheet1[[#This Row],[Sales]]</f>
        <v>314</v>
      </c>
      <c r="U8">
        <f>Sheet1[[#This Row],[Total Sales]]*Sheet1[[#This Row],[Discount]]</f>
        <v>0</v>
      </c>
      <c r="V8" s="4">
        <f>Sheet1[[#This Row],[Total Sales]]-Sheet1[[#This Row],[Total Sales]]*Sheet1[[#This Row],[Discount]]</f>
        <v>314</v>
      </c>
      <c r="W8" s="4">
        <f>Sheet1[[#This Row],[Quantity]]*Sheet1[[#This Row],[Profit]]</f>
        <v>3.12</v>
      </c>
      <c r="X8" s="5">
        <f>Sheet1[[#This Row],[Total Profit]]/Sheet1[[#This Row],[Sales After Discount]]</f>
        <v>9.9363057324840763E-3</v>
      </c>
      <c r="Y8" s="4">
        <f>Sheet1[[#This Row],[Shipping_cost]]*Sheet1[[#This Row],[Quantity]]</f>
        <v>24.1</v>
      </c>
      <c r="Z8" s="4">
        <f>Sheet1[[#This Row],[Total Profit]]-Sheet1[[#This Row],[Total Shipping Cost]]</f>
        <v>-20.98</v>
      </c>
      <c r="AA8" s="4" t="str">
        <f>IF(Sheet1[[#This Row],[Net Profit]]&gt;0,"Profit","Loss")</f>
        <v>Loss</v>
      </c>
    </row>
    <row r="9" spans="1:27" x14ac:dyDescent="0.25">
      <c r="A9" t="s">
        <v>40</v>
      </c>
      <c r="B9" s="1">
        <v>40546</v>
      </c>
      <c r="C9" s="1">
        <v>40546</v>
      </c>
      <c r="D9" t="s">
        <v>41</v>
      </c>
      <c r="E9" t="s">
        <v>42</v>
      </c>
      <c r="F9" t="s">
        <v>43</v>
      </c>
      <c r="G9" t="s">
        <v>12</v>
      </c>
      <c r="H9" t="s">
        <v>13</v>
      </c>
      <c r="I9" t="s">
        <v>14</v>
      </c>
      <c r="J9" t="s">
        <v>15</v>
      </c>
      <c r="K9" t="s">
        <v>7</v>
      </c>
      <c r="L9" t="s">
        <v>44</v>
      </c>
      <c r="M9">
        <v>276</v>
      </c>
      <c r="N9">
        <v>1</v>
      </c>
      <c r="O9">
        <v>0.1</v>
      </c>
      <c r="P9">
        <v>110.41200000000001</v>
      </c>
      <c r="Q9">
        <v>125.32</v>
      </c>
      <c r="R9" t="s">
        <v>45</v>
      </c>
      <c r="S9">
        <f>Sheet1[[#This Row],[Ship_date]]-Sheet1[[#This Row],[Order_date]]</f>
        <v>0</v>
      </c>
      <c r="T9">
        <f>Sheet1[[#This Row],[Quantity]]*Sheet1[[#This Row],[Sales]]</f>
        <v>276</v>
      </c>
      <c r="U9">
        <f>Sheet1[[#This Row],[Total Sales]]*Sheet1[[#This Row],[Discount]]</f>
        <v>27.6</v>
      </c>
      <c r="V9" s="4">
        <f>Sheet1[[#This Row],[Total Sales]]-Sheet1[[#This Row],[Total Sales]]*Sheet1[[#This Row],[Discount]]</f>
        <v>248.4</v>
      </c>
      <c r="W9" s="4">
        <f>Sheet1[[#This Row],[Quantity]]*Sheet1[[#This Row],[Profit]]</f>
        <v>110.41200000000001</v>
      </c>
      <c r="X9" s="5">
        <f>Sheet1[[#This Row],[Total Profit]]/Sheet1[[#This Row],[Sales After Discount]]</f>
        <v>0.44449275362318841</v>
      </c>
      <c r="Y9" s="4">
        <f>Sheet1[[#This Row],[Shipping_cost]]*Sheet1[[#This Row],[Quantity]]</f>
        <v>125.32</v>
      </c>
      <c r="Z9" s="4">
        <f>Sheet1[[#This Row],[Total Profit]]-Sheet1[[#This Row],[Total Shipping Cost]]</f>
        <v>-14.907999999999987</v>
      </c>
      <c r="AA9" s="4" t="str">
        <f>IF(Sheet1[[#This Row],[Net Profit]]&gt;0,"Profit","Loss")</f>
        <v>Loss</v>
      </c>
    </row>
    <row r="10" spans="1:27" x14ac:dyDescent="0.25">
      <c r="A10" t="s">
        <v>46</v>
      </c>
      <c r="B10" s="1">
        <v>40546</v>
      </c>
      <c r="C10" s="1">
        <v>40552</v>
      </c>
      <c r="D10" t="s">
        <v>1</v>
      </c>
      <c r="E10" t="s">
        <v>47</v>
      </c>
      <c r="F10" t="s">
        <v>3</v>
      </c>
      <c r="G10" t="s">
        <v>48</v>
      </c>
      <c r="H10" t="s">
        <v>49</v>
      </c>
      <c r="I10" t="s">
        <v>14</v>
      </c>
      <c r="J10" t="s">
        <v>15</v>
      </c>
      <c r="K10" t="s">
        <v>38</v>
      </c>
      <c r="L10" t="s">
        <v>50</v>
      </c>
      <c r="M10">
        <v>912</v>
      </c>
      <c r="N10">
        <v>4</v>
      </c>
      <c r="O10">
        <v>0.4</v>
      </c>
      <c r="P10">
        <v>-319.464</v>
      </c>
      <c r="Q10">
        <v>107.1</v>
      </c>
      <c r="R10" t="s">
        <v>51</v>
      </c>
      <c r="S10">
        <f>Sheet1[[#This Row],[Ship_date]]-Sheet1[[#This Row],[Order_date]]</f>
        <v>6</v>
      </c>
      <c r="T10">
        <f>Sheet1[[#This Row],[Quantity]]*Sheet1[[#This Row],[Sales]]</f>
        <v>3648</v>
      </c>
      <c r="U10">
        <f>Sheet1[[#This Row],[Total Sales]]*Sheet1[[#This Row],[Discount]]</f>
        <v>1459.2</v>
      </c>
      <c r="V10" s="4">
        <f>Sheet1[[#This Row],[Total Sales]]-Sheet1[[#This Row],[Total Sales]]*Sheet1[[#This Row],[Discount]]</f>
        <v>2188.8000000000002</v>
      </c>
      <c r="W10" s="4">
        <f>Sheet1[[#This Row],[Quantity]]*Sheet1[[#This Row],[Profit]]</f>
        <v>-1277.856</v>
      </c>
      <c r="X10" s="5">
        <f>Sheet1[[#This Row],[Total Profit]]/Sheet1[[#This Row],[Sales After Discount]]</f>
        <v>-0.58381578947368418</v>
      </c>
      <c r="Y10" s="4">
        <f>Sheet1[[#This Row],[Shipping_cost]]*Sheet1[[#This Row],[Quantity]]</f>
        <v>428.4</v>
      </c>
      <c r="Z10" s="4">
        <f>Sheet1[[#This Row],[Total Profit]]-Sheet1[[#This Row],[Total Shipping Cost]]</f>
        <v>-1706.2559999999999</v>
      </c>
      <c r="AA10" s="4" t="str">
        <f>IF(Sheet1[[#This Row],[Net Profit]]&gt;0,"Profit","Loss")</f>
        <v>Loss</v>
      </c>
    </row>
    <row r="11" spans="1:27" x14ac:dyDescent="0.25">
      <c r="A11" t="s">
        <v>52</v>
      </c>
      <c r="B11" s="1">
        <v>40546</v>
      </c>
      <c r="C11" s="1">
        <v>40550</v>
      </c>
      <c r="D11" t="s">
        <v>1</v>
      </c>
      <c r="E11" t="s">
        <v>53</v>
      </c>
      <c r="F11" t="s">
        <v>43</v>
      </c>
      <c r="G11" t="s">
        <v>54</v>
      </c>
      <c r="H11" t="s">
        <v>55</v>
      </c>
      <c r="I11" t="s">
        <v>22</v>
      </c>
      <c r="J11" t="s">
        <v>22</v>
      </c>
      <c r="K11" t="s">
        <v>32</v>
      </c>
      <c r="L11" t="s">
        <v>56</v>
      </c>
      <c r="M11">
        <v>667</v>
      </c>
      <c r="N11">
        <v>4</v>
      </c>
      <c r="O11">
        <v>0</v>
      </c>
      <c r="P11">
        <v>253.32</v>
      </c>
      <c r="Q11">
        <v>81.260000000000005</v>
      </c>
      <c r="R11" t="s">
        <v>23</v>
      </c>
      <c r="S11">
        <f>Sheet1[[#This Row],[Ship_date]]-Sheet1[[#This Row],[Order_date]]</f>
        <v>4</v>
      </c>
      <c r="T11">
        <f>Sheet1[[#This Row],[Quantity]]*Sheet1[[#This Row],[Sales]]</f>
        <v>2668</v>
      </c>
      <c r="U11">
        <f>Sheet1[[#This Row],[Total Sales]]*Sheet1[[#This Row],[Discount]]</f>
        <v>0</v>
      </c>
      <c r="V11" s="4">
        <f>Sheet1[[#This Row],[Total Sales]]-Sheet1[[#This Row],[Total Sales]]*Sheet1[[#This Row],[Discount]]</f>
        <v>2668</v>
      </c>
      <c r="W11" s="4">
        <f>Sheet1[[#This Row],[Quantity]]*Sheet1[[#This Row],[Profit]]</f>
        <v>1013.28</v>
      </c>
      <c r="X11" s="5">
        <f>Sheet1[[#This Row],[Total Profit]]/Sheet1[[#This Row],[Sales After Discount]]</f>
        <v>0.37979010494752624</v>
      </c>
      <c r="Y11" s="4">
        <f>Sheet1[[#This Row],[Shipping_cost]]*Sheet1[[#This Row],[Quantity]]</f>
        <v>325.04000000000002</v>
      </c>
      <c r="Z11" s="4">
        <f>Sheet1[[#This Row],[Total Profit]]-Sheet1[[#This Row],[Total Shipping Cost]]</f>
        <v>688.24</v>
      </c>
      <c r="AA11" s="4" t="str">
        <f>IF(Sheet1[[#This Row],[Net Profit]]&gt;0,"Profit","Loss")</f>
        <v>Profit</v>
      </c>
    </row>
    <row r="12" spans="1:27" x14ac:dyDescent="0.25">
      <c r="A12" t="s">
        <v>57</v>
      </c>
      <c r="B12" s="1">
        <v>40546</v>
      </c>
      <c r="C12" s="1">
        <v>40550</v>
      </c>
      <c r="D12" t="s">
        <v>18</v>
      </c>
      <c r="E12" t="s">
        <v>58</v>
      </c>
      <c r="F12" t="s">
        <v>3</v>
      </c>
      <c r="G12" t="s">
        <v>59</v>
      </c>
      <c r="H12" t="s">
        <v>60</v>
      </c>
      <c r="I12" t="s">
        <v>14</v>
      </c>
      <c r="J12" t="s">
        <v>61</v>
      </c>
      <c r="K12" t="s">
        <v>7</v>
      </c>
      <c r="L12" t="s">
        <v>8</v>
      </c>
      <c r="M12">
        <v>338</v>
      </c>
      <c r="N12">
        <v>3</v>
      </c>
      <c r="O12">
        <v>0.45</v>
      </c>
      <c r="P12">
        <v>-122.8005</v>
      </c>
      <c r="Q12">
        <v>33.75</v>
      </c>
      <c r="R12" t="s">
        <v>23</v>
      </c>
      <c r="S12">
        <f>Sheet1[[#This Row],[Ship_date]]-Sheet1[[#This Row],[Order_date]]</f>
        <v>4</v>
      </c>
      <c r="T12">
        <f>Sheet1[[#This Row],[Quantity]]*Sheet1[[#This Row],[Sales]]</f>
        <v>1014</v>
      </c>
      <c r="U12">
        <f>Sheet1[[#This Row],[Total Sales]]*Sheet1[[#This Row],[Discount]]</f>
        <v>456.3</v>
      </c>
      <c r="V12" s="4">
        <f>Sheet1[[#This Row],[Total Sales]]-Sheet1[[#This Row],[Total Sales]]*Sheet1[[#This Row],[Discount]]</f>
        <v>557.70000000000005</v>
      </c>
      <c r="W12" s="4">
        <f>Sheet1[[#This Row],[Quantity]]*Sheet1[[#This Row],[Profit]]</f>
        <v>-368.4015</v>
      </c>
      <c r="X12" s="5">
        <f>Sheet1[[#This Row],[Total Profit]]/Sheet1[[#This Row],[Sales After Discount]]</f>
        <v>-0.66057288864981167</v>
      </c>
      <c r="Y12" s="4">
        <f>Sheet1[[#This Row],[Shipping_cost]]*Sheet1[[#This Row],[Quantity]]</f>
        <v>101.25</v>
      </c>
      <c r="Z12" s="4">
        <f>Sheet1[[#This Row],[Total Profit]]-Sheet1[[#This Row],[Total Shipping Cost]]</f>
        <v>-469.6515</v>
      </c>
      <c r="AA12" s="4" t="str">
        <f>IF(Sheet1[[#This Row],[Net Profit]]&gt;0,"Profit","Loss")</f>
        <v>Loss</v>
      </c>
    </row>
    <row r="13" spans="1:27" x14ac:dyDescent="0.25">
      <c r="A13" t="s">
        <v>57</v>
      </c>
      <c r="B13" s="1">
        <v>40546</v>
      </c>
      <c r="C13" s="1">
        <v>40550</v>
      </c>
      <c r="D13" t="s">
        <v>18</v>
      </c>
      <c r="E13" t="s">
        <v>58</v>
      </c>
      <c r="F13" t="s">
        <v>3</v>
      </c>
      <c r="G13" t="s">
        <v>59</v>
      </c>
      <c r="H13" t="s">
        <v>60</v>
      </c>
      <c r="I13" t="s">
        <v>14</v>
      </c>
      <c r="J13" t="s">
        <v>61</v>
      </c>
      <c r="K13" t="s">
        <v>32</v>
      </c>
      <c r="L13" t="s">
        <v>62</v>
      </c>
      <c r="M13">
        <v>211</v>
      </c>
      <c r="N13">
        <v>1</v>
      </c>
      <c r="O13">
        <v>0.55000000000000004</v>
      </c>
      <c r="P13">
        <v>-70.399500000000003</v>
      </c>
      <c r="Q13">
        <v>21.32</v>
      </c>
      <c r="R13" t="s">
        <v>23</v>
      </c>
      <c r="S13">
        <f>Sheet1[[#This Row],[Ship_date]]-Sheet1[[#This Row],[Order_date]]</f>
        <v>4</v>
      </c>
      <c r="T13">
        <f>Sheet1[[#This Row],[Quantity]]*Sheet1[[#This Row],[Sales]]</f>
        <v>211</v>
      </c>
      <c r="U13">
        <f>Sheet1[[#This Row],[Total Sales]]*Sheet1[[#This Row],[Discount]]</f>
        <v>116.05000000000001</v>
      </c>
      <c r="V13" s="4">
        <f>Sheet1[[#This Row],[Total Sales]]-Sheet1[[#This Row],[Total Sales]]*Sheet1[[#This Row],[Discount]]</f>
        <v>94.949999999999989</v>
      </c>
      <c r="W13" s="4">
        <f>Sheet1[[#This Row],[Quantity]]*Sheet1[[#This Row],[Profit]]</f>
        <v>-70.399500000000003</v>
      </c>
      <c r="X13" s="5">
        <f>Sheet1[[#This Row],[Total Profit]]/Sheet1[[#This Row],[Sales After Discount]]</f>
        <v>-0.74143759873617709</v>
      </c>
      <c r="Y13" s="4">
        <f>Sheet1[[#This Row],[Shipping_cost]]*Sheet1[[#This Row],[Quantity]]</f>
        <v>21.32</v>
      </c>
      <c r="Z13" s="4">
        <f>Sheet1[[#This Row],[Total Profit]]-Sheet1[[#This Row],[Total Shipping Cost]]</f>
        <v>-91.719500000000011</v>
      </c>
      <c r="AA13" s="4" t="str">
        <f>IF(Sheet1[[#This Row],[Net Profit]]&gt;0,"Profit","Loss")</f>
        <v>Loss</v>
      </c>
    </row>
    <row r="14" spans="1:27" x14ac:dyDescent="0.25">
      <c r="A14" t="s">
        <v>63</v>
      </c>
      <c r="B14" s="1">
        <v>40546</v>
      </c>
      <c r="C14" s="1">
        <v>40550</v>
      </c>
      <c r="D14" t="s">
        <v>1</v>
      </c>
      <c r="E14" t="s">
        <v>64</v>
      </c>
      <c r="F14" t="s">
        <v>3</v>
      </c>
      <c r="G14" t="s">
        <v>65</v>
      </c>
      <c r="H14" t="s">
        <v>66</v>
      </c>
      <c r="I14" t="s">
        <v>29</v>
      </c>
      <c r="J14" t="s">
        <v>30</v>
      </c>
      <c r="K14" t="s">
        <v>32</v>
      </c>
      <c r="L14" t="s">
        <v>67</v>
      </c>
      <c r="M14">
        <v>854</v>
      </c>
      <c r="N14">
        <v>7</v>
      </c>
      <c r="O14">
        <v>0</v>
      </c>
      <c r="P14">
        <v>290.43</v>
      </c>
      <c r="Q14">
        <v>12.56</v>
      </c>
      <c r="R14" t="s">
        <v>9</v>
      </c>
      <c r="S14">
        <f>Sheet1[[#This Row],[Ship_date]]-Sheet1[[#This Row],[Order_date]]</f>
        <v>4</v>
      </c>
      <c r="T14">
        <f>Sheet1[[#This Row],[Quantity]]*Sheet1[[#This Row],[Sales]]</f>
        <v>5978</v>
      </c>
      <c r="U14">
        <f>Sheet1[[#This Row],[Total Sales]]*Sheet1[[#This Row],[Discount]]</f>
        <v>0</v>
      </c>
      <c r="V14" s="4">
        <f>Sheet1[[#This Row],[Total Sales]]-Sheet1[[#This Row],[Total Sales]]*Sheet1[[#This Row],[Discount]]</f>
        <v>5978</v>
      </c>
      <c r="W14" s="4">
        <f>Sheet1[[#This Row],[Quantity]]*Sheet1[[#This Row],[Profit]]</f>
        <v>2033.01</v>
      </c>
      <c r="X14" s="5">
        <f>Sheet1[[#This Row],[Total Profit]]/Sheet1[[#This Row],[Sales After Discount]]</f>
        <v>0.34008196721311473</v>
      </c>
      <c r="Y14" s="4">
        <f>Sheet1[[#This Row],[Shipping_cost]]*Sheet1[[#This Row],[Quantity]]</f>
        <v>87.92</v>
      </c>
      <c r="Z14" s="4">
        <f>Sheet1[[#This Row],[Total Profit]]-Sheet1[[#This Row],[Total Shipping Cost]]</f>
        <v>1945.09</v>
      </c>
      <c r="AA14" s="4" t="str">
        <f>IF(Sheet1[[#This Row],[Net Profit]]&gt;0,"Profit","Loss")</f>
        <v>Profit</v>
      </c>
    </row>
    <row r="15" spans="1:27" x14ac:dyDescent="0.25">
      <c r="A15" t="s">
        <v>68</v>
      </c>
      <c r="B15" s="1">
        <v>40546</v>
      </c>
      <c r="C15" s="1">
        <v>40552</v>
      </c>
      <c r="D15" t="s">
        <v>1</v>
      </c>
      <c r="E15" t="s">
        <v>69</v>
      </c>
      <c r="F15" t="s">
        <v>26</v>
      </c>
      <c r="G15" t="s">
        <v>70</v>
      </c>
      <c r="H15" t="s">
        <v>71</v>
      </c>
      <c r="I15" t="s">
        <v>14</v>
      </c>
      <c r="J15" t="s">
        <v>61</v>
      </c>
      <c r="K15" t="s">
        <v>38</v>
      </c>
      <c r="L15" t="s">
        <v>50</v>
      </c>
      <c r="M15">
        <v>193</v>
      </c>
      <c r="N15">
        <v>1</v>
      </c>
      <c r="O15">
        <v>0</v>
      </c>
      <c r="P15">
        <v>50.13</v>
      </c>
      <c r="Q15">
        <v>10.4</v>
      </c>
      <c r="R15" t="s">
        <v>9</v>
      </c>
      <c r="S15">
        <f>Sheet1[[#This Row],[Ship_date]]-Sheet1[[#This Row],[Order_date]]</f>
        <v>6</v>
      </c>
      <c r="T15">
        <f>Sheet1[[#This Row],[Quantity]]*Sheet1[[#This Row],[Sales]]</f>
        <v>193</v>
      </c>
      <c r="U15">
        <f>Sheet1[[#This Row],[Total Sales]]*Sheet1[[#This Row],[Discount]]</f>
        <v>0</v>
      </c>
      <c r="V15" s="4">
        <f>Sheet1[[#This Row],[Total Sales]]-Sheet1[[#This Row],[Total Sales]]*Sheet1[[#This Row],[Discount]]</f>
        <v>193</v>
      </c>
      <c r="W15" s="4">
        <f>Sheet1[[#This Row],[Quantity]]*Sheet1[[#This Row],[Profit]]</f>
        <v>50.13</v>
      </c>
      <c r="X15" s="5">
        <f>Sheet1[[#This Row],[Total Profit]]/Sheet1[[#This Row],[Sales After Discount]]</f>
        <v>0.25974093264248704</v>
      </c>
      <c r="Y15" s="4">
        <f>Sheet1[[#This Row],[Shipping_cost]]*Sheet1[[#This Row],[Quantity]]</f>
        <v>10.4</v>
      </c>
      <c r="Z15" s="4">
        <f>Sheet1[[#This Row],[Total Profit]]-Sheet1[[#This Row],[Total Shipping Cost]]</f>
        <v>39.730000000000004</v>
      </c>
      <c r="AA15" s="4" t="str">
        <f>IF(Sheet1[[#This Row],[Net Profit]]&gt;0,"Profit","Loss")</f>
        <v>Profit</v>
      </c>
    </row>
    <row r="16" spans="1:27" x14ac:dyDescent="0.25">
      <c r="A16" t="s">
        <v>46</v>
      </c>
      <c r="B16" s="1">
        <v>40546</v>
      </c>
      <c r="C16" s="1">
        <v>40552</v>
      </c>
      <c r="D16" t="s">
        <v>1</v>
      </c>
      <c r="E16" t="s">
        <v>47</v>
      </c>
      <c r="F16" t="s">
        <v>3</v>
      </c>
      <c r="G16" t="s">
        <v>48</v>
      </c>
      <c r="H16" t="s">
        <v>49</v>
      </c>
      <c r="I16" t="s">
        <v>14</v>
      </c>
      <c r="J16" t="s">
        <v>15</v>
      </c>
      <c r="K16" t="s">
        <v>32</v>
      </c>
      <c r="L16" t="s">
        <v>56</v>
      </c>
      <c r="M16">
        <v>159</v>
      </c>
      <c r="N16">
        <v>2</v>
      </c>
      <c r="O16">
        <v>0.4</v>
      </c>
      <c r="P16">
        <v>-95.676000000000002</v>
      </c>
      <c r="Q16">
        <v>10.07</v>
      </c>
      <c r="R16" t="s">
        <v>51</v>
      </c>
      <c r="S16">
        <f>Sheet1[[#This Row],[Ship_date]]-Sheet1[[#This Row],[Order_date]]</f>
        <v>6</v>
      </c>
      <c r="T16">
        <f>Sheet1[[#This Row],[Quantity]]*Sheet1[[#This Row],[Sales]]</f>
        <v>318</v>
      </c>
      <c r="U16">
        <f>Sheet1[[#This Row],[Total Sales]]*Sheet1[[#This Row],[Discount]]</f>
        <v>127.2</v>
      </c>
      <c r="V16" s="4">
        <f>Sheet1[[#This Row],[Total Sales]]-Sheet1[[#This Row],[Total Sales]]*Sheet1[[#This Row],[Discount]]</f>
        <v>190.8</v>
      </c>
      <c r="W16" s="4">
        <f>Sheet1[[#This Row],[Quantity]]*Sheet1[[#This Row],[Profit]]</f>
        <v>-191.352</v>
      </c>
      <c r="X16" s="5">
        <f>Sheet1[[#This Row],[Total Profit]]/Sheet1[[#This Row],[Sales After Discount]]</f>
        <v>-1.0028930817610062</v>
      </c>
      <c r="Y16" s="4">
        <f>Sheet1[[#This Row],[Shipping_cost]]*Sheet1[[#This Row],[Quantity]]</f>
        <v>20.14</v>
      </c>
      <c r="Z16" s="4">
        <f>Sheet1[[#This Row],[Total Profit]]-Sheet1[[#This Row],[Total Shipping Cost]]</f>
        <v>-211.49200000000002</v>
      </c>
      <c r="AA16" s="4" t="str">
        <f>IF(Sheet1[[#This Row],[Net Profit]]&gt;0,"Profit","Loss")</f>
        <v>Loss</v>
      </c>
    </row>
    <row r="17" spans="1:27" x14ac:dyDescent="0.25">
      <c r="A17" t="s">
        <v>72</v>
      </c>
      <c r="B17" s="1">
        <v>40546</v>
      </c>
      <c r="C17" s="1">
        <v>40550</v>
      </c>
      <c r="D17" t="s">
        <v>1</v>
      </c>
      <c r="E17" t="s">
        <v>73</v>
      </c>
      <c r="F17" t="s">
        <v>3</v>
      </c>
      <c r="G17" t="s">
        <v>74</v>
      </c>
      <c r="H17" t="s">
        <v>74</v>
      </c>
      <c r="I17" t="s">
        <v>75</v>
      </c>
      <c r="J17" t="s">
        <v>76</v>
      </c>
      <c r="K17" t="s">
        <v>38</v>
      </c>
      <c r="L17" t="s">
        <v>77</v>
      </c>
      <c r="M17">
        <v>195</v>
      </c>
      <c r="N17">
        <v>4</v>
      </c>
      <c r="O17">
        <v>0</v>
      </c>
      <c r="P17">
        <v>44.88</v>
      </c>
      <c r="Q17">
        <v>8.43</v>
      </c>
      <c r="R17" t="s">
        <v>9</v>
      </c>
      <c r="S17">
        <f>Sheet1[[#This Row],[Ship_date]]-Sheet1[[#This Row],[Order_date]]</f>
        <v>4</v>
      </c>
      <c r="T17">
        <f>Sheet1[[#This Row],[Quantity]]*Sheet1[[#This Row],[Sales]]</f>
        <v>780</v>
      </c>
      <c r="U17">
        <f>Sheet1[[#This Row],[Total Sales]]*Sheet1[[#This Row],[Discount]]</f>
        <v>0</v>
      </c>
      <c r="V17" s="4">
        <f>Sheet1[[#This Row],[Total Sales]]-Sheet1[[#This Row],[Total Sales]]*Sheet1[[#This Row],[Discount]]</f>
        <v>780</v>
      </c>
      <c r="W17" s="4">
        <f>Sheet1[[#This Row],[Quantity]]*Sheet1[[#This Row],[Profit]]</f>
        <v>179.52</v>
      </c>
      <c r="X17" s="5">
        <f>Sheet1[[#This Row],[Total Profit]]/Sheet1[[#This Row],[Sales After Discount]]</f>
        <v>0.23015384615384615</v>
      </c>
      <c r="Y17" s="4">
        <f>Sheet1[[#This Row],[Shipping_cost]]*Sheet1[[#This Row],[Quantity]]</f>
        <v>33.72</v>
      </c>
      <c r="Z17" s="4">
        <f>Sheet1[[#This Row],[Total Profit]]-Sheet1[[#This Row],[Total Shipping Cost]]</f>
        <v>145.80000000000001</v>
      </c>
      <c r="AA17" s="4" t="str">
        <f>IF(Sheet1[[#This Row],[Net Profit]]&gt;0,"Profit","Loss")</f>
        <v>Profit</v>
      </c>
    </row>
    <row r="18" spans="1:27" x14ac:dyDescent="0.25">
      <c r="A18" t="s">
        <v>78</v>
      </c>
      <c r="B18" s="1">
        <v>40546</v>
      </c>
      <c r="C18" s="1">
        <v>40550</v>
      </c>
      <c r="D18" t="s">
        <v>1</v>
      </c>
      <c r="E18" t="s">
        <v>79</v>
      </c>
      <c r="F18" t="s">
        <v>3</v>
      </c>
      <c r="G18" t="s">
        <v>80</v>
      </c>
      <c r="H18" t="s">
        <v>81</v>
      </c>
      <c r="I18" t="s">
        <v>22</v>
      </c>
      <c r="J18" t="s">
        <v>22</v>
      </c>
      <c r="K18" t="s">
        <v>7</v>
      </c>
      <c r="L18" t="s">
        <v>44</v>
      </c>
      <c r="M18">
        <v>123</v>
      </c>
      <c r="N18">
        <v>2</v>
      </c>
      <c r="O18">
        <v>0</v>
      </c>
      <c r="P18">
        <v>42.9</v>
      </c>
      <c r="Q18">
        <v>8.41</v>
      </c>
      <c r="R18" t="s">
        <v>9</v>
      </c>
      <c r="S18">
        <f>Sheet1[[#This Row],[Ship_date]]-Sheet1[[#This Row],[Order_date]]</f>
        <v>4</v>
      </c>
      <c r="T18">
        <f>Sheet1[[#This Row],[Quantity]]*Sheet1[[#This Row],[Sales]]</f>
        <v>246</v>
      </c>
      <c r="U18">
        <f>Sheet1[[#This Row],[Total Sales]]*Sheet1[[#This Row],[Discount]]</f>
        <v>0</v>
      </c>
      <c r="V18" s="4">
        <f>Sheet1[[#This Row],[Total Sales]]-Sheet1[[#This Row],[Total Sales]]*Sheet1[[#This Row],[Discount]]</f>
        <v>246</v>
      </c>
      <c r="W18" s="4">
        <f>Sheet1[[#This Row],[Quantity]]*Sheet1[[#This Row],[Profit]]</f>
        <v>85.8</v>
      </c>
      <c r="X18" s="5">
        <f>Sheet1[[#This Row],[Total Profit]]/Sheet1[[#This Row],[Sales After Discount]]</f>
        <v>0.34878048780487803</v>
      </c>
      <c r="Y18" s="4">
        <f>Sheet1[[#This Row],[Shipping_cost]]*Sheet1[[#This Row],[Quantity]]</f>
        <v>16.82</v>
      </c>
      <c r="Z18" s="4">
        <f>Sheet1[[#This Row],[Total Profit]]-Sheet1[[#This Row],[Total Shipping Cost]]</f>
        <v>68.97999999999999</v>
      </c>
      <c r="AA18" s="4" t="str">
        <f>IF(Sheet1[[#This Row],[Net Profit]]&gt;0,"Profit","Loss")</f>
        <v>Profit</v>
      </c>
    </row>
    <row r="19" spans="1:27" x14ac:dyDescent="0.25">
      <c r="A19" t="s">
        <v>46</v>
      </c>
      <c r="B19" s="1">
        <v>40546</v>
      </c>
      <c r="C19" s="1">
        <v>40552</v>
      </c>
      <c r="D19" t="s">
        <v>1</v>
      </c>
      <c r="E19" t="s">
        <v>47</v>
      </c>
      <c r="F19" t="s">
        <v>3</v>
      </c>
      <c r="G19" t="s">
        <v>48</v>
      </c>
      <c r="H19" t="s">
        <v>49</v>
      </c>
      <c r="I19" t="s">
        <v>14</v>
      </c>
      <c r="J19" t="s">
        <v>15</v>
      </c>
      <c r="K19" t="s">
        <v>38</v>
      </c>
      <c r="L19" t="s">
        <v>82</v>
      </c>
      <c r="M19">
        <v>69</v>
      </c>
      <c r="N19">
        <v>2</v>
      </c>
      <c r="O19">
        <v>0.4</v>
      </c>
      <c r="P19">
        <v>3.42</v>
      </c>
      <c r="Q19">
        <v>8.34</v>
      </c>
      <c r="R19" t="s">
        <v>51</v>
      </c>
      <c r="S19">
        <f>Sheet1[[#This Row],[Ship_date]]-Sheet1[[#This Row],[Order_date]]</f>
        <v>6</v>
      </c>
      <c r="T19">
        <f>Sheet1[[#This Row],[Quantity]]*Sheet1[[#This Row],[Sales]]</f>
        <v>138</v>
      </c>
      <c r="U19">
        <f>Sheet1[[#This Row],[Total Sales]]*Sheet1[[#This Row],[Discount]]</f>
        <v>55.2</v>
      </c>
      <c r="V19" s="4">
        <f>Sheet1[[#This Row],[Total Sales]]-Sheet1[[#This Row],[Total Sales]]*Sheet1[[#This Row],[Discount]]</f>
        <v>82.8</v>
      </c>
      <c r="W19" s="4">
        <f>Sheet1[[#This Row],[Quantity]]*Sheet1[[#This Row],[Profit]]</f>
        <v>6.84</v>
      </c>
      <c r="X19" s="5">
        <f>Sheet1[[#This Row],[Total Profit]]/Sheet1[[#This Row],[Sales After Discount]]</f>
        <v>8.2608695652173908E-2</v>
      </c>
      <c r="Y19" s="4">
        <f>Sheet1[[#This Row],[Shipping_cost]]*Sheet1[[#This Row],[Quantity]]</f>
        <v>16.68</v>
      </c>
      <c r="Z19" s="4">
        <f>Sheet1[[#This Row],[Total Profit]]-Sheet1[[#This Row],[Total Shipping Cost]]</f>
        <v>-9.84</v>
      </c>
      <c r="AA19" s="4" t="str">
        <f>IF(Sheet1[[#This Row],[Net Profit]]&gt;0,"Profit","Loss")</f>
        <v>Loss</v>
      </c>
    </row>
    <row r="20" spans="1:27" x14ac:dyDescent="0.25">
      <c r="A20" t="s">
        <v>46</v>
      </c>
      <c r="B20" s="1">
        <v>40546</v>
      </c>
      <c r="C20" s="1">
        <v>40552</v>
      </c>
      <c r="D20" t="s">
        <v>1</v>
      </c>
      <c r="E20" t="s">
        <v>47</v>
      </c>
      <c r="F20" t="s">
        <v>3</v>
      </c>
      <c r="G20" t="s">
        <v>48</v>
      </c>
      <c r="H20" t="s">
        <v>49</v>
      </c>
      <c r="I20" t="s">
        <v>14</v>
      </c>
      <c r="J20" t="s">
        <v>15</v>
      </c>
      <c r="K20" t="s">
        <v>32</v>
      </c>
      <c r="L20" t="s">
        <v>56</v>
      </c>
      <c r="M20">
        <v>69</v>
      </c>
      <c r="N20">
        <v>2</v>
      </c>
      <c r="O20">
        <v>0.4</v>
      </c>
      <c r="P20">
        <v>-26.411999999999999</v>
      </c>
      <c r="Q20">
        <v>8.17</v>
      </c>
      <c r="R20" t="s">
        <v>51</v>
      </c>
      <c r="S20">
        <f>Sheet1[[#This Row],[Ship_date]]-Sheet1[[#This Row],[Order_date]]</f>
        <v>6</v>
      </c>
      <c r="T20">
        <f>Sheet1[[#This Row],[Quantity]]*Sheet1[[#This Row],[Sales]]</f>
        <v>138</v>
      </c>
      <c r="U20">
        <f>Sheet1[[#This Row],[Total Sales]]*Sheet1[[#This Row],[Discount]]</f>
        <v>55.2</v>
      </c>
      <c r="V20" s="4">
        <f>Sheet1[[#This Row],[Total Sales]]-Sheet1[[#This Row],[Total Sales]]*Sheet1[[#This Row],[Discount]]</f>
        <v>82.8</v>
      </c>
      <c r="W20" s="4">
        <f>Sheet1[[#This Row],[Quantity]]*Sheet1[[#This Row],[Profit]]</f>
        <v>-52.823999999999998</v>
      </c>
      <c r="X20" s="5">
        <f>Sheet1[[#This Row],[Total Profit]]/Sheet1[[#This Row],[Sales After Discount]]</f>
        <v>-0.63797101449275362</v>
      </c>
      <c r="Y20" s="4">
        <f>Sheet1[[#This Row],[Shipping_cost]]*Sheet1[[#This Row],[Quantity]]</f>
        <v>16.34</v>
      </c>
      <c r="Z20" s="4">
        <f>Sheet1[[#This Row],[Total Profit]]-Sheet1[[#This Row],[Total Shipping Cost]]</f>
        <v>-69.164000000000001</v>
      </c>
      <c r="AA20" s="4" t="str">
        <f>IF(Sheet1[[#This Row],[Net Profit]]&gt;0,"Profit","Loss")</f>
        <v>Loss</v>
      </c>
    </row>
    <row r="21" spans="1:27" x14ac:dyDescent="0.25">
      <c r="A21" t="s">
        <v>83</v>
      </c>
      <c r="B21" s="1">
        <v>40546</v>
      </c>
      <c r="C21" s="1">
        <v>40551</v>
      </c>
      <c r="D21" t="s">
        <v>1</v>
      </c>
      <c r="E21" t="s">
        <v>84</v>
      </c>
      <c r="F21" t="s">
        <v>3</v>
      </c>
      <c r="G21" t="s">
        <v>85</v>
      </c>
      <c r="H21" t="s">
        <v>86</v>
      </c>
      <c r="I21" t="s">
        <v>14</v>
      </c>
      <c r="J21" t="s">
        <v>61</v>
      </c>
      <c r="K21" t="s">
        <v>7</v>
      </c>
      <c r="L21" t="s">
        <v>8</v>
      </c>
      <c r="M21">
        <v>135</v>
      </c>
      <c r="N21">
        <v>2</v>
      </c>
      <c r="O21">
        <v>0.47</v>
      </c>
      <c r="P21">
        <v>-45.901800000000001</v>
      </c>
      <c r="Q21">
        <v>7.74</v>
      </c>
      <c r="R21" t="s">
        <v>9</v>
      </c>
      <c r="S21">
        <f>Sheet1[[#This Row],[Ship_date]]-Sheet1[[#This Row],[Order_date]]</f>
        <v>5</v>
      </c>
      <c r="T21">
        <f>Sheet1[[#This Row],[Quantity]]*Sheet1[[#This Row],[Sales]]</f>
        <v>270</v>
      </c>
      <c r="U21">
        <f>Sheet1[[#This Row],[Total Sales]]*Sheet1[[#This Row],[Discount]]</f>
        <v>126.89999999999999</v>
      </c>
      <c r="V21" s="4">
        <f>Sheet1[[#This Row],[Total Sales]]-Sheet1[[#This Row],[Total Sales]]*Sheet1[[#This Row],[Discount]]</f>
        <v>143.10000000000002</v>
      </c>
      <c r="W21" s="4">
        <f>Sheet1[[#This Row],[Quantity]]*Sheet1[[#This Row],[Profit]]</f>
        <v>-91.803600000000003</v>
      </c>
      <c r="X21" s="5">
        <f>Sheet1[[#This Row],[Total Profit]]/Sheet1[[#This Row],[Sales After Discount]]</f>
        <v>-0.64153459119496847</v>
      </c>
      <c r="Y21" s="4">
        <f>Sheet1[[#This Row],[Shipping_cost]]*Sheet1[[#This Row],[Quantity]]</f>
        <v>15.48</v>
      </c>
      <c r="Z21" s="4">
        <f>Sheet1[[#This Row],[Total Profit]]-Sheet1[[#This Row],[Total Shipping Cost]]</f>
        <v>-107.28360000000001</v>
      </c>
      <c r="AA21" s="4" t="str">
        <f>IF(Sheet1[[#This Row],[Net Profit]]&gt;0,"Profit","Loss")</f>
        <v>Loss</v>
      </c>
    </row>
    <row r="22" spans="1:27" x14ac:dyDescent="0.25">
      <c r="A22" t="s">
        <v>40</v>
      </c>
      <c r="B22" s="1">
        <v>40546</v>
      </c>
      <c r="C22" s="1">
        <v>40546</v>
      </c>
      <c r="D22" t="s">
        <v>41</v>
      </c>
      <c r="E22" t="s">
        <v>42</v>
      </c>
      <c r="F22" t="s">
        <v>43</v>
      </c>
      <c r="G22" t="s">
        <v>12</v>
      </c>
      <c r="H22" t="s">
        <v>13</v>
      </c>
      <c r="I22" t="s">
        <v>14</v>
      </c>
      <c r="J22" t="s">
        <v>15</v>
      </c>
      <c r="K22" t="s">
        <v>7</v>
      </c>
      <c r="L22" t="s">
        <v>87</v>
      </c>
      <c r="M22">
        <v>36</v>
      </c>
      <c r="N22">
        <v>3</v>
      </c>
      <c r="O22">
        <v>0.1</v>
      </c>
      <c r="P22">
        <v>4.7430000000000003</v>
      </c>
      <c r="Q22">
        <v>7.46</v>
      </c>
      <c r="R22" t="s">
        <v>45</v>
      </c>
      <c r="S22">
        <f>Sheet1[[#This Row],[Ship_date]]-Sheet1[[#This Row],[Order_date]]</f>
        <v>0</v>
      </c>
      <c r="T22">
        <f>Sheet1[[#This Row],[Quantity]]*Sheet1[[#This Row],[Sales]]</f>
        <v>108</v>
      </c>
      <c r="U22">
        <f>Sheet1[[#This Row],[Total Sales]]*Sheet1[[#This Row],[Discount]]</f>
        <v>10.8</v>
      </c>
      <c r="V22" s="4">
        <f>Sheet1[[#This Row],[Total Sales]]-Sheet1[[#This Row],[Total Sales]]*Sheet1[[#This Row],[Discount]]</f>
        <v>97.2</v>
      </c>
      <c r="W22" s="4">
        <f>Sheet1[[#This Row],[Quantity]]*Sheet1[[#This Row],[Profit]]</f>
        <v>14.229000000000001</v>
      </c>
      <c r="X22" s="5">
        <f>Sheet1[[#This Row],[Total Profit]]/Sheet1[[#This Row],[Sales After Discount]]</f>
        <v>0.1463888888888889</v>
      </c>
      <c r="Y22" s="4">
        <f>Sheet1[[#This Row],[Shipping_cost]]*Sheet1[[#This Row],[Quantity]]</f>
        <v>22.38</v>
      </c>
      <c r="Z22" s="4">
        <f>Sheet1[[#This Row],[Total Profit]]-Sheet1[[#This Row],[Total Shipping Cost]]</f>
        <v>-8.150999999999998</v>
      </c>
      <c r="AA22" s="4" t="str">
        <f>IF(Sheet1[[#This Row],[Net Profit]]&gt;0,"Profit","Loss")</f>
        <v>Loss</v>
      </c>
    </row>
    <row r="23" spans="1:27" x14ac:dyDescent="0.25">
      <c r="A23" t="s">
        <v>88</v>
      </c>
      <c r="B23" s="1">
        <v>40546</v>
      </c>
      <c r="C23" s="1">
        <v>40551</v>
      </c>
      <c r="D23" t="s">
        <v>18</v>
      </c>
      <c r="E23" t="s">
        <v>89</v>
      </c>
      <c r="F23" t="s">
        <v>43</v>
      </c>
      <c r="G23" t="s">
        <v>90</v>
      </c>
      <c r="H23" t="s">
        <v>81</v>
      </c>
      <c r="I23" t="s">
        <v>22</v>
      </c>
      <c r="J23" t="s">
        <v>22</v>
      </c>
      <c r="K23" t="s">
        <v>7</v>
      </c>
      <c r="L23" t="s">
        <v>91</v>
      </c>
      <c r="M23">
        <v>52</v>
      </c>
      <c r="N23">
        <v>1</v>
      </c>
      <c r="O23">
        <v>0</v>
      </c>
      <c r="P23">
        <v>7.77</v>
      </c>
      <c r="Q23">
        <v>5.91</v>
      </c>
      <c r="R23" t="s">
        <v>23</v>
      </c>
      <c r="S23">
        <f>Sheet1[[#This Row],[Ship_date]]-Sheet1[[#This Row],[Order_date]]</f>
        <v>5</v>
      </c>
      <c r="T23">
        <f>Sheet1[[#This Row],[Quantity]]*Sheet1[[#This Row],[Sales]]</f>
        <v>52</v>
      </c>
      <c r="U23">
        <f>Sheet1[[#This Row],[Total Sales]]*Sheet1[[#This Row],[Discount]]</f>
        <v>0</v>
      </c>
      <c r="V23" s="4">
        <f>Sheet1[[#This Row],[Total Sales]]-Sheet1[[#This Row],[Total Sales]]*Sheet1[[#This Row],[Discount]]</f>
        <v>52</v>
      </c>
      <c r="W23" s="4">
        <f>Sheet1[[#This Row],[Quantity]]*Sheet1[[#This Row],[Profit]]</f>
        <v>7.77</v>
      </c>
      <c r="X23" s="5">
        <f>Sheet1[[#This Row],[Total Profit]]/Sheet1[[#This Row],[Sales After Discount]]</f>
        <v>0.14942307692307691</v>
      </c>
      <c r="Y23" s="4">
        <f>Sheet1[[#This Row],[Shipping_cost]]*Sheet1[[#This Row],[Quantity]]</f>
        <v>5.91</v>
      </c>
      <c r="Z23" s="4">
        <f>Sheet1[[#This Row],[Total Profit]]-Sheet1[[#This Row],[Total Shipping Cost]]</f>
        <v>1.8599999999999994</v>
      </c>
      <c r="AA23" s="4" t="str">
        <f>IF(Sheet1[[#This Row],[Net Profit]]&gt;0,"Profit","Loss")</f>
        <v>Profit</v>
      </c>
    </row>
    <row r="24" spans="1:27" x14ac:dyDescent="0.25">
      <c r="A24" t="s">
        <v>78</v>
      </c>
      <c r="B24" s="1">
        <v>40546</v>
      </c>
      <c r="C24" s="1">
        <v>40550</v>
      </c>
      <c r="D24" t="s">
        <v>1</v>
      </c>
      <c r="E24" t="s">
        <v>79</v>
      </c>
      <c r="F24" t="s">
        <v>3</v>
      </c>
      <c r="G24" t="s">
        <v>80</v>
      </c>
      <c r="H24" t="s">
        <v>81</v>
      </c>
      <c r="I24" t="s">
        <v>22</v>
      </c>
      <c r="J24" t="s">
        <v>22</v>
      </c>
      <c r="K24" t="s">
        <v>7</v>
      </c>
      <c r="L24" t="s">
        <v>8</v>
      </c>
      <c r="M24">
        <v>62</v>
      </c>
      <c r="N24">
        <v>2</v>
      </c>
      <c r="O24">
        <v>0</v>
      </c>
      <c r="P24">
        <v>8.6999999999999993</v>
      </c>
      <c r="Q24">
        <v>5.16</v>
      </c>
      <c r="R24" t="s">
        <v>9</v>
      </c>
      <c r="S24">
        <f>Sheet1[[#This Row],[Ship_date]]-Sheet1[[#This Row],[Order_date]]</f>
        <v>4</v>
      </c>
      <c r="T24">
        <f>Sheet1[[#This Row],[Quantity]]*Sheet1[[#This Row],[Sales]]</f>
        <v>124</v>
      </c>
      <c r="U24">
        <f>Sheet1[[#This Row],[Total Sales]]*Sheet1[[#This Row],[Discount]]</f>
        <v>0</v>
      </c>
      <c r="V24" s="4">
        <f>Sheet1[[#This Row],[Total Sales]]-Sheet1[[#This Row],[Total Sales]]*Sheet1[[#This Row],[Discount]]</f>
        <v>124</v>
      </c>
      <c r="W24" s="4">
        <f>Sheet1[[#This Row],[Quantity]]*Sheet1[[#This Row],[Profit]]</f>
        <v>17.399999999999999</v>
      </c>
      <c r="X24" s="5">
        <f>Sheet1[[#This Row],[Total Profit]]/Sheet1[[#This Row],[Sales After Discount]]</f>
        <v>0.14032258064516129</v>
      </c>
      <c r="Y24" s="4">
        <f>Sheet1[[#This Row],[Shipping_cost]]*Sheet1[[#This Row],[Quantity]]</f>
        <v>10.32</v>
      </c>
      <c r="Z24" s="4">
        <f>Sheet1[[#This Row],[Total Profit]]-Sheet1[[#This Row],[Total Shipping Cost]]</f>
        <v>7.0799999999999983</v>
      </c>
      <c r="AA24" s="4" t="str">
        <f>IF(Sheet1[[#This Row],[Net Profit]]&gt;0,"Profit","Loss")</f>
        <v>Profit</v>
      </c>
    </row>
    <row r="25" spans="1:27" x14ac:dyDescent="0.25">
      <c r="A25" t="s">
        <v>92</v>
      </c>
      <c r="B25" s="1">
        <v>40546</v>
      </c>
      <c r="C25" s="1">
        <v>40551</v>
      </c>
      <c r="D25" t="s">
        <v>1</v>
      </c>
      <c r="E25" t="s">
        <v>93</v>
      </c>
      <c r="F25" t="s">
        <v>3</v>
      </c>
      <c r="G25" t="s">
        <v>94</v>
      </c>
      <c r="H25" t="s">
        <v>95</v>
      </c>
      <c r="I25" t="s">
        <v>6</v>
      </c>
      <c r="J25" t="s">
        <v>6</v>
      </c>
      <c r="K25" t="s">
        <v>7</v>
      </c>
      <c r="L25" t="s">
        <v>16</v>
      </c>
      <c r="M25">
        <v>81</v>
      </c>
      <c r="N25">
        <v>4</v>
      </c>
      <c r="O25">
        <v>0</v>
      </c>
      <c r="P25">
        <v>26.76</v>
      </c>
      <c r="Q25">
        <v>5.1100000000000003</v>
      </c>
      <c r="R25" t="s">
        <v>9</v>
      </c>
      <c r="S25">
        <f>Sheet1[[#This Row],[Ship_date]]-Sheet1[[#This Row],[Order_date]]</f>
        <v>5</v>
      </c>
      <c r="T25">
        <f>Sheet1[[#This Row],[Quantity]]*Sheet1[[#This Row],[Sales]]</f>
        <v>324</v>
      </c>
      <c r="U25">
        <f>Sheet1[[#This Row],[Total Sales]]*Sheet1[[#This Row],[Discount]]</f>
        <v>0</v>
      </c>
      <c r="V25" s="4">
        <f>Sheet1[[#This Row],[Total Sales]]-Sheet1[[#This Row],[Total Sales]]*Sheet1[[#This Row],[Discount]]</f>
        <v>324</v>
      </c>
      <c r="W25" s="4">
        <f>Sheet1[[#This Row],[Quantity]]*Sheet1[[#This Row],[Profit]]</f>
        <v>107.04</v>
      </c>
      <c r="X25" s="5">
        <f>Sheet1[[#This Row],[Total Profit]]/Sheet1[[#This Row],[Sales After Discount]]</f>
        <v>0.33037037037037037</v>
      </c>
      <c r="Y25" s="4">
        <f>Sheet1[[#This Row],[Shipping_cost]]*Sheet1[[#This Row],[Quantity]]</f>
        <v>20.440000000000001</v>
      </c>
      <c r="Z25" s="4">
        <f>Sheet1[[#This Row],[Total Profit]]-Sheet1[[#This Row],[Total Shipping Cost]]</f>
        <v>86.600000000000009</v>
      </c>
      <c r="AA25" s="4" t="str">
        <f>IF(Sheet1[[#This Row],[Net Profit]]&gt;0,"Profit","Loss")</f>
        <v>Profit</v>
      </c>
    </row>
    <row r="26" spans="1:27" x14ac:dyDescent="0.25">
      <c r="A26" t="s">
        <v>52</v>
      </c>
      <c r="B26" s="1">
        <v>40546</v>
      </c>
      <c r="C26" s="1">
        <v>40550</v>
      </c>
      <c r="D26" t="s">
        <v>1</v>
      </c>
      <c r="E26" t="s">
        <v>53</v>
      </c>
      <c r="F26" t="s">
        <v>43</v>
      </c>
      <c r="G26" t="s">
        <v>54</v>
      </c>
      <c r="H26" t="s">
        <v>55</v>
      </c>
      <c r="I26" t="s">
        <v>22</v>
      </c>
      <c r="J26" t="s">
        <v>22</v>
      </c>
      <c r="K26" t="s">
        <v>7</v>
      </c>
      <c r="L26" t="s">
        <v>96</v>
      </c>
      <c r="M26">
        <v>47</v>
      </c>
      <c r="N26">
        <v>1</v>
      </c>
      <c r="O26">
        <v>0</v>
      </c>
      <c r="P26">
        <v>17.07</v>
      </c>
      <c r="Q26">
        <v>3.57</v>
      </c>
      <c r="R26" t="s">
        <v>23</v>
      </c>
      <c r="S26">
        <f>Sheet1[[#This Row],[Ship_date]]-Sheet1[[#This Row],[Order_date]]</f>
        <v>4</v>
      </c>
      <c r="T26">
        <f>Sheet1[[#This Row],[Quantity]]*Sheet1[[#This Row],[Sales]]</f>
        <v>47</v>
      </c>
      <c r="U26">
        <f>Sheet1[[#This Row],[Total Sales]]*Sheet1[[#This Row],[Discount]]</f>
        <v>0</v>
      </c>
      <c r="V26" s="4">
        <f>Sheet1[[#This Row],[Total Sales]]-Sheet1[[#This Row],[Total Sales]]*Sheet1[[#This Row],[Discount]]</f>
        <v>47</v>
      </c>
      <c r="W26" s="4">
        <f>Sheet1[[#This Row],[Quantity]]*Sheet1[[#This Row],[Profit]]</f>
        <v>17.07</v>
      </c>
      <c r="X26" s="5">
        <f>Sheet1[[#This Row],[Total Profit]]/Sheet1[[#This Row],[Sales After Discount]]</f>
        <v>0.36319148936170215</v>
      </c>
      <c r="Y26" s="4">
        <f>Sheet1[[#This Row],[Shipping_cost]]*Sheet1[[#This Row],[Quantity]]</f>
        <v>3.57</v>
      </c>
      <c r="Z26" s="4">
        <f>Sheet1[[#This Row],[Total Profit]]-Sheet1[[#This Row],[Total Shipping Cost]]</f>
        <v>13.5</v>
      </c>
      <c r="AA26" s="4" t="str">
        <f>IF(Sheet1[[#This Row],[Net Profit]]&gt;0,"Profit","Loss")</f>
        <v>Profit</v>
      </c>
    </row>
    <row r="27" spans="1:27" x14ac:dyDescent="0.25">
      <c r="A27" t="s">
        <v>57</v>
      </c>
      <c r="B27" s="1">
        <v>40546</v>
      </c>
      <c r="C27" s="1">
        <v>40550</v>
      </c>
      <c r="D27" t="s">
        <v>18</v>
      </c>
      <c r="E27" t="s">
        <v>58</v>
      </c>
      <c r="F27" t="s">
        <v>3</v>
      </c>
      <c r="G27" t="s">
        <v>59</v>
      </c>
      <c r="H27" t="s">
        <v>60</v>
      </c>
      <c r="I27" t="s">
        <v>14</v>
      </c>
      <c r="J27" t="s">
        <v>61</v>
      </c>
      <c r="K27" t="s">
        <v>7</v>
      </c>
      <c r="L27" t="s">
        <v>97</v>
      </c>
      <c r="M27">
        <v>6</v>
      </c>
      <c r="N27">
        <v>1</v>
      </c>
      <c r="O27">
        <v>0.45</v>
      </c>
      <c r="P27">
        <v>0.54600000000000004</v>
      </c>
      <c r="Q27">
        <v>0.8</v>
      </c>
      <c r="R27" t="s">
        <v>23</v>
      </c>
      <c r="S27">
        <f>Sheet1[[#This Row],[Ship_date]]-Sheet1[[#This Row],[Order_date]]</f>
        <v>4</v>
      </c>
      <c r="T27">
        <f>Sheet1[[#This Row],[Quantity]]*Sheet1[[#This Row],[Sales]]</f>
        <v>6</v>
      </c>
      <c r="U27">
        <f>Sheet1[[#This Row],[Total Sales]]*Sheet1[[#This Row],[Discount]]</f>
        <v>2.7</v>
      </c>
      <c r="V27" s="4">
        <f>Sheet1[[#This Row],[Total Sales]]-Sheet1[[#This Row],[Total Sales]]*Sheet1[[#This Row],[Discount]]</f>
        <v>3.3</v>
      </c>
      <c r="W27" s="4">
        <f>Sheet1[[#This Row],[Quantity]]*Sheet1[[#This Row],[Profit]]</f>
        <v>0.54600000000000004</v>
      </c>
      <c r="X27" s="5">
        <f>Sheet1[[#This Row],[Total Profit]]/Sheet1[[#This Row],[Sales After Discount]]</f>
        <v>0.16545454545454547</v>
      </c>
      <c r="Y27" s="4">
        <f>Sheet1[[#This Row],[Shipping_cost]]*Sheet1[[#This Row],[Quantity]]</f>
        <v>0.8</v>
      </c>
      <c r="Z27" s="4">
        <f>Sheet1[[#This Row],[Total Profit]]-Sheet1[[#This Row],[Total Shipping Cost]]</f>
        <v>-0.254</v>
      </c>
      <c r="AA27" s="4" t="str">
        <f>IF(Sheet1[[#This Row],[Net Profit]]&gt;0,"Profit","Loss")</f>
        <v>Loss</v>
      </c>
    </row>
    <row r="28" spans="1:27" x14ac:dyDescent="0.25">
      <c r="A28" t="s">
        <v>78</v>
      </c>
      <c r="B28" s="1">
        <v>40546</v>
      </c>
      <c r="C28" s="1">
        <v>40550</v>
      </c>
      <c r="D28" t="s">
        <v>1</v>
      </c>
      <c r="E28" t="s">
        <v>79</v>
      </c>
      <c r="F28" t="s">
        <v>3</v>
      </c>
      <c r="G28" t="s">
        <v>80</v>
      </c>
      <c r="H28" t="s">
        <v>81</v>
      </c>
      <c r="I28" t="s">
        <v>22</v>
      </c>
      <c r="J28" t="s">
        <v>22</v>
      </c>
      <c r="K28" t="s">
        <v>7</v>
      </c>
      <c r="L28" t="s">
        <v>97</v>
      </c>
      <c r="M28">
        <v>17</v>
      </c>
      <c r="N28">
        <v>1</v>
      </c>
      <c r="O28">
        <v>0</v>
      </c>
      <c r="P28">
        <v>4.17</v>
      </c>
      <c r="Q28">
        <v>0.54</v>
      </c>
      <c r="R28" t="s">
        <v>9</v>
      </c>
      <c r="S28">
        <f>Sheet1[[#This Row],[Ship_date]]-Sheet1[[#This Row],[Order_date]]</f>
        <v>4</v>
      </c>
      <c r="T28">
        <f>Sheet1[[#This Row],[Quantity]]*Sheet1[[#This Row],[Sales]]</f>
        <v>17</v>
      </c>
      <c r="U28">
        <f>Sheet1[[#This Row],[Total Sales]]*Sheet1[[#This Row],[Discount]]</f>
        <v>0</v>
      </c>
      <c r="V28" s="4">
        <f>Sheet1[[#This Row],[Total Sales]]-Sheet1[[#This Row],[Total Sales]]*Sheet1[[#This Row],[Discount]]</f>
        <v>17</v>
      </c>
      <c r="W28" s="4">
        <f>Sheet1[[#This Row],[Quantity]]*Sheet1[[#This Row],[Profit]]</f>
        <v>4.17</v>
      </c>
      <c r="X28" s="5">
        <f>Sheet1[[#This Row],[Total Profit]]/Sheet1[[#This Row],[Sales After Discount]]</f>
        <v>0.24529411764705883</v>
      </c>
      <c r="Y28" s="4">
        <f>Sheet1[[#This Row],[Shipping_cost]]*Sheet1[[#This Row],[Quantity]]</f>
        <v>0.54</v>
      </c>
      <c r="Z28" s="4">
        <f>Sheet1[[#This Row],[Total Profit]]-Sheet1[[#This Row],[Total Shipping Cost]]</f>
        <v>3.63</v>
      </c>
      <c r="AA28" s="4" t="str">
        <f>IF(Sheet1[[#This Row],[Net Profit]]&gt;0,"Profit","Loss")</f>
        <v>Profit</v>
      </c>
    </row>
    <row r="29" spans="1:27" x14ac:dyDescent="0.25">
      <c r="A29" t="s">
        <v>98</v>
      </c>
      <c r="B29" s="1">
        <v>40547</v>
      </c>
      <c r="C29" s="1">
        <v>40552</v>
      </c>
      <c r="D29" t="s">
        <v>18</v>
      </c>
      <c r="E29" t="s">
        <v>99</v>
      </c>
      <c r="F29" t="s">
        <v>3</v>
      </c>
      <c r="G29" t="s">
        <v>100</v>
      </c>
      <c r="H29" t="s">
        <v>101</v>
      </c>
      <c r="I29" t="s">
        <v>75</v>
      </c>
      <c r="J29" t="s">
        <v>102</v>
      </c>
      <c r="K29" t="s">
        <v>32</v>
      </c>
      <c r="L29" t="s">
        <v>67</v>
      </c>
      <c r="M29">
        <v>1648</v>
      </c>
      <c r="N29">
        <v>6</v>
      </c>
      <c r="O29">
        <v>0</v>
      </c>
      <c r="P29">
        <v>609.84</v>
      </c>
      <c r="Q29">
        <v>109.13</v>
      </c>
      <c r="R29" t="s">
        <v>9</v>
      </c>
      <c r="S29">
        <f>Sheet1[[#This Row],[Ship_date]]-Sheet1[[#This Row],[Order_date]]</f>
        <v>5</v>
      </c>
      <c r="T29">
        <f>Sheet1[[#This Row],[Quantity]]*Sheet1[[#This Row],[Sales]]</f>
        <v>9888</v>
      </c>
      <c r="U29">
        <f>Sheet1[[#This Row],[Total Sales]]*Sheet1[[#This Row],[Discount]]</f>
        <v>0</v>
      </c>
      <c r="V29" s="4">
        <f>Sheet1[[#This Row],[Total Sales]]-Sheet1[[#This Row],[Total Sales]]*Sheet1[[#This Row],[Discount]]</f>
        <v>9888</v>
      </c>
      <c r="W29" s="4">
        <f>Sheet1[[#This Row],[Quantity]]*Sheet1[[#This Row],[Profit]]</f>
        <v>3659.04</v>
      </c>
      <c r="X29" s="5">
        <f>Sheet1[[#This Row],[Total Profit]]/Sheet1[[#This Row],[Sales After Discount]]</f>
        <v>0.37004854368932039</v>
      </c>
      <c r="Y29" s="4">
        <f>Sheet1[[#This Row],[Shipping_cost]]*Sheet1[[#This Row],[Quantity]]</f>
        <v>654.78</v>
      </c>
      <c r="Z29" s="4">
        <f>Sheet1[[#This Row],[Total Profit]]-Sheet1[[#This Row],[Total Shipping Cost]]</f>
        <v>3004.26</v>
      </c>
      <c r="AA29" s="4" t="str">
        <f>IF(Sheet1[[#This Row],[Net Profit]]&gt;0,"Profit","Loss")</f>
        <v>Profit</v>
      </c>
    </row>
    <row r="30" spans="1:27" x14ac:dyDescent="0.25">
      <c r="A30" t="s">
        <v>103</v>
      </c>
      <c r="B30" s="1">
        <v>40547</v>
      </c>
      <c r="C30" s="1">
        <v>40552</v>
      </c>
      <c r="D30" t="s">
        <v>1</v>
      </c>
      <c r="E30" t="s">
        <v>104</v>
      </c>
      <c r="F30" t="s">
        <v>43</v>
      </c>
      <c r="G30" t="s">
        <v>105</v>
      </c>
      <c r="H30" t="s">
        <v>106</v>
      </c>
      <c r="I30" t="s">
        <v>75</v>
      </c>
      <c r="J30" t="s">
        <v>30</v>
      </c>
      <c r="K30" t="s">
        <v>38</v>
      </c>
      <c r="L30" t="s">
        <v>82</v>
      </c>
      <c r="M30">
        <v>223</v>
      </c>
      <c r="N30">
        <v>4</v>
      </c>
      <c r="O30">
        <v>0</v>
      </c>
      <c r="P30">
        <v>13.28</v>
      </c>
      <c r="Q30">
        <v>42.28</v>
      </c>
      <c r="R30" t="s">
        <v>23</v>
      </c>
      <c r="S30">
        <f>Sheet1[[#This Row],[Ship_date]]-Sheet1[[#This Row],[Order_date]]</f>
        <v>5</v>
      </c>
      <c r="T30">
        <f>Sheet1[[#This Row],[Quantity]]*Sheet1[[#This Row],[Sales]]</f>
        <v>892</v>
      </c>
      <c r="U30">
        <f>Sheet1[[#This Row],[Total Sales]]*Sheet1[[#This Row],[Discount]]</f>
        <v>0</v>
      </c>
      <c r="V30" s="4">
        <f>Sheet1[[#This Row],[Total Sales]]-Sheet1[[#This Row],[Total Sales]]*Sheet1[[#This Row],[Discount]]</f>
        <v>892</v>
      </c>
      <c r="W30" s="4">
        <f>Sheet1[[#This Row],[Quantity]]*Sheet1[[#This Row],[Profit]]</f>
        <v>53.12</v>
      </c>
      <c r="X30" s="5">
        <f>Sheet1[[#This Row],[Total Profit]]/Sheet1[[#This Row],[Sales After Discount]]</f>
        <v>5.9551569506726451E-2</v>
      </c>
      <c r="Y30" s="4">
        <f>Sheet1[[#This Row],[Shipping_cost]]*Sheet1[[#This Row],[Quantity]]</f>
        <v>169.12</v>
      </c>
      <c r="Z30" s="4">
        <f>Sheet1[[#This Row],[Total Profit]]-Sheet1[[#This Row],[Total Shipping Cost]]</f>
        <v>-116</v>
      </c>
      <c r="AA30" s="4" t="str">
        <f>IF(Sheet1[[#This Row],[Net Profit]]&gt;0,"Profit","Loss")</f>
        <v>Loss</v>
      </c>
    </row>
    <row r="31" spans="1:27" x14ac:dyDescent="0.25">
      <c r="A31" t="s">
        <v>107</v>
      </c>
      <c r="B31" s="1">
        <v>40547</v>
      </c>
      <c r="C31" s="1">
        <v>40554</v>
      </c>
      <c r="D31" t="s">
        <v>1</v>
      </c>
      <c r="E31" t="s">
        <v>108</v>
      </c>
      <c r="F31" t="s">
        <v>26</v>
      </c>
      <c r="G31" t="s">
        <v>109</v>
      </c>
      <c r="H31" t="s">
        <v>110</v>
      </c>
      <c r="I31" t="s">
        <v>75</v>
      </c>
      <c r="J31" t="s">
        <v>111</v>
      </c>
      <c r="K31" t="s">
        <v>7</v>
      </c>
      <c r="L31" t="s">
        <v>96</v>
      </c>
      <c r="M31">
        <v>186</v>
      </c>
      <c r="N31">
        <v>6</v>
      </c>
      <c r="O31">
        <v>0</v>
      </c>
      <c r="P31">
        <v>3.6</v>
      </c>
      <c r="Q31">
        <v>16.39</v>
      </c>
      <c r="R31" t="s">
        <v>9</v>
      </c>
      <c r="S31">
        <f>Sheet1[[#This Row],[Ship_date]]-Sheet1[[#This Row],[Order_date]]</f>
        <v>7</v>
      </c>
      <c r="T31">
        <f>Sheet1[[#This Row],[Quantity]]*Sheet1[[#This Row],[Sales]]</f>
        <v>1116</v>
      </c>
      <c r="U31">
        <f>Sheet1[[#This Row],[Total Sales]]*Sheet1[[#This Row],[Discount]]</f>
        <v>0</v>
      </c>
      <c r="V31" s="4">
        <f>Sheet1[[#This Row],[Total Sales]]-Sheet1[[#This Row],[Total Sales]]*Sheet1[[#This Row],[Discount]]</f>
        <v>1116</v>
      </c>
      <c r="W31" s="4">
        <f>Sheet1[[#This Row],[Quantity]]*Sheet1[[#This Row],[Profit]]</f>
        <v>21.6</v>
      </c>
      <c r="X31" s="5">
        <f>Sheet1[[#This Row],[Total Profit]]/Sheet1[[#This Row],[Sales After Discount]]</f>
        <v>1.935483870967742E-2</v>
      </c>
      <c r="Y31" s="4">
        <f>Sheet1[[#This Row],[Shipping_cost]]*Sheet1[[#This Row],[Quantity]]</f>
        <v>98.34</v>
      </c>
      <c r="Z31" s="4">
        <f>Sheet1[[#This Row],[Total Profit]]-Sheet1[[#This Row],[Total Shipping Cost]]</f>
        <v>-76.740000000000009</v>
      </c>
      <c r="AA31" s="4" t="str">
        <f>IF(Sheet1[[#This Row],[Net Profit]]&gt;0,"Profit","Loss")</f>
        <v>Loss</v>
      </c>
    </row>
    <row r="32" spans="1:27" x14ac:dyDescent="0.25">
      <c r="A32" t="s">
        <v>112</v>
      </c>
      <c r="B32" s="1">
        <v>40547</v>
      </c>
      <c r="C32" s="1">
        <v>40551</v>
      </c>
      <c r="D32" t="s">
        <v>1</v>
      </c>
      <c r="E32" t="s">
        <v>113</v>
      </c>
      <c r="F32" t="s">
        <v>3</v>
      </c>
      <c r="G32" t="s">
        <v>114</v>
      </c>
      <c r="H32" t="s">
        <v>115</v>
      </c>
      <c r="I32" t="s">
        <v>29</v>
      </c>
      <c r="J32" t="s">
        <v>76</v>
      </c>
      <c r="K32" t="s">
        <v>7</v>
      </c>
      <c r="L32" t="s">
        <v>91</v>
      </c>
      <c r="M32">
        <v>140</v>
      </c>
      <c r="N32">
        <v>3</v>
      </c>
      <c r="O32">
        <v>0</v>
      </c>
      <c r="P32">
        <v>20.88</v>
      </c>
      <c r="Q32">
        <v>10.78</v>
      </c>
      <c r="R32" t="s">
        <v>9</v>
      </c>
      <c r="S32">
        <f>Sheet1[[#This Row],[Ship_date]]-Sheet1[[#This Row],[Order_date]]</f>
        <v>4</v>
      </c>
      <c r="T32">
        <f>Sheet1[[#This Row],[Quantity]]*Sheet1[[#This Row],[Sales]]</f>
        <v>420</v>
      </c>
      <c r="U32">
        <f>Sheet1[[#This Row],[Total Sales]]*Sheet1[[#This Row],[Discount]]</f>
        <v>0</v>
      </c>
      <c r="V32" s="4">
        <f>Sheet1[[#This Row],[Total Sales]]-Sheet1[[#This Row],[Total Sales]]*Sheet1[[#This Row],[Discount]]</f>
        <v>420</v>
      </c>
      <c r="W32" s="4">
        <f>Sheet1[[#This Row],[Quantity]]*Sheet1[[#This Row],[Profit]]</f>
        <v>62.64</v>
      </c>
      <c r="X32" s="5">
        <f>Sheet1[[#This Row],[Total Profit]]/Sheet1[[#This Row],[Sales After Discount]]</f>
        <v>0.14914285714285713</v>
      </c>
      <c r="Y32" s="4">
        <f>Sheet1[[#This Row],[Shipping_cost]]*Sheet1[[#This Row],[Quantity]]</f>
        <v>32.339999999999996</v>
      </c>
      <c r="Z32" s="4">
        <f>Sheet1[[#This Row],[Total Profit]]-Sheet1[[#This Row],[Total Shipping Cost]]</f>
        <v>30.300000000000004</v>
      </c>
      <c r="AA32" s="4" t="str">
        <f>IF(Sheet1[[#This Row],[Net Profit]]&gt;0,"Profit","Loss")</f>
        <v>Profit</v>
      </c>
    </row>
    <row r="33" spans="1:27" x14ac:dyDescent="0.25">
      <c r="A33" t="s">
        <v>98</v>
      </c>
      <c r="B33" s="1">
        <v>40547</v>
      </c>
      <c r="C33" s="1">
        <v>40552</v>
      </c>
      <c r="D33" t="s">
        <v>18</v>
      </c>
      <c r="E33" t="s">
        <v>99</v>
      </c>
      <c r="F33" t="s">
        <v>3</v>
      </c>
      <c r="G33" t="s">
        <v>100</v>
      </c>
      <c r="H33" t="s">
        <v>101</v>
      </c>
      <c r="I33" t="s">
        <v>75</v>
      </c>
      <c r="J33" t="s">
        <v>102</v>
      </c>
      <c r="K33" t="s">
        <v>7</v>
      </c>
      <c r="L33" t="s">
        <v>16</v>
      </c>
      <c r="M33">
        <v>149</v>
      </c>
      <c r="N33">
        <v>8</v>
      </c>
      <c r="O33">
        <v>0</v>
      </c>
      <c r="P33">
        <v>28.16</v>
      </c>
      <c r="Q33">
        <v>10.38</v>
      </c>
      <c r="R33" t="s">
        <v>9</v>
      </c>
      <c r="S33">
        <f>Sheet1[[#This Row],[Ship_date]]-Sheet1[[#This Row],[Order_date]]</f>
        <v>5</v>
      </c>
      <c r="T33">
        <f>Sheet1[[#This Row],[Quantity]]*Sheet1[[#This Row],[Sales]]</f>
        <v>1192</v>
      </c>
      <c r="U33">
        <f>Sheet1[[#This Row],[Total Sales]]*Sheet1[[#This Row],[Discount]]</f>
        <v>0</v>
      </c>
      <c r="V33" s="4">
        <f>Sheet1[[#This Row],[Total Sales]]-Sheet1[[#This Row],[Total Sales]]*Sheet1[[#This Row],[Discount]]</f>
        <v>1192</v>
      </c>
      <c r="W33" s="4">
        <f>Sheet1[[#This Row],[Quantity]]*Sheet1[[#This Row],[Profit]]</f>
        <v>225.28</v>
      </c>
      <c r="X33" s="5">
        <f>Sheet1[[#This Row],[Total Profit]]/Sheet1[[#This Row],[Sales After Discount]]</f>
        <v>0.18899328859060402</v>
      </c>
      <c r="Y33" s="4">
        <f>Sheet1[[#This Row],[Shipping_cost]]*Sheet1[[#This Row],[Quantity]]</f>
        <v>83.04</v>
      </c>
      <c r="Z33" s="4">
        <f>Sheet1[[#This Row],[Total Profit]]-Sheet1[[#This Row],[Total Shipping Cost]]</f>
        <v>142.24</v>
      </c>
      <c r="AA33" s="4" t="str">
        <f>IF(Sheet1[[#This Row],[Net Profit]]&gt;0,"Profit","Loss")</f>
        <v>Profit</v>
      </c>
    </row>
    <row r="34" spans="1:27" x14ac:dyDescent="0.25">
      <c r="A34" t="s">
        <v>103</v>
      </c>
      <c r="B34" s="1">
        <v>40547</v>
      </c>
      <c r="C34" s="1">
        <v>40552</v>
      </c>
      <c r="D34" t="s">
        <v>1</v>
      </c>
      <c r="E34" t="s">
        <v>104</v>
      </c>
      <c r="F34" t="s">
        <v>43</v>
      </c>
      <c r="G34" t="s">
        <v>105</v>
      </c>
      <c r="H34" t="s">
        <v>106</v>
      </c>
      <c r="I34" t="s">
        <v>75</v>
      </c>
      <c r="J34" t="s">
        <v>30</v>
      </c>
      <c r="K34" t="s">
        <v>38</v>
      </c>
      <c r="L34" t="s">
        <v>50</v>
      </c>
      <c r="M34">
        <v>166</v>
      </c>
      <c r="N34">
        <v>2</v>
      </c>
      <c r="O34">
        <v>2E-3</v>
      </c>
      <c r="P34">
        <v>49.428240000000002</v>
      </c>
      <c r="Q34">
        <v>9.5399999999999991</v>
      </c>
      <c r="R34" t="s">
        <v>23</v>
      </c>
      <c r="S34">
        <f>Sheet1[[#This Row],[Ship_date]]-Sheet1[[#This Row],[Order_date]]</f>
        <v>5</v>
      </c>
      <c r="T34">
        <f>Sheet1[[#This Row],[Quantity]]*Sheet1[[#This Row],[Sales]]</f>
        <v>332</v>
      </c>
      <c r="U34">
        <f>Sheet1[[#This Row],[Total Sales]]*Sheet1[[#This Row],[Discount]]</f>
        <v>0.66400000000000003</v>
      </c>
      <c r="V34" s="4">
        <f>Sheet1[[#This Row],[Total Sales]]-Sheet1[[#This Row],[Total Sales]]*Sheet1[[#This Row],[Discount]]</f>
        <v>331.33600000000001</v>
      </c>
      <c r="W34" s="4">
        <f>Sheet1[[#This Row],[Quantity]]*Sheet1[[#This Row],[Profit]]</f>
        <v>98.856480000000005</v>
      </c>
      <c r="X34" s="5">
        <f>Sheet1[[#This Row],[Total Profit]]/Sheet1[[#This Row],[Sales After Discount]]</f>
        <v>0.29835719632035157</v>
      </c>
      <c r="Y34" s="4">
        <f>Sheet1[[#This Row],[Shipping_cost]]*Sheet1[[#This Row],[Quantity]]</f>
        <v>19.079999999999998</v>
      </c>
      <c r="Z34" s="4">
        <f>Sheet1[[#This Row],[Total Profit]]-Sheet1[[#This Row],[Total Shipping Cost]]</f>
        <v>79.776480000000006</v>
      </c>
      <c r="AA34" s="4" t="str">
        <f>IF(Sheet1[[#This Row],[Net Profit]]&gt;0,"Profit","Loss")</f>
        <v>Profit</v>
      </c>
    </row>
    <row r="35" spans="1:27" x14ac:dyDescent="0.25">
      <c r="A35" t="s">
        <v>116</v>
      </c>
      <c r="B35" s="1">
        <v>40547</v>
      </c>
      <c r="C35" s="1">
        <v>40554</v>
      </c>
      <c r="D35" t="s">
        <v>1</v>
      </c>
      <c r="E35" t="s">
        <v>108</v>
      </c>
      <c r="F35" t="s">
        <v>26</v>
      </c>
      <c r="G35" t="s">
        <v>117</v>
      </c>
      <c r="H35" t="s">
        <v>101</v>
      </c>
      <c r="I35" t="s">
        <v>75</v>
      </c>
      <c r="J35" t="s">
        <v>102</v>
      </c>
      <c r="K35" t="s">
        <v>7</v>
      </c>
      <c r="L35" t="s">
        <v>96</v>
      </c>
      <c r="M35">
        <v>74</v>
      </c>
      <c r="N35">
        <v>6</v>
      </c>
      <c r="O35">
        <v>0.6</v>
      </c>
      <c r="P35">
        <v>-107.85599999999999</v>
      </c>
      <c r="Q35">
        <v>7.04</v>
      </c>
      <c r="R35" t="s">
        <v>9</v>
      </c>
      <c r="S35">
        <f>Sheet1[[#This Row],[Ship_date]]-Sheet1[[#This Row],[Order_date]]</f>
        <v>7</v>
      </c>
      <c r="T35">
        <f>Sheet1[[#This Row],[Quantity]]*Sheet1[[#This Row],[Sales]]</f>
        <v>444</v>
      </c>
      <c r="U35">
        <f>Sheet1[[#This Row],[Total Sales]]*Sheet1[[#This Row],[Discount]]</f>
        <v>266.39999999999998</v>
      </c>
      <c r="V35" s="4">
        <f>Sheet1[[#This Row],[Total Sales]]-Sheet1[[#This Row],[Total Sales]]*Sheet1[[#This Row],[Discount]]</f>
        <v>177.60000000000002</v>
      </c>
      <c r="W35" s="4">
        <f>Sheet1[[#This Row],[Quantity]]*Sheet1[[#This Row],[Profit]]</f>
        <v>-647.13599999999997</v>
      </c>
      <c r="X35" s="5">
        <f>Sheet1[[#This Row],[Total Profit]]/Sheet1[[#This Row],[Sales After Discount]]</f>
        <v>-3.6437837837837832</v>
      </c>
      <c r="Y35" s="4">
        <f>Sheet1[[#This Row],[Shipping_cost]]*Sheet1[[#This Row],[Quantity]]</f>
        <v>42.24</v>
      </c>
      <c r="Z35" s="4">
        <f>Sheet1[[#This Row],[Total Profit]]-Sheet1[[#This Row],[Total Shipping Cost]]</f>
        <v>-689.37599999999998</v>
      </c>
      <c r="AA35" s="4" t="str">
        <f>IF(Sheet1[[#This Row],[Net Profit]]&gt;0,"Profit","Loss")</f>
        <v>Loss</v>
      </c>
    </row>
    <row r="36" spans="1:27" x14ac:dyDescent="0.25">
      <c r="A36" t="s">
        <v>118</v>
      </c>
      <c r="B36" s="1">
        <v>40547</v>
      </c>
      <c r="C36" s="1">
        <v>40551</v>
      </c>
      <c r="D36" t="s">
        <v>1</v>
      </c>
      <c r="E36" t="s">
        <v>119</v>
      </c>
      <c r="F36" t="s">
        <v>26</v>
      </c>
      <c r="G36" t="s">
        <v>120</v>
      </c>
      <c r="H36" t="s">
        <v>110</v>
      </c>
      <c r="I36" t="s">
        <v>75</v>
      </c>
      <c r="J36" t="s">
        <v>111</v>
      </c>
      <c r="K36" t="s">
        <v>32</v>
      </c>
      <c r="L36" t="s">
        <v>56</v>
      </c>
      <c r="M36">
        <v>38</v>
      </c>
      <c r="N36">
        <v>1</v>
      </c>
      <c r="O36">
        <v>0</v>
      </c>
      <c r="P36">
        <v>6.88</v>
      </c>
      <c r="Q36">
        <v>4.25</v>
      </c>
      <c r="R36" t="s">
        <v>9</v>
      </c>
      <c r="S36">
        <f>Sheet1[[#This Row],[Ship_date]]-Sheet1[[#This Row],[Order_date]]</f>
        <v>4</v>
      </c>
      <c r="T36">
        <f>Sheet1[[#This Row],[Quantity]]*Sheet1[[#This Row],[Sales]]</f>
        <v>38</v>
      </c>
      <c r="U36">
        <f>Sheet1[[#This Row],[Total Sales]]*Sheet1[[#This Row],[Discount]]</f>
        <v>0</v>
      </c>
      <c r="V36" s="4">
        <f>Sheet1[[#This Row],[Total Sales]]-Sheet1[[#This Row],[Total Sales]]*Sheet1[[#This Row],[Discount]]</f>
        <v>38</v>
      </c>
      <c r="W36" s="4">
        <f>Sheet1[[#This Row],[Quantity]]*Sheet1[[#This Row],[Profit]]</f>
        <v>6.88</v>
      </c>
      <c r="X36" s="5">
        <f>Sheet1[[#This Row],[Total Profit]]/Sheet1[[#This Row],[Sales After Discount]]</f>
        <v>0.18105263157894735</v>
      </c>
      <c r="Y36" s="4">
        <f>Sheet1[[#This Row],[Shipping_cost]]*Sheet1[[#This Row],[Quantity]]</f>
        <v>4.25</v>
      </c>
      <c r="Z36" s="4">
        <f>Sheet1[[#This Row],[Total Profit]]-Sheet1[[#This Row],[Total Shipping Cost]]</f>
        <v>2.63</v>
      </c>
      <c r="AA36" s="4" t="str">
        <f>IF(Sheet1[[#This Row],[Net Profit]]&gt;0,"Profit","Loss")</f>
        <v>Profit</v>
      </c>
    </row>
    <row r="37" spans="1:27" x14ac:dyDescent="0.25">
      <c r="A37" t="s">
        <v>118</v>
      </c>
      <c r="B37" s="1">
        <v>40547</v>
      </c>
      <c r="C37" s="1">
        <v>40551</v>
      </c>
      <c r="D37" t="s">
        <v>1</v>
      </c>
      <c r="E37" t="s">
        <v>119</v>
      </c>
      <c r="F37" t="s">
        <v>26</v>
      </c>
      <c r="G37" t="s">
        <v>120</v>
      </c>
      <c r="H37" t="s">
        <v>110</v>
      </c>
      <c r="I37" t="s">
        <v>75</v>
      </c>
      <c r="J37" t="s">
        <v>111</v>
      </c>
      <c r="K37" t="s">
        <v>38</v>
      </c>
      <c r="L37" t="s">
        <v>82</v>
      </c>
      <c r="M37">
        <v>38</v>
      </c>
      <c r="N37">
        <v>2</v>
      </c>
      <c r="O37">
        <v>0</v>
      </c>
      <c r="P37">
        <v>2.2400000000000002</v>
      </c>
      <c r="Q37">
        <v>3.94</v>
      </c>
      <c r="R37" t="s">
        <v>9</v>
      </c>
      <c r="S37">
        <f>Sheet1[[#This Row],[Ship_date]]-Sheet1[[#This Row],[Order_date]]</f>
        <v>4</v>
      </c>
      <c r="T37">
        <f>Sheet1[[#This Row],[Quantity]]*Sheet1[[#This Row],[Sales]]</f>
        <v>76</v>
      </c>
      <c r="U37">
        <f>Sheet1[[#This Row],[Total Sales]]*Sheet1[[#This Row],[Discount]]</f>
        <v>0</v>
      </c>
      <c r="V37" s="4">
        <f>Sheet1[[#This Row],[Total Sales]]-Sheet1[[#This Row],[Total Sales]]*Sheet1[[#This Row],[Discount]]</f>
        <v>76</v>
      </c>
      <c r="W37" s="4">
        <f>Sheet1[[#This Row],[Quantity]]*Sheet1[[#This Row],[Profit]]</f>
        <v>4.4800000000000004</v>
      </c>
      <c r="X37" s="5">
        <f>Sheet1[[#This Row],[Total Profit]]/Sheet1[[#This Row],[Sales After Discount]]</f>
        <v>5.8947368421052637E-2</v>
      </c>
      <c r="Y37" s="4">
        <f>Sheet1[[#This Row],[Shipping_cost]]*Sheet1[[#This Row],[Quantity]]</f>
        <v>7.88</v>
      </c>
      <c r="Z37" s="4">
        <f>Sheet1[[#This Row],[Total Profit]]-Sheet1[[#This Row],[Total Shipping Cost]]</f>
        <v>-3.3999999999999995</v>
      </c>
      <c r="AA37" s="4" t="str">
        <f>IF(Sheet1[[#This Row],[Net Profit]]&gt;0,"Profit","Loss")</f>
        <v>Loss</v>
      </c>
    </row>
    <row r="38" spans="1:27" x14ac:dyDescent="0.25">
      <c r="A38" t="s">
        <v>118</v>
      </c>
      <c r="B38" s="1">
        <v>40547</v>
      </c>
      <c r="C38" s="1">
        <v>40551</v>
      </c>
      <c r="D38" t="s">
        <v>1</v>
      </c>
      <c r="E38" t="s">
        <v>119</v>
      </c>
      <c r="F38" t="s">
        <v>26</v>
      </c>
      <c r="G38" t="s">
        <v>120</v>
      </c>
      <c r="H38" t="s">
        <v>110</v>
      </c>
      <c r="I38" t="s">
        <v>75</v>
      </c>
      <c r="J38" t="s">
        <v>111</v>
      </c>
      <c r="K38" t="s">
        <v>7</v>
      </c>
      <c r="L38" t="s">
        <v>96</v>
      </c>
      <c r="M38">
        <v>39</v>
      </c>
      <c r="N38">
        <v>3</v>
      </c>
      <c r="O38">
        <v>0</v>
      </c>
      <c r="P38">
        <v>7.68</v>
      </c>
      <c r="Q38">
        <v>3.51</v>
      </c>
      <c r="R38" t="s">
        <v>9</v>
      </c>
      <c r="S38">
        <f>Sheet1[[#This Row],[Ship_date]]-Sheet1[[#This Row],[Order_date]]</f>
        <v>4</v>
      </c>
      <c r="T38">
        <f>Sheet1[[#This Row],[Quantity]]*Sheet1[[#This Row],[Sales]]</f>
        <v>117</v>
      </c>
      <c r="U38">
        <f>Sheet1[[#This Row],[Total Sales]]*Sheet1[[#This Row],[Discount]]</f>
        <v>0</v>
      </c>
      <c r="V38" s="4">
        <f>Sheet1[[#This Row],[Total Sales]]-Sheet1[[#This Row],[Total Sales]]*Sheet1[[#This Row],[Discount]]</f>
        <v>117</v>
      </c>
      <c r="W38" s="4">
        <f>Sheet1[[#This Row],[Quantity]]*Sheet1[[#This Row],[Profit]]</f>
        <v>23.04</v>
      </c>
      <c r="X38" s="5">
        <f>Sheet1[[#This Row],[Total Profit]]/Sheet1[[#This Row],[Sales After Discount]]</f>
        <v>0.19692307692307692</v>
      </c>
      <c r="Y38" s="4">
        <f>Sheet1[[#This Row],[Shipping_cost]]*Sheet1[[#This Row],[Quantity]]</f>
        <v>10.53</v>
      </c>
      <c r="Z38" s="4">
        <f>Sheet1[[#This Row],[Total Profit]]-Sheet1[[#This Row],[Total Shipping Cost]]</f>
        <v>12.51</v>
      </c>
      <c r="AA38" s="4" t="str">
        <f>IF(Sheet1[[#This Row],[Net Profit]]&gt;0,"Profit","Loss")</f>
        <v>Profit</v>
      </c>
    </row>
    <row r="39" spans="1:27" x14ac:dyDescent="0.25">
      <c r="A39" t="s">
        <v>121</v>
      </c>
      <c r="B39" s="1">
        <v>40547</v>
      </c>
      <c r="C39" s="1">
        <v>40552</v>
      </c>
      <c r="D39" t="s">
        <v>1</v>
      </c>
      <c r="E39" t="s">
        <v>122</v>
      </c>
      <c r="F39" t="s">
        <v>43</v>
      </c>
      <c r="G39" t="s">
        <v>65</v>
      </c>
      <c r="H39" t="s">
        <v>66</v>
      </c>
      <c r="I39" t="s">
        <v>29</v>
      </c>
      <c r="J39" t="s">
        <v>30</v>
      </c>
      <c r="K39" t="s">
        <v>7</v>
      </c>
      <c r="L39" t="s">
        <v>91</v>
      </c>
      <c r="M39">
        <v>27</v>
      </c>
      <c r="N39">
        <v>2</v>
      </c>
      <c r="O39">
        <v>0.5</v>
      </c>
      <c r="P39">
        <v>-21.9</v>
      </c>
      <c r="Q39">
        <v>2.11</v>
      </c>
      <c r="R39" t="s">
        <v>9</v>
      </c>
      <c r="S39">
        <f>Sheet1[[#This Row],[Ship_date]]-Sheet1[[#This Row],[Order_date]]</f>
        <v>5</v>
      </c>
      <c r="T39">
        <f>Sheet1[[#This Row],[Quantity]]*Sheet1[[#This Row],[Sales]]</f>
        <v>54</v>
      </c>
      <c r="U39">
        <f>Sheet1[[#This Row],[Total Sales]]*Sheet1[[#This Row],[Discount]]</f>
        <v>27</v>
      </c>
      <c r="V39" s="4">
        <f>Sheet1[[#This Row],[Total Sales]]-Sheet1[[#This Row],[Total Sales]]*Sheet1[[#This Row],[Discount]]</f>
        <v>27</v>
      </c>
      <c r="W39" s="4">
        <f>Sheet1[[#This Row],[Quantity]]*Sheet1[[#This Row],[Profit]]</f>
        <v>-43.8</v>
      </c>
      <c r="X39" s="5">
        <f>Sheet1[[#This Row],[Total Profit]]/Sheet1[[#This Row],[Sales After Discount]]</f>
        <v>-1.622222222222222</v>
      </c>
      <c r="Y39" s="4">
        <f>Sheet1[[#This Row],[Shipping_cost]]*Sheet1[[#This Row],[Quantity]]</f>
        <v>4.22</v>
      </c>
      <c r="Z39" s="4">
        <f>Sheet1[[#This Row],[Total Profit]]-Sheet1[[#This Row],[Total Shipping Cost]]</f>
        <v>-48.019999999999996</v>
      </c>
      <c r="AA39" s="4" t="str">
        <f>IF(Sheet1[[#This Row],[Net Profit]]&gt;0,"Profit","Loss")</f>
        <v>Loss</v>
      </c>
    </row>
    <row r="40" spans="1:27" x14ac:dyDescent="0.25">
      <c r="A40" t="s">
        <v>123</v>
      </c>
      <c r="B40" s="1">
        <v>40547</v>
      </c>
      <c r="C40" s="1">
        <v>40551</v>
      </c>
      <c r="D40" t="s">
        <v>1</v>
      </c>
      <c r="E40" t="s">
        <v>124</v>
      </c>
      <c r="F40" t="s">
        <v>3</v>
      </c>
      <c r="G40" t="s">
        <v>125</v>
      </c>
      <c r="H40" t="s">
        <v>126</v>
      </c>
      <c r="I40" t="s">
        <v>127</v>
      </c>
      <c r="J40" t="s">
        <v>76</v>
      </c>
      <c r="K40" t="s">
        <v>7</v>
      </c>
      <c r="L40" t="s">
        <v>31</v>
      </c>
      <c r="M40">
        <v>16</v>
      </c>
      <c r="N40">
        <v>2</v>
      </c>
      <c r="O40">
        <v>0.2</v>
      </c>
      <c r="P40">
        <v>5.5511999999999997</v>
      </c>
      <c r="Q40">
        <v>1.82</v>
      </c>
      <c r="R40" t="s">
        <v>23</v>
      </c>
      <c r="S40">
        <f>Sheet1[[#This Row],[Ship_date]]-Sheet1[[#This Row],[Order_date]]</f>
        <v>4</v>
      </c>
      <c r="T40">
        <f>Sheet1[[#This Row],[Quantity]]*Sheet1[[#This Row],[Sales]]</f>
        <v>32</v>
      </c>
      <c r="U40">
        <f>Sheet1[[#This Row],[Total Sales]]*Sheet1[[#This Row],[Discount]]</f>
        <v>6.4</v>
      </c>
      <c r="V40" s="4">
        <f>Sheet1[[#This Row],[Total Sales]]-Sheet1[[#This Row],[Total Sales]]*Sheet1[[#This Row],[Discount]]</f>
        <v>25.6</v>
      </c>
      <c r="W40" s="4">
        <f>Sheet1[[#This Row],[Quantity]]*Sheet1[[#This Row],[Profit]]</f>
        <v>11.102399999999999</v>
      </c>
      <c r="X40" s="5">
        <f>Sheet1[[#This Row],[Total Profit]]/Sheet1[[#This Row],[Sales After Discount]]</f>
        <v>0.43368749999999995</v>
      </c>
      <c r="Y40" s="4">
        <f>Sheet1[[#This Row],[Shipping_cost]]*Sheet1[[#This Row],[Quantity]]</f>
        <v>3.64</v>
      </c>
      <c r="Z40" s="4">
        <f>Sheet1[[#This Row],[Total Profit]]-Sheet1[[#This Row],[Total Shipping Cost]]</f>
        <v>7.4623999999999988</v>
      </c>
      <c r="AA40" s="4" t="str">
        <f>IF(Sheet1[[#This Row],[Net Profit]]&gt;0,"Profit","Loss")</f>
        <v>Profit</v>
      </c>
    </row>
    <row r="41" spans="1:27" x14ac:dyDescent="0.25">
      <c r="A41" t="s">
        <v>128</v>
      </c>
      <c r="B41" s="1">
        <v>40547</v>
      </c>
      <c r="C41" s="1">
        <v>40551</v>
      </c>
      <c r="D41" t="s">
        <v>1</v>
      </c>
      <c r="E41" t="s">
        <v>129</v>
      </c>
      <c r="F41" t="s">
        <v>3</v>
      </c>
      <c r="G41" t="s">
        <v>130</v>
      </c>
      <c r="H41" t="s">
        <v>131</v>
      </c>
      <c r="I41" t="s">
        <v>14</v>
      </c>
      <c r="J41" t="s">
        <v>132</v>
      </c>
      <c r="K41" t="s">
        <v>7</v>
      </c>
      <c r="L41" t="s">
        <v>87</v>
      </c>
      <c r="M41">
        <v>27</v>
      </c>
      <c r="N41">
        <v>3</v>
      </c>
      <c r="O41">
        <v>0</v>
      </c>
      <c r="P41">
        <v>13.68</v>
      </c>
      <c r="Q41">
        <v>1.54</v>
      </c>
      <c r="R41" t="s">
        <v>9</v>
      </c>
      <c r="S41">
        <f>Sheet1[[#This Row],[Ship_date]]-Sheet1[[#This Row],[Order_date]]</f>
        <v>4</v>
      </c>
      <c r="T41">
        <f>Sheet1[[#This Row],[Quantity]]*Sheet1[[#This Row],[Sales]]</f>
        <v>81</v>
      </c>
      <c r="U41">
        <f>Sheet1[[#This Row],[Total Sales]]*Sheet1[[#This Row],[Discount]]</f>
        <v>0</v>
      </c>
      <c r="V41" s="4">
        <f>Sheet1[[#This Row],[Total Sales]]-Sheet1[[#This Row],[Total Sales]]*Sheet1[[#This Row],[Discount]]</f>
        <v>81</v>
      </c>
      <c r="W41" s="4">
        <f>Sheet1[[#This Row],[Quantity]]*Sheet1[[#This Row],[Profit]]</f>
        <v>41.04</v>
      </c>
      <c r="X41" s="5">
        <f>Sheet1[[#This Row],[Total Profit]]/Sheet1[[#This Row],[Sales After Discount]]</f>
        <v>0.50666666666666671</v>
      </c>
      <c r="Y41" s="4">
        <f>Sheet1[[#This Row],[Shipping_cost]]*Sheet1[[#This Row],[Quantity]]</f>
        <v>4.62</v>
      </c>
      <c r="Z41" s="4">
        <f>Sheet1[[#This Row],[Total Profit]]-Sheet1[[#This Row],[Total Shipping Cost]]</f>
        <v>36.42</v>
      </c>
      <c r="AA41" s="4" t="str">
        <f>IF(Sheet1[[#This Row],[Net Profit]]&gt;0,"Profit","Loss")</f>
        <v>Profit</v>
      </c>
    </row>
    <row r="42" spans="1:27" x14ac:dyDescent="0.25">
      <c r="A42" t="s">
        <v>121</v>
      </c>
      <c r="B42" s="1">
        <v>40547</v>
      </c>
      <c r="C42" s="1">
        <v>40552</v>
      </c>
      <c r="D42" t="s">
        <v>1</v>
      </c>
      <c r="E42" t="s">
        <v>122</v>
      </c>
      <c r="F42" t="s">
        <v>43</v>
      </c>
      <c r="G42" t="s">
        <v>65</v>
      </c>
      <c r="H42" t="s">
        <v>66</v>
      </c>
      <c r="I42" t="s">
        <v>29</v>
      </c>
      <c r="J42" t="s">
        <v>30</v>
      </c>
      <c r="K42" t="s">
        <v>7</v>
      </c>
      <c r="L42" t="s">
        <v>8</v>
      </c>
      <c r="M42">
        <v>17</v>
      </c>
      <c r="N42">
        <v>2</v>
      </c>
      <c r="O42">
        <v>0.5</v>
      </c>
      <c r="P42">
        <v>-1.05</v>
      </c>
      <c r="Q42">
        <v>0.9</v>
      </c>
      <c r="R42" t="s">
        <v>9</v>
      </c>
      <c r="S42">
        <f>Sheet1[[#This Row],[Ship_date]]-Sheet1[[#This Row],[Order_date]]</f>
        <v>5</v>
      </c>
      <c r="T42">
        <f>Sheet1[[#This Row],[Quantity]]*Sheet1[[#This Row],[Sales]]</f>
        <v>34</v>
      </c>
      <c r="U42">
        <f>Sheet1[[#This Row],[Total Sales]]*Sheet1[[#This Row],[Discount]]</f>
        <v>17</v>
      </c>
      <c r="V42" s="4">
        <f>Sheet1[[#This Row],[Total Sales]]-Sheet1[[#This Row],[Total Sales]]*Sheet1[[#This Row],[Discount]]</f>
        <v>17</v>
      </c>
      <c r="W42" s="4">
        <f>Sheet1[[#This Row],[Quantity]]*Sheet1[[#This Row],[Profit]]</f>
        <v>-2.1</v>
      </c>
      <c r="X42" s="5">
        <f>Sheet1[[#This Row],[Total Profit]]/Sheet1[[#This Row],[Sales After Discount]]</f>
        <v>-0.12352941176470589</v>
      </c>
      <c r="Y42" s="4">
        <f>Sheet1[[#This Row],[Shipping_cost]]*Sheet1[[#This Row],[Quantity]]</f>
        <v>1.8</v>
      </c>
      <c r="Z42" s="4">
        <f>Sheet1[[#This Row],[Total Profit]]-Sheet1[[#This Row],[Total Shipping Cost]]</f>
        <v>-3.9000000000000004</v>
      </c>
      <c r="AA42" s="4" t="str">
        <f>IF(Sheet1[[#This Row],[Net Profit]]&gt;0,"Profit","Loss")</f>
        <v>Loss</v>
      </c>
    </row>
    <row r="43" spans="1:27" x14ac:dyDescent="0.25">
      <c r="A43" t="s">
        <v>133</v>
      </c>
      <c r="B43" s="1">
        <v>40547</v>
      </c>
      <c r="C43" s="1">
        <v>40551</v>
      </c>
      <c r="D43" t="s">
        <v>1</v>
      </c>
      <c r="E43" t="s">
        <v>134</v>
      </c>
      <c r="F43" t="s">
        <v>3</v>
      </c>
      <c r="G43" t="s">
        <v>135</v>
      </c>
      <c r="H43" t="s">
        <v>136</v>
      </c>
      <c r="I43" t="s">
        <v>6</v>
      </c>
      <c r="J43" t="s">
        <v>6</v>
      </c>
      <c r="K43" t="s">
        <v>7</v>
      </c>
      <c r="L43" t="s">
        <v>91</v>
      </c>
      <c r="M43">
        <v>15</v>
      </c>
      <c r="N43">
        <v>1</v>
      </c>
      <c r="O43">
        <v>0</v>
      </c>
      <c r="P43">
        <v>2.61</v>
      </c>
      <c r="Q43">
        <v>0.82</v>
      </c>
      <c r="R43" t="s">
        <v>9</v>
      </c>
      <c r="S43">
        <f>Sheet1[[#This Row],[Ship_date]]-Sheet1[[#This Row],[Order_date]]</f>
        <v>4</v>
      </c>
      <c r="T43">
        <f>Sheet1[[#This Row],[Quantity]]*Sheet1[[#This Row],[Sales]]</f>
        <v>15</v>
      </c>
      <c r="U43">
        <f>Sheet1[[#This Row],[Total Sales]]*Sheet1[[#This Row],[Discount]]</f>
        <v>0</v>
      </c>
      <c r="V43" s="4">
        <f>Sheet1[[#This Row],[Total Sales]]-Sheet1[[#This Row],[Total Sales]]*Sheet1[[#This Row],[Discount]]</f>
        <v>15</v>
      </c>
      <c r="W43" s="4">
        <f>Sheet1[[#This Row],[Quantity]]*Sheet1[[#This Row],[Profit]]</f>
        <v>2.61</v>
      </c>
      <c r="X43" s="5">
        <f>Sheet1[[#This Row],[Total Profit]]/Sheet1[[#This Row],[Sales After Discount]]</f>
        <v>0.17399999999999999</v>
      </c>
      <c r="Y43" s="4">
        <f>Sheet1[[#This Row],[Shipping_cost]]*Sheet1[[#This Row],[Quantity]]</f>
        <v>0.82</v>
      </c>
      <c r="Z43" s="4">
        <f>Sheet1[[#This Row],[Total Profit]]-Sheet1[[#This Row],[Total Shipping Cost]]</f>
        <v>1.79</v>
      </c>
      <c r="AA43" s="4" t="str">
        <f>IF(Sheet1[[#This Row],[Net Profit]]&gt;0,"Profit","Loss")</f>
        <v>Profit</v>
      </c>
    </row>
    <row r="44" spans="1:27" x14ac:dyDescent="0.25">
      <c r="A44" t="s">
        <v>133</v>
      </c>
      <c r="B44" s="1">
        <v>40547</v>
      </c>
      <c r="C44" s="1">
        <v>40551</v>
      </c>
      <c r="D44" t="s">
        <v>1</v>
      </c>
      <c r="E44" t="s">
        <v>134</v>
      </c>
      <c r="F44" t="s">
        <v>3</v>
      </c>
      <c r="G44" t="s">
        <v>135</v>
      </c>
      <c r="H44" t="s">
        <v>136</v>
      </c>
      <c r="I44" t="s">
        <v>6</v>
      </c>
      <c r="J44" t="s">
        <v>6</v>
      </c>
      <c r="K44" t="s">
        <v>7</v>
      </c>
      <c r="L44" t="s">
        <v>137</v>
      </c>
      <c r="M44">
        <v>6</v>
      </c>
      <c r="N44">
        <v>1</v>
      </c>
      <c r="O44">
        <v>0</v>
      </c>
      <c r="P44">
        <v>2.1</v>
      </c>
      <c r="Q44">
        <v>0.51</v>
      </c>
      <c r="R44" t="s">
        <v>9</v>
      </c>
      <c r="S44">
        <f>Sheet1[[#This Row],[Ship_date]]-Sheet1[[#This Row],[Order_date]]</f>
        <v>4</v>
      </c>
      <c r="T44">
        <f>Sheet1[[#This Row],[Quantity]]*Sheet1[[#This Row],[Sales]]</f>
        <v>6</v>
      </c>
      <c r="U44">
        <f>Sheet1[[#This Row],[Total Sales]]*Sheet1[[#This Row],[Discount]]</f>
        <v>0</v>
      </c>
      <c r="V44" s="4">
        <f>Sheet1[[#This Row],[Total Sales]]-Sheet1[[#This Row],[Total Sales]]*Sheet1[[#This Row],[Discount]]</f>
        <v>6</v>
      </c>
      <c r="W44" s="4">
        <f>Sheet1[[#This Row],[Quantity]]*Sheet1[[#This Row],[Profit]]</f>
        <v>2.1</v>
      </c>
      <c r="X44" s="5">
        <f>Sheet1[[#This Row],[Total Profit]]/Sheet1[[#This Row],[Sales After Discount]]</f>
        <v>0.35000000000000003</v>
      </c>
      <c r="Y44" s="4">
        <f>Sheet1[[#This Row],[Shipping_cost]]*Sheet1[[#This Row],[Quantity]]</f>
        <v>0.51</v>
      </c>
      <c r="Z44" s="4">
        <f>Sheet1[[#This Row],[Total Profit]]-Sheet1[[#This Row],[Total Shipping Cost]]</f>
        <v>1.59</v>
      </c>
      <c r="AA44" s="4" t="str">
        <f>IF(Sheet1[[#This Row],[Net Profit]]&gt;0,"Profit","Loss")</f>
        <v>Profit</v>
      </c>
    </row>
    <row r="45" spans="1:27" x14ac:dyDescent="0.25">
      <c r="A45" t="s">
        <v>138</v>
      </c>
      <c r="B45" s="1">
        <v>40548</v>
      </c>
      <c r="C45" s="1">
        <v>40552</v>
      </c>
      <c r="D45" t="s">
        <v>1</v>
      </c>
      <c r="E45" t="s">
        <v>139</v>
      </c>
      <c r="F45" t="s">
        <v>3</v>
      </c>
      <c r="G45" t="s">
        <v>140</v>
      </c>
      <c r="H45" t="s">
        <v>106</v>
      </c>
      <c r="I45" t="s">
        <v>75</v>
      </c>
      <c r="J45" t="s">
        <v>30</v>
      </c>
      <c r="K45" t="s">
        <v>7</v>
      </c>
      <c r="L45" t="s">
        <v>44</v>
      </c>
      <c r="M45">
        <v>3029</v>
      </c>
      <c r="N45">
        <v>8</v>
      </c>
      <c r="O45">
        <v>0</v>
      </c>
      <c r="P45">
        <v>999.36</v>
      </c>
      <c r="Q45">
        <v>191.2</v>
      </c>
      <c r="R45" t="s">
        <v>9</v>
      </c>
      <c r="S45">
        <f>Sheet1[[#This Row],[Ship_date]]-Sheet1[[#This Row],[Order_date]]</f>
        <v>4</v>
      </c>
      <c r="T45">
        <f>Sheet1[[#This Row],[Quantity]]*Sheet1[[#This Row],[Sales]]</f>
        <v>24232</v>
      </c>
      <c r="U45">
        <f>Sheet1[[#This Row],[Total Sales]]*Sheet1[[#This Row],[Discount]]</f>
        <v>0</v>
      </c>
      <c r="V45" s="4">
        <f>Sheet1[[#This Row],[Total Sales]]-Sheet1[[#This Row],[Total Sales]]*Sheet1[[#This Row],[Discount]]</f>
        <v>24232</v>
      </c>
      <c r="W45" s="4">
        <f>Sheet1[[#This Row],[Quantity]]*Sheet1[[#This Row],[Profit]]</f>
        <v>7994.88</v>
      </c>
      <c r="X45" s="5">
        <f>Sheet1[[#This Row],[Total Profit]]/Sheet1[[#This Row],[Sales After Discount]]</f>
        <v>0.3299306701881809</v>
      </c>
      <c r="Y45" s="4">
        <f>Sheet1[[#This Row],[Shipping_cost]]*Sheet1[[#This Row],[Quantity]]</f>
        <v>1529.6</v>
      </c>
      <c r="Z45" s="4">
        <f>Sheet1[[#This Row],[Total Profit]]-Sheet1[[#This Row],[Total Shipping Cost]]</f>
        <v>6465.2800000000007</v>
      </c>
      <c r="AA45" s="4" t="str">
        <f>IF(Sheet1[[#This Row],[Net Profit]]&gt;0,"Profit","Loss")</f>
        <v>Profit</v>
      </c>
    </row>
    <row r="46" spans="1:27" x14ac:dyDescent="0.25">
      <c r="A46" t="s">
        <v>141</v>
      </c>
      <c r="B46" s="1">
        <v>40548</v>
      </c>
      <c r="C46" s="1">
        <v>40550</v>
      </c>
      <c r="D46" t="s">
        <v>142</v>
      </c>
      <c r="E46" t="s">
        <v>143</v>
      </c>
      <c r="F46" t="s">
        <v>26</v>
      </c>
      <c r="G46" t="s">
        <v>114</v>
      </c>
      <c r="H46" t="s">
        <v>115</v>
      </c>
      <c r="I46" t="s">
        <v>29</v>
      </c>
      <c r="J46" t="s">
        <v>76</v>
      </c>
      <c r="K46" t="s">
        <v>7</v>
      </c>
      <c r="L46" t="s">
        <v>91</v>
      </c>
      <c r="M46">
        <v>207</v>
      </c>
      <c r="N46">
        <v>4</v>
      </c>
      <c r="O46">
        <v>0</v>
      </c>
      <c r="P46">
        <v>76.56</v>
      </c>
      <c r="Q46">
        <v>20.64</v>
      </c>
      <c r="R46" t="s">
        <v>9</v>
      </c>
      <c r="S46">
        <f>Sheet1[[#This Row],[Ship_date]]-Sheet1[[#This Row],[Order_date]]</f>
        <v>2</v>
      </c>
      <c r="T46">
        <f>Sheet1[[#This Row],[Quantity]]*Sheet1[[#This Row],[Sales]]</f>
        <v>828</v>
      </c>
      <c r="U46">
        <f>Sheet1[[#This Row],[Total Sales]]*Sheet1[[#This Row],[Discount]]</f>
        <v>0</v>
      </c>
      <c r="V46" s="4">
        <f>Sheet1[[#This Row],[Total Sales]]-Sheet1[[#This Row],[Total Sales]]*Sheet1[[#This Row],[Discount]]</f>
        <v>828</v>
      </c>
      <c r="W46" s="4">
        <f>Sheet1[[#This Row],[Quantity]]*Sheet1[[#This Row],[Profit]]</f>
        <v>306.24</v>
      </c>
      <c r="X46" s="5">
        <f>Sheet1[[#This Row],[Total Profit]]/Sheet1[[#This Row],[Sales After Discount]]</f>
        <v>0.36985507246376814</v>
      </c>
      <c r="Y46" s="4">
        <f>Sheet1[[#This Row],[Shipping_cost]]*Sheet1[[#This Row],[Quantity]]</f>
        <v>82.56</v>
      </c>
      <c r="Z46" s="4">
        <f>Sheet1[[#This Row],[Total Profit]]-Sheet1[[#This Row],[Total Shipping Cost]]</f>
        <v>223.68</v>
      </c>
      <c r="AA46" s="4" t="str">
        <f>IF(Sheet1[[#This Row],[Net Profit]]&gt;0,"Profit","Loss")</f>
        <v>Profit</v>
      </c>
    </row>
    <row r="47" spans="1:27" x14ac:dyDescent="0.25">
      <c r="A47" t="s">
        <v>141</v>
      </c>
      <c r="B47" s="1">
        <v>40548</v>
      </c>
      <c r="C47" s="1">
        <v>40550</v>
      </c>
      <c r="D47" t="s">
        <v>142</v>
      </c>
      <c r="E47" t="s">
        <v>143</v>
      </c>
      <c r="F47" t="s">
        <v>26</v>
      </c>
      <c r="G47" t="s">
        <v>114</v>
      </c>
      <c r="H47" t="s">
        <v>115</v>
      </c>
      <c r="I47" t="s">
        <v>29</v>
      </c>
      <c r="J47" t="s">
        <v>76</v>
      </c>
      <c r="K47" t="s">
        <v>7</v>
      </c>
      <c r="L47" t="s">
        <v>91</v>
      </c>
      <c r="M47">
        <v>90</v>
      </c>
      <c r="N47">
        <v>3</v>
      </c>
      <c r="O47">
        <v>0</v>
      </c>
      <c r="P47">
        <v>20.52</v>
      </c>
      <c r="Q47">
        <v>15.27</v>
      </c>
      <c r="R47" t="s">
        <v>9</v>
      </c>
      <c r="S47">
        <f>Sheet1[[#This Row],[Ship_date]]-Sheet1[[#This Row],[Order_date]]</f>
        <v>2</v>
      </c>
      <c r="T47">
        <f>Sheet1[[#This Row],[Quantity]]*Sheet1[[#This Row],[Sales]]</f>
        <v>270</v>
      </c>
      <c r="U47">
        <f>Sheet1[[#This Row],[Total Sales]]*Sheet1[[#This Row],[Discount]]</f>
        <v>0</v>
      </c>
      <c r="V47" s="4">
        <f>Sheet1[[#This Row],[Total Sales]]-Sheet1[[#This Row],[Total Sales]]*Sheet1[[#This Row],[Discount]]</f>
        <v>270</v>
      </c>
      <c r="W47" s="4">
        <f>Sheet1[[#This Row],[Quantity]]*Sheet1[[#This Row],[Profit]]</f>
        <v>61.56</v>
      </c>
      <c r="X47" s="5">
        <f>Sheet1[[#This Row],[Total Profit]]/Sheet1[[#This Row],[Sales After Discount]]</f>
        <v>0.22800000000000001</v>
      </c>
      <c r="Y47" s="4">
        <f>Sheet1[[#This Row],[Shipping_cost]]*Sheet1[[#This Row],[Quantity]]</f>
        <v>45.81</v>
      </c>
      <c r="Z47" s="4">
        <f>Sheet1[[#This Row],[Total Profit]]-Sheet1[[#This Row],[Total Shipping Cost]]</f>
        <v>15.75</v>
      </c>
      <c r="AA47" s="4" t="str">
        <f>IF(Sheet1[[#This Row],[Net Profit]]&gt;0,"Profit","Loss")</f>
        <v>Profit</v>
      </c>
    </row>
    <row r="48" spans="1:27" x14ac:dyDescent="0.25">
      <c r="A48" t="s">
        <v>144</v>
      </c>
      <c r="B48" s="1">
        <v>40548</v>
      </c>
      <c r="C48" s="1">
        <v>40552</v>
      </c>
      <c r="D48" t="s">
        <v>1</v>
      </c>
      <c r="E48" t="s">
        <v>145</v>
      </c>
      <c r="F48" t="s">
        <v>26</v>
      </c>
      <c r="G48" t="s">
        <v>146</v>
      </c>
      <c r="H48" t="s">
        <v>126</v>
      </c>
      <c r="I48" t="s">
        <v>127</v>
      </c>
      <c r="J48" t="s">
        <v>76</v>
      </c>
      <c r="K48" t="s">
        <v>7</v>
      </c>
      <c r="L48" t="s">
        <v>8</v>
      </c>
      <c r="M48">
        <v>273</v>
      </c>
      <c r="N48">
        <v>3</v>
      </c>
      <c r="O48">
        <v>0.2</v>
      </c>
      <c r="P48">
        <v>-64.774799999999999</v>
      </c>
      <c r="Q48">
        <v>13.59</v>
      </c>
      <c r="R48" t="s">
        <v>23</v>
      </c>
      <c r="S48">
        <f>Sheet1[[#This Row],[Ship_date]]-Sheet1[[#This Row],[Order_date]]</f>
        <v>4</v>
      </c>
      <c r="T48">
        <f>Sheet1[[#This Row],[Quantity]]*Sheet1[[#This Row],[Sales]]</f>
        <v>819</v>
      </c>
      <c r="U48">
        <f>Sheet1[[#This Row],[Total Sales]]*Sheet1[[#This Row],[Discount]]</f>
        <v>163.80000000000001</v>
      </c>
      <c r="V48" s="4">
        <f>Sheet1[[#This Row],[Total Sales]]-Sheet1[[#This Row],[Total Sales]]*Sheet1[[#This Row],[Discount]]</f>
        <v>655.20000000000005</v>
      </c>
      <c r="W48" s="4">
        <f>Sheet1[[#This Row],[Quantity]]*Sheet1[[#This Row],[Profit]]</f>
        <v>-194.3244</v>
      </c>
      <c r="X48" s="5">
        <f>Sheet1[[#This Row],[Total Profit]]/Sheet1[[#This Row],[Sales After Discount]]</f>
        <v>-0.29658791208791208</v>
      </c>
      <c r="Y48" s="4">
        <f>Sheet1[[#This Row],[Shipping_cost]]*Sheet1[[#This Row],[Quantity]]</f>
        <v>40.769999999999996</v>
      </c>
      <c r="Z48" s="4">
        <f>Sheet1[[#This Row],[Total Profit]]-Sheet1[[#This Row],[Total Shipping Cost]]</f>
        <v>-235.09440000000001</v>
      </c>
      <c r="AA48" s="4" t="str">
        <f>IF(Sheet1[[#This Row],[Net Profit]]&gt;0,"Profit","Loss")</f>
        <v>Loss</v>
      </c>
    </row>
    <row r="49" spans="1:27" x14ac:dyDescent="0.25">
      <c r="A49" t="s">
        <v>147</v>
      </c>
      <c r="B49" s="1">
        <v>40548</v>
      </c>
      <c r="C49" s="1">
        <v>40554</v>
      </c>
      <c r="D49" t="s">
        <v>1</v>
      </c>
      <c r="E49" t="s">
        <v>148</v>
      </c>
      <c r="F49" t="s">
        <v>3</v>
      </c>
      <c r="G49" t="s">
        <v>149</v>
      </c>
      <c r="H49" t="s">
        <v>150</v>
      </c>
      <c r="I49" t="s">
        <v>14</v>
      </c>
      <c r="J49" t="s">
        <v>132</v>
      </c>
      <c r="K49" t="s">
        <v>32</v>
      </c>
      <c r="L49" t="s">
        <v>33</v>
      </c>
      <c r="M49">
        <v>49</v>
      </c>
      <c r="N49">
        <v>1</v>
      </c>
      <c r="O49">
        <v>0</v>
      </c>
      <c r="P49">
        <v>22.92</v>
      </c>
      <c r="Q49">
        <v>5.82</v>
      </c>
      <c r="R49" t="s">
        <v>51</v>
      </c>
      <c r="S49">
        <f>Sheet1[[#This Row],[Ship_date]]-Sheet1[[#This Row],[Order_date]]</f>
        <v>6</v>
      </c>
      <c r="T49">
        <f>Sheet1[[#This Row],[Quantity]]*Sheet1[[#This Row],[Sales]]</f>
        <v>49</v>
      </c>
      <c r="U49">
        <f>Sheet1[[#This Row],[Total Sales]]*Sheet1[[#This Row],[Discount]]</f>
        <v>0</v>
      </c>
      <c r="V49" s="4">
        <f>Sheet1[[#This Row],[Total Sales]]-Sheet1[[#This Row],[Total Sales]]*Sheet1[[#This Row],[Discount]]</f>
        <v>49</v>
      </c>
      <c r="W49" s="4">
        <f>Sheet1[[#This Row],[Quantity]]*Sheet1[[#This Row],[Profit]]</f>
        <v>22.92</v>
      </c>
      <c r="X49" s="5">
        <f>Sheet1[[#This Row],[Total Profit]]/Sheet1[[#This Row],[Sales After Discount]]</f>
        <v>0.46775510204081638</v>
      </c>
      <c r="Y49" s="4">
        <f>Sheet1[[#This Row],[Shipping_cost]]*Sheet1[[#This Row],[Quantity]]</f>
        <v>5.82</v>
      </c>
      <c r="Z49" s="4">
        <f>Sheet1[[#This Row],[Total Profit]]-Sheet1[[#This Row],[Total Shipping Cost]]</f>
        <v>17.100000000000001</v>
      </c>
      <c r="AA49" s="4" t="str">
        <f>IF(Sheet1[[#This Row],[Net Profit]]&gt;0,"Profit","Loss")</f>
        <v>Profit</v>
      </c>
    </row>
    <row r="50" spans="1:27" x14ac:dyDescent="0.25">
      <c r="A50" t="s">
        <v>144</v>
      </c>
      <c r="B50" s="1">
        <v>40548</v>
      </c>
      <c r="C50" s="1">
        <v>40552</v>
      </c>
      <c r="D50" t="s">
        <v>1</v>
      </c>
      <c r="E50" t="s">
        <v>145</v>
      </c>
      <c r="F50" t="s">
        <v>26</v>
      </c>
      <c r="G50" t="s">
        <v>146</v>
      </c>
      <c r="H50" t="s">
        <v>126</v>
      </c>
      <c r="I50" t="s">
        <v>127</v>
      </c>
      <c r="J50" t="s">
        <v>76</v>
      </c>
      <c r="K50" t="s">
        <v>7</v>
      </c>
      <c r="L50" t="s">
        <v>87</v>
      </c>
      <c r="M50">
        <v>12</v>
      </c>
      <c r="N50">
        <v>3</v>
      </c>
      <c r="O50">
        <v>0.2</v>
      </c>
      <c r="P50">
        <v>4.2717000000000001</v>
      </c>
      <c r="Q50">
        <v>0.99</v>
      </c>
      <c r="R50" t="s">
        <v>23</v>
      </c>
      <c r="S50">
        <f>Sheet1[[#This Row],[Ship_date]]-Sheet1[[#This Row],[Order_date]]</f>
        <v>4</v>
      </c>
      <c r="T50">
        <f>Sheet1[[#This Row],[Quantity]]*Sheet1[[#This Row],[Sales]]</f>
        <v>36</v>
      </c>
      <c r="U50">
        <f>Sheet1[[#This Row],[Total Sales]]*Sheet1[[#This Row],[Discount]]</f>
        <v>7.2</v>
      </c>
      <c r="V50" s="4">
        <f>Sheet1[[#This Row],[Total Sales]]-Sheet1[[#This Row],[Total Sales]]*Sheet1[[#This Row],[Discount]]</f>
        <v>28.8</v>
      </c>
      <c r="W50" s="4">
        <f>Sheet1[[#This Row],[Quantity]]*Sheet1[[#This Row],[Profit]]</f>
        <v>12.815100000000001</v>
      </c>
      <c r="X50" s="5">
        <f>Sheet1[[#This Row],[Total Profit]]/Sheet1[[#This Row],[Sales After Discount]]</f>
        <v>0.44496875000000002</v>
      </c>
      <c r="Y50" s="4">
        <f>Sheet1[[#This Row],[Shipping_cost]]*Sheet1[[#This Row],[Quantity]]</f>
        <v>2.9699999999999998</v>
      </c>
      <c r="Z50" s="4">
        <f>Sheet1[[#This Row],[Total Profit]]-Sheet1[[#This Row],[Total Shipping Cost]]</f>
        <v>9.8451000000000022</v>
      </c>
      <c r="AA50" s="4" t="str">
        <f>IF(Sheet1[[#This Row],[Net Profit]]&gt;0,"Profit","Loss")</f>
        <v>Profit</v>
      </c>
    </row>
    <row r="51" spans="1:27" x14ac:dyDescent="0.25">
      <c r="A51" t="s">
        <v>144</v>
      </c>
      <c r="B51" s="1">
        <v>40548</v>
      </c>
      <c r="C51" s="1">
        <v>40552</v>
      </c>
      <c r="D51" t="s">
        <v>1</v>
      </c>
      <c r="E51" t="s">
        <v>145</v>
      </c>
      <c r="F51" t="s">
        <v>26</v>
      </c>
      <c r="G51" t="s">
        <v>146</v>
      </c>
      <c r="H51" t="s">
        <v>126</v>
      </c>
      <c r="I51" t="s">
        <v>127</v>
      </c>
      <c r="J51" t="s">
        <v>76</v>
      </c>
      <c r="K51" t="s">
        <v>7</v>
      </c>
      <c r="L51" t="s">
        <v>137</v>
      </c>
      <c r="M51">
        <v>4</v>
      </c>
      <c r="N51">
        <v>2</v>
      </c>
      <c r="O51">
        <v>0.8</v>
      </c>
      <c r="P51">
        <v>-5.4870000000000001</v>
      </c>
      <c r="Q51">
        <v>0.55000000000000004</v>
      </c>
      <c r="R51" t="s">
        <v>23</v>
      </c>
      <c r="S51">
        <f>Sheet1[[#This Row],[Ship_date]]-Sheet1[[#This Row],[Order_date]]</f>
        <v>4</v>
      </c>
      <c r="T51">
        <f>Sheet1[[#This Row],[Quantity]]*Sheet1[[#This Row],[Sales]]</f>
        <v>8</v>
      </c>
      <c r="U51">
        <f>Sheet1[[#This Row],[Total Sales]]*Sheet1[[#This Row],[Discount]]</f>
        <v>6.4</v>
      </c>
      <c r="V51" s="4">
        <f>Sheet1[[#This Row],[Total Sales]]-Sheet1[[#This Row],[Total Sales]]*Sheet1[[#This Row],[Discount]]</f>
        <v>1.5999999999999996</v>
      </c>
      <c r="W51" s="4">
        <f>Sheet1[[#This Row],[Quantity]]*Sheet1[[#This Row],[Profit]]</f>
        <v>-10.974</v>
      </c>
      <c r="X51" s="5">
        <f>Sheet1[[#This Row],[Total Profit]]/Sheet1[[#This Row],[Sales After Discount]]</f>
        <v>-6.8587500000000015</v>
      </c>
      <c r="Y51" s="4">
        <f>Sheet1[[#This Row],[Shipping_cost]]*Sheet1[[#This Row],[Quantity]]</f>
        <v>1.1000000000000001</v>
      </c>
      <c r="Z51" s="4">
        <f>Sheet1[[#This Row],[Total Profit]]-Sheet1[[#This Row],[Total Shipping Cost]]</f>
        <v>-12.074</v>
      </c>
      <c r="AA51" s="4" t="str">
        <f>IF(Sheet1[[#This Row],[Net Profit]]&gt;0,"Profit","Loss")</f>
        <v>Loss</v>
      </c>
    </row>
    <row r="52" spans="1:27" x14ac:dyDescent="0.25">
      <c r="A52" t="s">
        <v>151</v>
      </c>
      <c r="B52" s="1">
        <v>40549</v>
      </c>
      <c r="C52" s="1">
        <v>40552</v>
      </c>
      <c r="D52" t="s">
        <v>18</v>
      </c>
      <c r="E52" t="s">
        <v>152</v>
      </c>
      <c r="F52" t="s">
        <v>3</v>
      </c>
      <c r="G52" t="s">
        <v>153</v>
      </c>
      <c r="H52" t="s">
        <v>115</v>
      </c>
      <c r="I52" t="s">
        <v>29</v>
      </c>
      <c r="J52" t="s">
        <v>76</v>
      </c>
      <c r="K52" t="s">
        <v>32</v>
      </c>
      <c r="L52" t="s">
        <v>33</v>
      </c>
      <c r="M52">
        <v>324</v>
      </c>
      <c r="N52">
        <v>3</v>
      </c>
      <c r="O52">
        <v>0</v>
      </c>
      <c r="P52">
        <v>35.64</v>
      </c>
      <c r="Q52">
        <v>39.979999999999997</v>
      </c>
      <c r="R52" t="s">
        <v>23</v>
      </c>
      <c r="S52">
        <f>Sheet1[[#This Row],[Ship_date]]-Sheet1[[#This Row],[Order_date]]</f>
        <v>3</v>
      </c>
      <c r="T52">
        <f>Sheet1[[#This Row],[Quantity]]*Sheet1[[#This Row],[Sales]]</f>
        <v>972</v>
      </c>
      <c r="U52">
        <f>Sheet1[[#This Row],[Total Sales]]*Sheet1[[#This Row],[Discount]]</f>
        <v>0</v>
      </c>
      <c r="V52" s="4">
        <f>Sheet1[[#This Row],[Total Sales]]-Sheet1[[#This Row],[Total Sales]]*Sheet1[[#This Row],[Discount]]</f>
        <v>972</v>
      </c>
      <c r="W52" s="4">
        <f>Sheet1[[#This Row],[Quantity]]*Sheet1[[#This Row],[Profit]]</f>
        <v>106.92</v>
      </c>
      <c r="X52" s="5">
        <f>Sheet1[[#This Row],[Total Profit]]/Sheet1[[#This Row],[Sales After Discount]]</f>
        <v>0.11</v>
      </c>
      <c r="Y52" s="4">
        <f>Sheet1[[#This Row],[Shipping_cost]]*Sheet1[[#This Row],[Quantity]]</f>
        <v>119.94</v>
      </c>
      <c r="Z52" s="4">
        <f>Sheet1[[#This Row],[Total Profit]]-Sheet1[[#This Row],[Total Shipping Cost]]</f>
        <v>-13.019999999999996</v>
      </c>
      <c r="AA52" s="4" t="str">
        <f>IF(Sheet1[[#This Row],[Net Profit]]&gt;0,"Profit","Loss")</f>
        <v>Loss</v>
      </c>
    </row>
    <row r="53" spans="1:27" x14ac:dyDescent="0.25">
      <c r="A53" t="s">
        <v>154</v>
      </c>
      <c r="B53" s="1">
        <v>40549</v>
      </c>
      <c r="C53" s="1">
        <v>40553</v>
      </c>
      <c r="D53" t="s">
        <v>1</v>
      </c>
      <c r="E53" t="s">
        <v>155</v>
      </c>
      <c r="F53" t="s">
        <v>3</v>
      </c>
      <c r="G53" t="s">
        <v>156</v>
      </c>
      <c r="H53" t="s">
        <v>157</v>
      </c>
      <c r="I53" t="s">
        <v>14</v>
      </c>
      <c r="J53" t="s">
        <v>61</v>
      </c>
      <c r="K53" t="s">
        <v>7</v>
      </c>
      <c r="L53" t="s">
        <v>8</v>
      </c>
      <c r="M53">
        <v>50</v>
      </c>
      <c r="N53">
        <v>3</v>
      </c>
      <c r="O53">
        <v>0.17</v>
      </c>
      <c r="P53">
        <v>6.0084</v>
      </c>
      <c r="Q53">
        <v>6.2</v>
      </c>
      <c r="R53" t="s">
        <v>23</v>
      </c>
      <c r="S53">
        <f>Sheet1[[#This Row],[Ship_date]]-Sheet1[[#This Row],[Order_date]]</f>
        <v>4</v>
      </c>
      <c r="T53">
        <f>Sheet1[[#This Row],[Quantity]]*Sheet1[[#This Row],[Sales]]</f>
        <v>150</v>
      </c>
      <c r="U53">
        <f>Sheet1[[#This Row],[Total Sales]]*Sheet1[[#This Row],[Discount]]</f>
        <v>25.500000000000004</v>
      </c>
      <c r="V53" s="4">
        <f>Sheet1[[#This Row],[Total Sales]]-Sheet1[[#This Row],[Total Sales]]*Sheet1[[#This Row],[Discount]]</f>
        <v>124.5</v>
      </c>
      <c r="W53" s="4">
        <f>Sheet1[[#This Row],[Quantity]]*Sheet1[[#This Row],[Profit]]</f>
        <v>18.025199999999998</v>
      </c>
      <c r="X53" s="5">
        <f>Sheet1[[#This Row],[Total Profit]]/Sheet1[[#This Row],[Sales After Discount]]</f>
        <v>0.14478072289156624</v>
      </c>
      <c r="Y53" s="4">
        <f>Sheet1[[#This Row],[Shipping_cost]]*Sheet1[[#This Row],[Quantity]]</f>
        <v>18.600000000000001</v>
      </c>
      <c r="Z53" s="4">
        <f>Sheet1[[#This Row],[Total Profit]]-Sheet1[[#This Row],[Total Shipping Cost]]</f>
        <v>-0.57480000000000331</v>
      </c>
      <c r="AA53" s="4" t="str">
        <f>IF(Sheet1[[#This Row],[Net Profit]]&gt;0,"Profit","Loss")</f>
        <v>Loss</v>
      </c>
    </row>
    <row r="54" spans="1:27" x14ac:dyDescent="0.25">
      <c r="A54" t="s">
        <v>158</v>
      </c>
      <c r="B54" s="1">
        <v>40549</v>
      </c>
      <c r="C54" s="1">
        <v>40556</v>
      </c>
      <c r="D54" t="s">
        <v>1</v>
      </c>
      <c r="E54" t="s">
        <v>159</v>
      </c>
      <c r="F54" t="s">
        <v>26</v>
      </c>
      <c r="G54" t="s">
        <v>160</v>
      </c>
      <c r="H54" t="s">
        <v>161</v>
      </c>
      <c r="I54" t="s">
        <v>14</v>
      </c>
      <c r="J54" t="s">
        <v>61</v>
      </c>
      <c r="K54" t="s">
        <v>7</v>
      </c>
      <c r="L54" t="s">
        <v>8</v>
      </c>
      <c r="M54">
        <v>90</v>
      </c>
      <c r="N54">
        <v>2</v>
      </c>
      <c r="O54">
        <v>0.17</v>
      </c>
      <c r="P54">
        <v>29.268599999999999</v>
      </c>
      <c r="Q54">
        <v>3.62</v>
      </c>
      <c r="R54" t="s">
        <v>9</v>
      </c>
      <c r="S54">
        <f>Sheet1[[#This Row],[Ship_date]]-Sheet1[[#This Row],[Order_date]]</f>
        <v>7</v>
      </c>
      <c r="T54">
        <f>Sheet1[[#This Row],[Quantity]]*Sheet1[[#This Row],[Sales]]</f>
        <v>180</v>
      </c>
      <c r="U54">
        <f>Sheet1[[#This Row],[Total Sales]]*Sheet1[[#This Row],[Discount]]</f>
        <v>30.6</v>
      </c>
      <c r="V54" s="4">
        <f>Sheet1[[#This Row],[Total Sales]]-Sheet1[[#This Row],[Total Sales]]*Sheet1[[#This Row],[Discount]]</f>
        <v>149.4</v>
      </c>
      <c r="W54" s="4">
        <f>Sheet1[[#This Row],[Quantity]]*Sheet1[[#This Row],[Profit]]</f>
        <v>58.537199999999999</v>
      </c>
      <c r="X54" s="5">
        <f>Sheet1[[#This Row],[Total Profit]]/Sheet1[[#This Row],[Sales After Discount]]</f>
        <v>0.39181526104417669</v>
      </c>
      <c r="Y54" s="4">
        <f>Sheet1[[#This Row],[Shipping_cost]]*Sheet1[[#This Row],[Quantity]]</f>
        <v>7.24</v>
      </c>
      <c r="Z54" s="4">
        <f>Sheet1[[#This Row],[Total Profit]]-Sheet1[[#This Row],[Total Shipping Cost]]</f>
        <v>51.297199999999997</v>
      </c>
      <c r="AA54" s="4" t="str">
        <f>IF(Sheet1[[#This Row],[Net Profit]]&gt;0,"Profit","Loss")</f>
        <v>Profit</v>
      </c>
    </row>
    <row r="55" spans="1:27" x14ac:dyDescent="0.25">
      <c r="A55" t="s">
        <v>154</v>
      </c>
      <c r="B55" s="1">
        <v>40549</v>
      </c>
      <c r="C55" s="1">
        <v>40553</v>
      </c>
      <c r="D55" t="s">
        <v>1</v>
      </c>
      <c r="E55" t="s">
        <v>155</v>
      </c>
      <c r="F55" t="s">
        <v>3</v>
      </c>
      <c r="G55" t="s">
        <v>156</v>
      </c>
      <c r="H55" t="s">
        <v>157</v>
      </c>
      <c r="I55" t="s">
        <v>14</v>
      </c>
      <c r="J55" t="s">
        <v>61</v>
      </c>
      <c r="K55" t="s">
        <v>7</v>
      </c>
      <c r="L55" t="s">
        <v>97</v>
      </c>
      <c r="M55">
        <v>41</v>
      </c>
      <c r="N55">
        <v>7</v>
      </c>
      <c r="O55">
        <v>0.47</v>
      </c>
      <c r="P55">
        <v>-27.094200000000001</v>
      </c>
      <c r="Q55">
        <v>2.63</v>
      </c>
      <c r="R55" t="s">
        <v>23</v>
      </c>
      <c r="S55">
        <f>Sheet1[[#This Row],[Ship_date]]-Sheet1[[#This Row],[Order_date]]</f>
        <v>4</v>
      </c>
      <c r="T55">
        <f>Sheet1[[#This Row],[Quantity]]*Sheet1[[#This Row],[Sales]]</f>
        <v>287</v>
      </c>
      <c r="U55">
        <f>Sheet1[[#This Row],[Total Sales]]*Sheet1[[#This Row],[Discount]]</f>
        <v>134.88999999999999</v>
      </c>
      <c r="V55" s="4">
        <f>Sheet1[[#This Row],[Total Sales]]-Sheet1[[#This Row],[Total Sales]]*Sheet1[[#This Row],[Discount]]</f>
        <v>152.11000000000001</v>
      </c>
      <c r="W55" s="4">
        <f>Sheet1[[#This Row],[Quantity]]*Sheet1[[#This Row],[Profit]]</f>
        <v>-189.65940000000001</v>
      </c>
      <c r="X55" s="5">
        <f>Sheet1[[#This Row],[Total Profit]]/Sheet1[[#This Row],[Sales After Discount]]</f>
        <v>-1.2468568798895536</v>
      </c>
      <c r="Y55" s="4">
        <f>Sheet1[[#This Row],[Shipping_cost]]*Sheet1[[#This Row],[Quantity]]</f>
        <v>18.41</v>
      </c>
      <c r="Z55" s="4">
        <f>Sheet1[[#This Row],[Total Profit]]-Sheet1[[#This Row],[Total Shipping Cost]]</f>
        <v>-208.0694</v>
      </c>
      <c r="AA55" s="4" t="str">
        <f>IF(Sheet1[[#This Row],[Net Profit]]&gt;0,"Profit","Loss")</f>
        <v>Loss</v>
      </c>
    </row>
    <row r="56" spans="1:27" x14ac:dyDescent="0.25">
      <c r="A56" t="s">
        <v>158</v>
      </c>
      <c r="B56" s="1">
        <v>40549</v>
      </c>
      <c r="C56" s="1">
        <v>40556</v>
      </c>
      <c r="D56" t="s">
        <v>1</v>
      </c>
      <c r="E56" t="s">
        <v>159</v>
      </c>
      <c r="F56" t="s">
        <v>26</v>
      </c>
      <c r="G56" t="s">
        <v>160</v>
      </c>
      <c r="H56" t="s">
        <v>161</v>
      </c>
      <c r="I56" t="s">
        <v>14</v>
      </c>
      <c r="J56" t="s">
        <v>61</v>
      </c>
      <c r="K56" t="s">
        <v>7</v>
      </c>
      <c r="L56" t="s">
        <v>31</v>
      </c>
      <c r="M56">
        <v>39</v>
      </c>
      <c r="N56">
        <v>3</v>
      </c>
      <c r="O56">
        <v>0.17</v>
      </c>
      <c r="P56">
        <v>11.5893</v>
      </c>
      <c r="Q56">
        <v>2.4500000000000002</v>
      </c>
      <c r="R56" t="s">
        <v>9</v>
      </c>
      <c r="S56">
        <f>Sheet1[[#This Row],[Ship_date]]-Sheet1[[#This Row],[Order_date]]</f>
        <v>7</v>
      </c>
      <c r="T56">
        <f>Sheet1[[#This Row],[Quantity]]*Sheet1[[#This Row],[Sales]]</f>
        <v>117</v>
      </c>
      <c r="U56">
        <f>Sheet1[[#This Row],[Total Sales]]*Sheet1[[#This Row],[Discount]]</f>
        <v>19.89</v>
      </c>
      <c r="V56" s="4">
        <f>Sheet1[[#This Row],[Total Sales]]-Sheet1[[#This Row],[Total Sales]]*Sheet1[[#This Row],[Discount]]</f>
        <v>97.11</v>
      </c>
      <c r="W56" s="4">
        <f>Sheet1[[#This Row],[Quantity]]*Sheet1[[#This Row],[Profit]]</f>
        <v>34.767899999999997</v>
      </c>
      <c r="X56" s="5">
        <f>Sheet1[[#This Row],[Total Profit]]/Sheet1[[#This Row],[Sales After Discount]]</f>
        <v>0.35802594995366077</v>
      </c>
      <c r="Y56" s="4">
        <f>Sheet1[[#This Row],[Shipping_cost]]*Sheet1[[#This Row],[Quantity]]</f>
        <v>7.3500000000000005</v>
      </c>
      <c r="Z56" s="4">
        <f>Sheet1[[#This Row],[Total Profit]]-Sheet1[[#This Row],[Total Shipping Cost]]</f>
        <v>27.417899999999996</v>
      </c>
      <c r="AA56" s="4" t="str">
        <f>IF(Sheet1[[#This Row],[Net Profit]]&gt;0,"Profit","Loss")</f>
        <v>Profit</v>
      </c>
    </row>
    <row r="57" spans="1:27" x14ac:dyDescent="0.25">
      <c r="A57" t="s">
        <v>162</v>
      </c>
      <c r="B57" s="1">
        <v>40549</v>
      </c>
      <c r="C57" s="1">
        <v>40554</v>
      </c>
      <c r="D57" t="s">
        <v>1</v>
      </c>
      <c r="E57" t="s">
        <v>163</v>
      </c>
      <c r="F57" t="s">
        <v>43</v>
      </c>
      <c r="G57" t="s">
        <v>164</v>
      </c>
      <c r="H57" t="s">
        <v>165</v>
      </c>
      <c r="I57" t="s">
        <v>6</v>
      </c>
      <c r="J57" t="s">
        <v>6</v>
      </c>
      <c r="K57" t="s">
        <v>38</v>
      </c>
      <c r="L57" t="s">
        <v>82</v>
      </c>
      <c r="M57">
        <v>28</v>
      </c>
      <c r="N57">
        <v>1</v>
      </c>
      <c r="O57">
        <v>0</v>
      </c>
      <c r="P57">
        <v>12.72</v>
      </c>
      <c r="Q57">
        <v>2</v>
      </c>
      <c r="R57" t="s">
        <v>9</v>
      </c>
      <c r="S57">
        <f>Sheet1[[#This Row],[Ship_date]]-Sheet1[[#This Row],[Order_date]]</f>
        <v>5</v>
      </c>
      <c r="T57">
        <f>Sheet1[[#This Row],[Quantity]]*Sheet1[[#This Row],[Sales]]</f>
        <v>28</v>
      </c>
      <c r="U57">
        <f>Sheet1[[#This Row],[Total Sales]]*Sheet1[[#This Row],[Discount]]</f>
        <v>0</v>
      </c>
      <c r="V57" s="4">
        <f>Sheet1[[#This Row],[Total Sales]]-Sheet1[[#This Row],[Total Sales]]*Sheet1[[#This Row],[Discount]]</f>
        <v>28</v>
      </c>
      <c r="W57" s="4">
        <f>Sheet1[[#This Row],[Quantity]]*Sheet1[[#This Row],[Profit]]</f>
        <v>12.72</v>
      </c>
      <c r="X57" s="5">
        <f>Sheet1[[#This Row],[Total Profit]]/Sheet1[[#This Row],[Sales After Discount]]</f>
        <v>0.45428571428571429</v>
      </c>
      <c r="Y57" s="4">
        <f>Sheet1[[#This Row],[Shipping_cost]]*Sheet1[[#This Row],[Quantity]]</f>
        <v>2</v>
      </c>
      <c r="Z57" s="4">
        <f>Sheet1[[#This Row],[Total Profit]]-Sheet1[[#This Row],[Total Shipping Cost]]</f>
        <v>10.72</v>
      </c>
      <c r="AA57" s="4" t="str">
        <f>IF(Sheet1[[#This Row],[Net Profit]]&gt;0,"Profit","Loss")</f>
        <v>Profit</v>
      </c>
    </row>
    <row r="58" spans="1:27" x14ac:dyDescent="0.25">
      <c r="A58" t="s">
        <v>166</v>
      </c>
      <c r="B58" s="1">
        <v>40549</v>
      </c>
      <c r="C58" s="1">
        <v>40553</v>
      </c>
      <c r="D58" t="s">
        <v>1</v>
      </c>
      <c r="E58" t="s">
        <v>167</v>
      </c>
      <c r="F58" t="s">
        <v>3</v>
      </c>
      <c r="G58" t="s">
        <v>168</v>
      </c>
      <c r="H58" t="s">
        <v>169</v>
      </c>
      <c r="I58" t="s">
        <v>14</v>
      </c>
      <c r="J58" t="s">
        <v>132</v>
      </c>
      <c r="K58" t="s">
        <v>7</v>
      </c>
      <c r="L58" t="s">
        <v>96</v>
      </c>
      <c r="M58">
        <v>31</v>
      </c>
      <c r="N58">
        <v>1</v>
      </c>
      <c r="O58">
        <v>0</v>
      </c>
      <c r="P58">
        <v>13.11</v>
      </c>
      <c r="Q58">
        <v>1.96</v>
      </c>
      <c r="R58" t="s">
        <v>23</v>
      </c>
      <c r="S58">
        <f>Sheet1[[#This Row],[Ship_date]]-Sheet1[[#This Row],[Order_date]]</f>
        <v>4</v>
      </c>
      <c r="T58">
        <f>Sheet1[[#This Row],[Quantity]]*Sheet1[[#This Row],[Sales]]</f>
        <v>31</v>
      </c>
      <c r="U58">
        <f>Sheet1[[#This Row],[Total Sales]]*Sheet1[[#This Row],[Discount]]</f>
        <v>0</v>
      </c>
      <c r="V58" s="4">
        <f>Sheet1[[#This Row],[Total Sales]]-Sheet1[[#This Row],[Total Sales]]*Sheet1[[#This Row],[Discount]]</f>
        <v>31</v>
      </c>
      <c r="W58" s="4">
        <f>Sheet1[[#This Row],[Quantity]]*Sheet1[[#This Row],[Profit]]</f>
        <v>13.11</v>
      </c>
      <c r="X58" s="5">
        <f>Sheet1[[#This Row],[Total Profit]]/Sheet1[[#This Row],[Sales After Discount]]</f>
        <v>0.42290322580645162</v>
      </c>
      <c r="Y58" s="4">
        <f>Sheet1[[#This Row],[Shipping_cost]]*Sheet1[[#This Row],[Quantity]]</f>
        <v>1.96</v>
      </c>
      <c r="Z58" s="4">
        <f>Sheet1[[#This Row],[Total Profit]]-Sheet1[[#This Row],[Total Shipping Cost]]</f>
        <v>11.149999999999999</v>
      </c>
      <c r="AA58" s="4" t="str">
        <f>IF(Sheet1[[#This Row],[Net Profit]]&gt;0,"Profit","Loss")</f>
        <v>Profit</v>
      </c>
    </row>
    <row r="59" spans="1:27" x14ac:dyDescent="0.25">
      <c r="A59" t="s">
        <v>170</v>
      </c>
      <c r="B59" s="1">
        <v>40549</v>
      </c>
      <c r="C59" s="1">
        <v>40556</v>
      </c>
      <c r="D59" t="s">
        <v>1</v>
      </c>
      <c r="E59" t="s">
        <v>171</v>
      </c>
      <c r="F59" t="s">
        <v>3</v>
      </c>
      <c r="G59" t="s">
        <v>172</v>
      </c>
      <c r="H59" t="s">
        <v>126</v>
      </c>
      <c r="I59" t="s">
        <v>127</v>
      </c>
      <c r="J59" t="s">
        <v>173</v>
      </c>
      <c r="K59" t="s">
        <v>7</v>
      </c>
      <c r="L59" t="s">
        <v>91</v>
      </c>
      <c r="M59">
        <v>20</v>
      </c>
      <c r="N59">
        <v>3</v>
      </c>
      <c r="O59">
        <v>0.2</v>
      </c>
      <c r="P59">
        <v>4.8840000000000003</v>
      </c>
      <c r="Q59">
        <v>1.85</v>
      </c>
      <c r="R59" t="s">
        <v>51</v>
      </c>
      <c r="S59">
        <f>Sheet1[[#This Row],[Ship_date]]-Sheet1[[#This Row],[Order_date]]</f>
        <v>7</v>
      </c>
      <c r="T59">
        <f>Sheet1[[#This Row],[Quantity]]*Sheet1[[#This Row],[Sales]]</f>
        <v>60</v>
      </c>
      <c r="U59">
        <f>Sheet1[[#This Row],[Total Sales]]*Sheet1[[#This Row],[Discount]]</f>
        <v>12</v>
      </c>
      <c r="V59" s="4">
        <f>Sheet1[[#This Row],[Total Sales]]-Sheet1[[#This Row],[Total Sales]]*Sheet1[[#This Row],[Discount]]</f>
        <v>48</v>
      </c>
      <c r="W59" s="4">
        <f>Sheet1[[#This Row],[Quantity]]*Sheet1[[#This Row],[Profit]]</f>
        <v>14.652000000000001</v>
      </c>
      <c r="X59" s="5">
        <f>Sheet1[[#This Row],[Total Profit]]/Sheet1[[#This Row],[Sales After Discount]]</f>
        <v>0.30525000000000002</v>
      </c>
      <c r="Y59" s="4">
        <f>Sheet1[[#This Row],[Shipping_cost]]*Sheet1[[#This Row],[Quantity]]</f>
        <v>5.5500000000000007</v>
      </c>
      <c r="Z59" s="4">
        <f>Sheet1[[#This Row],[Total Profit]]-Sheet1[[#This Row],[Total Shipping Cost]]</f>
        <v>9.1020000000000003</v>
      </c>
      <c r="AA59" s="4" t="str">
        <f>IF(Sheet1[[#This Row],[Net Profit]]&gt;0,"Profit","Loss")</f>
        <v>Profit</v>
      </c>
    </row>
    <row r="60" spans="1:27" x14ac:dyDescent="0.25">
      <c r="A60" t="s">
        <v>174</v>
      </c>
      <c r="B60" s="1">
        <v>40550</v>
      </c>
      <c r="C60" s="1">
        <v>40554</v>
      </c>
      <c r="D60" t="s">
        <v>1</v>
      </c>
      <c r="E60" t="s">
        <v>175</v>
      </c>
      <c r="F60" t="s">
        <v>26</v>
      </c>
      <c r="G60" t="s">
        <v>176</v>
      </c>
      <c r="H60" t="s">
        <v>126</v>
      </c>
      <c r="I60" t="s">
        <v>127</v>
      </c>
      <c r="J60" t="s">
        <v>102</v>
      </c>
      <c r="K60" t="s">
        <v>32</v>
      </c>
      <c r="L60" t="s">
        <v>56</v>
      </c>
      <c r="M60">
        <v>2574</v>
      </c>
      <c r="N60">
        <v>9</v>
      </c>
      <c r="O60">
        <v>0</v>
      </c>
      <c r="P60">
        <v>746.40779999999995</v>
      </c>
      <c r="Q60">
        <v>258.99</v>
      </c>
      <c r="R60" t="s">
        <v>23</v>
      </c>
      <c r="S60">
        <f>Sheet1[[#This Row],[Ship_date]]-Sheet1[[#This Row],[Order_date]]</f>
        <v>4</v>
      </c>
      <c r="T60">
        <f>Sheet1[[#This Row],[Quantity]]*Sheet1[[#This Row],[Sales]]</f>
        <v>23166</v>
      </c>
      <c r="U60">
        <f>Sheet1[[#This Row],[Total Sales]]*Sheet1[[#This Row],[Discount]]</f>
        <v>0</v>
      </c>
      <c r="V60" s="4">
        <f>Sheet1[[#This Row],[Total Sales]]-Sheet1[[#This Row],[Total Sales]]*Sheet1[[#This Row],[Discount]]</f>
        <v>23166</v>
      </c>
      <c r="W60" s="4">
        <f>Sheet1[[#This Row],[Quantity]]*Sheet1[[#This Row],[Profit]]</f>
        <v>6717.6701999999996</v>
      </c>
      <c r="X60" s="5">
        <f>Sheet1[[#This Row],[Total Profit]]/Sheet1[[#This Row],[Sales After Discount]]</f>
        <v>0.28997972027972024</v>
      </c>
      <c r="Y60" s="4">
        <f>Sheet1[[#This Row],[Shipping_cost]]*Sheet1[[#This Row],[Quantity]]</f>
        <v>2330.91</v>
      </c>
      <c r="Z60" s="4">
        <f>Sheet1[[#This Row],[Total Profit]]-Sheet1[[#This Row],[Total Shipping Cost]]</f>
        <v>4386.7601999999997</v>
      </c>
      <c r="AA60" s="4" t="str">
        <f>IF(Sheet1[[#This Row],[Net Profit]]&gt;0,"Profit","Loss")</f>
        <v>Profit</v>
      </c>
    </row>
    <row r="61" spans="1:27" x14ac:dyDescent="0.25">
      <c r="A61" t="s">
        <v>174</v>
      </c>
      <c r="B61" s="1">
        <v>40550</v>
      </c>
      <c r="C61" s="1">
        <v>40554</v>
      </c>
      <c r="D61" t="s">
        <v>1</v>
      </c>
      <c r="E61" t="s">
        <v>175</v>
      </c>
      <c r="F61" t="s">
        <v>26</v>
      </c>
      <c r="G61" t="s">
        <v>176</v>
      </c>
      <c r="H61" t="s">
        <v>126</v>
      </c>
      <c r="I61" t="s">
        <v>127</v>
      </c>
      <c r="J61" t="s">
        <v>102</v>
      </c>
      <c r="K61" t="s">
        <v>7</v>
      </c>
      <c r="L61" t="s">
        <v>137</v>
      </c>
      <c r="M61">
        <v>610</v>
      </c>
      <c r="N61">
        <v>2</v>
      </c>
      <c r="O61">
        <v>0</v>
      </c>
      <c r="P61">
        <v>274.49099999999999</v>
      </c>
      <c r="Q61">
        <v>88.07</v>
      </c>
      <c r="R61" t="s">
        <v>23</v>
      </c>
      <c r="S61">
        <f>Sheet1[[#This Row],[Ship_date]]-Sheet1[[#This Row],[Order_date]]</f>
        <v>4</v>
      </c>
      <c r="T61">
        <f>Sheet1[[#This Row],[Quantity]]*Sheet1[[#This Row],[Sales]]</f>
        <v>1220</v>
      </c>
      <c r="U61">
        <f>Sheet1[[#This Row],[Total Sales]]*Sheet1[[#This Row],[Discount]]</f>
        <v>0</v>
      </c>
      <c r="V61" s="4">
        <f>Sheet1[[#This Row],[Total Sales]]-Sheet1[[#This Row],[Total Sales]]*Sheet1[[#This Row],[Discount]]</f>
        <v>1220</v>
      </c>
      <c r="W61" s="4">
        <f>Sheet1[[#This Row],[Quantity]]*Sheet1[[#This Row],[Profit]]</f>
        <v>548.98199999999997</v>
      </c>
      <c r="X61" s="5">
        <f>Sheet1[[#This Row],[Total Profit]]/Sheet1[[#This Row],[Sales After Discount]]</f>
        <v>0.4499852459016393</v>
      </c>
      <c r="Y61" s="4">
        <f>Sheet1[[#This Row],[Shipping_cost]]*Sheet1[[#This Row],[Quantity]]</f>
        <v>176.14</v>
      </c>
      <c r="Z61" s="4">
        <f>Sheet1[[#This Row],[Total Profit]]-Sheet1[[#This Row],[Total Shipping Cost]]</f>
        <v>372.84199999999998</v>
      </c>
      <c r="AA61" s="4" t="str">
        <f>IF(Sheet1[[#This Row],[Net Profit]]&gt;0,"Profit","Loss")</f>
        <v>Profit</v>
      </c>
    </row>
    <row r="62" spans="1:27" x14ac:dyDescent="0.25">
      <c r="A62" t="s">
        <v>174</v>
      </c>
      <c r="B62" s="1">
        <v>40550</v>
      </c>
      <c r="C62" s="1">
        <v>40554</v>
      </c>
      <c r="D62" t="s">
        <v>1</v>
      </c>
      <c r="E62" t="s">
        <v>175</v>
      </c>
      <c r="F62" t="s">
        <v>26</v>
      </c>
      <c r="G62" t="s">
        <v>176</v>
      </c>
      <c r="H62" t="s">
        <v>126</v>
      </c>
      <c r="I62" t="s">
        <v>127</v>
      </c>
      <c r="J62" t="s">
        <v>102</v>
      </c>
      <c r="K62" t="s">
        <v>38</v>
      </c>
      <c r="L62" t="s">
        <v>77</v>
      </c>
      <c r="M62">
        <v>392</v>
      </c>
      <c r="N62">
        <v>2</v>
      </c>
      <c r="O62">
        <v>0</v>
      </c>
      <c r="P62">
        <v>113.6742</v>
      </c>
      <c r="Q62">
        <v>62.37</v>
      </c>
      <c r="R62" t="s">
        <v>23</v>
      </c>
      <c r="S62">
        <f>Sheet1[[#This Row],[Ship_date]]-Sheet1[[#This Row],[Order_date]]</f>
        <v>4</v>
      </c>
      <c r="T62">
        <f>Sheet1[[#This Row],[Quantity]]*Sheet1[[#This Row],[Sales]]</f>
        <v>784</v>
      </c>
      <c r="U62">
        <f>Sheet1[[#This Row],[Total Sales]]*Sheet1[[#This Row],[Discount]]</f>
        <v>0</v>
      </c>
      <c r="V62" s="4">
        <f>Sheet1[[#This Row],[Total Sales]]-Sheet1[[#This Row],[Total Sales]]*Sheet1[[#This Row],[Discount]]</f>
        <v>784</v>
      </c>
      <c r="W62" s="4">
        <f>Sheet1[[#This Row],[Quantity]]*Sheet1[[#This Row],[Profit]]</f>
        <v>227.3484</v>
      </c>
      <c r="X62" s="5">
        <f>Sheet1[[#This Row],[Total Profit]]/Sheet1[[#This Row],[Sales After Discount]]</f>
        <v>0.28998520408163264</v>
      </c>
      <c r="Y62" s="4">
        <f>Sheet1[[#This Row],[Shipping_cost]]*Sheet1[[#This Row],[Quantity]]</f>
        <v>124.74</v>
      </c>
      <c r="Z62" s="4">
        <f>Sheet1[[#This Row],[Total Profit]]-Sheet1[[#This Row],[Total Shipping Cost]]</f>
        <v>102.6084</v>
      </c>
      <c r="AA62" s="4" t="str">
        <f>IF(Sheet1[[#This Row],[Net Profit]]&gt;0,"Profit","Loss")</f>
        <v>Profit</v>
      </c>
    </row>
    <row r="63" spans="1:27" x14ac:dyDescent="0.25">
      <c r="A63" t="s">
        <v>177</v>
      </c>
      <c r="B63" s="1">
        <v>40550</v>
      </c>
      <c r="C63" s="1">
        <v>40553</v>
      </c>
      <c r="D63" t="s">
        <v>142</v>
      </c>
      <c r="E63" t="s">
        <v>73</v>
      </c>
      <c r="F63" t="s">
        <v>3</v>
      </c>
      <c r="G63" t="s">
        <v>178</v>
      </c>
      <c r="H63" t="s">
        <v>179</v>
      </c>
      <c r="I63" t="s">
        <v>6</v>
      </c>
      <c r="J63" t="s">
        <v>6</v>
      </c>
      <c r="K63" t="s">
        <v>7</v>
      </c>
      <c r="L63" t="s">
        <v>8</v>
      </c>
      <c r="M63">
        <v>256</v>
      </c>
      <c r="N63">
        <v>2</v>
      </c>
      <c r="O63">
        <v>0</v>
      </c>
      <c r="P63">
        <v>46.02</v>
      </c>
      <c r="Q63">
        <v>52.46</v>
      </c>
      <c r="R63" t="s">
        <v>23</v>
      </c>
      <c r="S63">
        <f>Sheet1[[#This Row],[Ship_date]]-Sheet1[[#This Row],[Order_date]]</f>
        <v>3</v>
      </c>
      <c r="T63">
        <f>Sheet1[[#This Row],[Quantity]]*Sheet1[[#This Row],[Sales]]</f>
        <v>512</v>
      </c>
      <c r="U63">
        <f>Sheet1[[#This Row],[Total Sales]]*Sheet1[[#This Row],[Discount]]</f>
        <v>0</v>
      </c>
      <c r="V63" s="4">
        <f>Sheet1[[#This Row],[Total Sales]]-Sheet1[[#This Row],[Total Sales]]*Sheet1[[#This Row],[Discount]]</f>
        <v>512</v>
      </c>
      <c r="W63" s="4">
        <f>Sheet1[[#This Row],[Quantity]]*Sheet1[[#This Row],[Profit]]</f>
        <v>92.04</v>
      </c>
      <c r="X63" s="5">
        <f>Sheet1[[#This Row],[Total Profit]]/Sheet1[[#This Row],[Sales After Discount]]</f>
        <v>0.17976562500000001</v>
      </c>
      <c r="Y63" s="4">
        <f>Sheet1[[#This Row],[Shipping_cost]]*Sheet1[[#This Row],[Quantity]]</f>
        <v>104.92</v>
      </c>
      <c r="Z63" s="4">
        <f>Sheet1[[#This Row],[Total Profit]]-Sheet1[[#This Row],[Total Shipping Cost]]</f>
        <v>-12.879999999999995</v>
      </c>
      <c r="AA63" s="4" t="str">
        <f>IF(Sheet1[[#This Row],[Net Profit]]&gt;0,"Profit","Loss")</f>
        <v>Loss</v>
      </c>
    </row>
    <row r="64" spans="1:27" x14ac:dyDescent="0.25">
      <c r="A64" t="s">
        <v>180</v>
      </c>
      <c r="B64" s="1">
        <v>40550</v>
      </c>
      <c r="C64" s="1">
        <v>40554</v>
      </c>
      <c r="D64" t="s">
        <v>1</v>
      </c>
      <c r="E64" t="s">
        <v>181</v>
      </c>
      <c r="F64" t="s">
        <v>3</v>
      </c>
      <c r="G64" t="s">
        <v>59</v>
      </c>
      <c r="H64" t="s">
        <v>60</v>
      </c>
      <c r="I64" t="s">
        <v>14</v>
      </c>
      <c r="J64" t="s">
        <v>61</v>
      </c>
      <c r="K64" t="s">
        <v>38</v>
      </c>
      <c r="L64" t="s">
        <v>39</v>
      </c>
      <c r="M64">
        <v>445</v>
      </c>
      <c r="N64">
        <v>7</v>
      </c>
      <c r="O64">
        <v>0.25</v>
      </c>
      <c r="P64">
        <v>-136.71</v>
      </c>
      <c r="Q64">
        <v>46.97</v>
      </c>
      <c r="R64" t="s">
        <v>23</v>
      </c>
      <c r="S64">
        <f>Sheet1[[#This Row],[Ship_date]]-Sheet1[[#This Row],[Order_date]]</f>
        <v>4</v>
      </c>
      <c r="T64">
        <f>Sheet1[[#This Row],[Quantity]]*Sheet1[[#This Row],[Sales]]</f>
        <v>3115</v>
      </c>
      <c r="U64">
        <f>Sheet1[[#This Row],[Total Sales]]*Sheet1[[#This Row],[Discount]]</f>
        <v>778.75</v>
      </c>
      <c r="V64" s="4">
        <f>Sheet1[[#This Row],[Total Sales]]-Sheet1[[#This Row],[Total Sales]]*Sheet1[[#This Row],[Discount]]</f>
        <v>2336.25</v>
      </c>
      <c r="W64" s="4">
        <f>Sheet1[[#This Row],[Quantity]]*Sheet1[[#This Row],[Profit]]</f>
        <v>-956.97</v>
      </c>
      <c r="X64" s="5">
        <f>Sheet1[[#This Row],[Total Profit]]/Sheet1[[#This Row],[Sales After Discount]]</f>
        <v>-0.40961797752808987</v>
      </c>
      <c r="Y64" s="4">
        <f>Sheet1[[#This Row],[Shipping_cost]]*Sheet1[[#This Row],[Quantity]]</f>
        <v>328.78999999999996</v>
      </c>
      <c r="Z64" s="4">
        <f>Sheet1[[#This Row],[Total Profit]]-Sheet1[[#This Row],[Total Shipping Cost]]</f>
        <v>-1285.76</v>
      </c>
      <c r="AA64" s="4" t="str">
        <f>IF(Sheet1[[#This Row],[Net Profit]]&gt;0,"Profit","Loss")</f>
        <v>Loss</v>
      </c>
    </row>
    <row r="65" spans="1:27" x14ac:dyDescent="0.25">
      <c r="A65" t="s">
        <v>180</v>
      </c>
      <c r="B65" s="1">
        <v>40550</v>
      </c>
      <c r="C65" s="1">
        <v>40554</v>
      </c>
      <c r="D65" t="s">
        <v>1</v>
      </c>
      <c r="E65" t="s">
        <v>181</v>
      </c>
      <c r="F65" t="s">
        <v>3</v>
      </c>
      <c r="G65" t="s">
        <v>59</v>
      </c>
      <c r="H65" t="s">
        <v>60</v>
      </c>
      <c r="I65" t="s">
        <v>14</v>
      </c>
      <c r="J65" t="s">
        <v>61</v>
      </c>
      <c r="K65" t="s">
        <v>38</v>
      </c>
      <c r="L65" t="s">
        <v>82</v>
      </c>
      <c r="M65">
        <v>274</v>
      </c>
      <c r="N65">
        <v>2</v>
      </c>
      <c r="O65">
        <v>0.45</v>
      </c>
      <c r="P65">
        <v>-44.838000000000001</v>
      </c>
      <c r="Q65">
        <v>42.19</v>
      </c>
      <c r="R65" t="s">
        <v>23</v>
      </c>
      <c r="S65">
        <f>Sheet1[[#This Row],[Ship_date]]-Sheet1[[#This Row],[Order_date]]</f>
        <v>4</v>
      </c>
      <c r="T65">
        <f>Sheet1[[#This Row],[Quantity]]*Sheet1[[#This Row],[Sales]]</f>
        <v>548</v>
      </c>
      <c r="U65">
        <f>Sheet1[[#This Row],[Total Sales]]*Sheet1[[#This Row],[Discount]]</f>
        <v>246.6</v>
      </c>
      <c r="V65" s="4">
        <f>Sheet1[[#This Row],[Total Sales]]-Sheet1[[#This Row],[Total Sales]]*Sheet1[[#This Row],[Discount]]</f>
        <v>301.39999999999998</v>
      </c>
      <c r="W65" s="4">
        <f>Sheet1[[#This Row],[Quantity]]*Sheet1[[#This Row],[Profit]]</f>
        <v>-89.676000000000002</v>
      </c>
      <c r="X65" s="5">
        <f>Sheet1[[#This Row],[Total Profit]]/Sheet1[[#This Row],[Sales After Discount]]</f>
        <v>-0.29753151957531521</v>
      </c>
      <c r="Y65" s="4">
        <f>Sheet1[[#This Row],[Shipping_cost]]*Sheet1[[#This Row],[Quantity]]</f>
        <v>84.38</v>
      </c>
      <c r="Z65" s="4">
        <f>Sheet1[[#This Row],[Total Profit]]-Sheet1[[#This Row],[Total Shipping Cost]]</f>
        <v>-174.05599999999998</v>
      </c>
      <c r="AA65" s="4" t="str">
        <f>IF(Sheet1[[#This Row],[Net Profit]]&gt;0,"Profit","Loss")</f>
        <v>Loss</v>
      </c>
    </row>
    <row r="66" spans="1:27" x14ac:dyDescent="0.25">
      <c r="A66" t="s">
        <v>182</v>
      </c>
      <c r="B66" s="1">
        <v>40550</v>
      </c>
      <c r="C66" s="1">
        <v>40551</v>
      </c>
      <c r="D66" t="s">
        <v>142</v>
      </c>
      <c r="E66" t="s">
        <v>183</v>
      </c>
      <c r="F66" t="s">
        <v>43</v>
      </c>
      <c r="G66" t="s">
        <v>184</v>
      </c>
      <c r="H66" t="s">
        <v>115</v>
      </c>
      <c r="I66" t="s">
        <v>29</v>
      </c>
      <c r="J66" t="s">
        <v>76</v>
      </c>
      <c r="K66" t="s">
        <v>7</v>
      </c>
      <c r="L66" t="s">
        <v>8</v>
      </c>
      <c r="M66">
        <v>716</v>
      </c>
      <c r="N66">
        <v>4</v>
      </c>
      <c r="O66">
        <v>0.1</v>
      </c>
      <c r="P66">
        <v>143.16</v>
      </c>
      <c r="Q66">
        <v>32.46</v>
      </c>
      <c r="R66" t="s">
        <v>9</v>
      </c>
      <c r="S66">
        <f>Sheet1[[#This Row],[Ship_date]]-Sheet1[[#This Row],[Order_date]]</f>
        <v>1</v>
      </c>
      <c r="T66">
        <f>Sheet1[[#This Row],[Quantity]]*Sheet1[[#This Row],[Sales]]</f>
        <v>2864</v>
      </c>
      <c r="U66">
        <f>Sheet1[[#This Row],[Total Sales]]*Sheet1[[#This Row],[Discount]]</f>
        <v>286.40000000000003</v>
      </c>
      <c r="V66" s="4">
        <f>Sheet1[[#This Row],[Total Sales]]-Sheet1[[#This Row],[Total Sales]]*Sheet1[[#This Row],[Discount]]</f>
        <v>2577.6</v>
      </c>
      <c r="W66" s="4">
        <f>Sheet1[[#This Row],[Quantity]]*Sheet1[[#This Row],[Profit]]</f>
        <v>572.64</v>
      </c>
      <c r="X66" s="5">
        <f>Sheet1[[#This Row],[Total Profit]]/Sheet1[[#This Row],[Sales After Discount]]</f>
        <v>0.22216014897579145</v>
      </c>
      <c r="Y66" s="4">
        <f>Sheet1[[#This Row],[Shipping_cost]]*Sheet1[[#This Row],[Quantity]]</f>
        <v>129.84</v>
      </c>
      <c r="Z66" s="4">
        <f>Sheet1[[#This Row],[Total Profit]]-Sheet1[[#This Row],[Total Shipping Cost]]</f>
        <v>442.79999999999995</v>
      </c>
      <c r="AA66" s="4" t="str">
        <f>IF(Sheet1[[#This Row],[Net Profit]]&gt;0,"Profit","Loss")</f>
        <v>Profit</v>
      </c>
    </row>
    <row r="67" spans="1:27" x14ac:dyDescent="0.25">
      <c r="A67" t="s">
        <v>180</v>
      </c>
      <c r="B67" s="1">
        <v>40550</v>
      </c>
      <c r="C67" s="1">
        <v>40554</v>
      </c>
      <c r="D67" t="s">
        <v>1</v>
      </c>
      <c r="E67" t="s">
        <v>181</v>
      </c>
      <c r="F67" t="s">
        <v>3</v>
      </c>
      <c r="G67" t="s">
        <v>59</v>
      </c>
      <c r="H67" t="s">
        <v>60</v>
      </c>
      <c r="I67" t="s">
        <v>14</v>
      </c>
      <c r="J67" t="s">
        <v>61</v>
      </c>
      <c r="K67" t="s">
        <v>38</v>
      </c>
      <c r="L67" t="s">
        <v>39</v>
      </c>
      <c r="M67">
        <v>388</v>
      </c>
      <c r="N67">
        <v>3</v>
      </c>
      <c r="O67">
        <v>0.25</v>
      </c>
      <c r="P67">
        <v>25.807500000000001</v>
      </c>
      <c r="Q67">
        <v>26.2</v>
      </c>
      <c r="R67" t="s">
        <v>23</v>
      </c>
      <c r="S67">
        <f>Sheet1[[#This Row],[Ship_date]]-Sheet1[[#This Row],[Order_date]]</f>
        <v>4</v>
      </c>
      <c r="T67">
        <f>Sheet1[[#This Row],[Quantity]]*Sheet1[[#This Row],[Sales]]</f>
        <v>1164</v>
      </c>
      <c r="U67">
        <f>Sheet1[[#This Row],[Total Sales]]*Sheet1[[#This Row],[Discount]]</f>
        <v>291</v>
      </c>
      <c r="V67" s="4">
        <f>Sheet1[[#This Row],[Total Sales]]-Sheet1[[#This Row],[Total Sales]]*Sheet1[[#This Row],[Discount]]</f>
        <v>873</v>
      </c>
      <c r="W67" s="4">
        <f>Sheet1[[#This Row],[Quantity]]*Sheet1[[#This Row],[Profit]]</f>
        <v>77.422499999999999</v>
      </c>
      <c r="X67" s="5">
        <f>Sheet1[[#This Row],[Total Profit]]/Sheet1[[#This Row],[Sales After Discount]]</f>
        <v>8.8685567010309274E-2</v>
      </c>
      <c r="Y67" s="4">
        <f>Sheet1[[#This Row],[Shipping_cost]]*Sheet1[[#This Row],[Quantity]]</f>
        <v>78.599999999999994</v>
      </c>
      <c r="Z67" s="4">
        <f>Sheet1[[#This Row],[Total Profit]]-Sheet1[[#This Row],[Total Shipping Cost]]</f>
        <v>-1.1774999999999949</v>
      </c>
      <c r="AA67" s="4" t="str">
        <f>IF(Sheet1[[#This Row],[Net Profit]]&gt;0,"Profit","Loss")</f>
        <v>Loss</v>
      </c>
    </row>
    <row r="68" spans="1:27" x14ac:dyDescent="0.25">
      <c r="A68" t="s">
        <v>185</v>
      </c>
      <c r="B68" s="1">
        <v>40550</v>
      </c>
      <c r="C68" s="1">
        <v>40554</v>
      </c>
      <c r="D68" t="s">
        <v>1</v>
      </c>
      <c r="E68" t="s">
        <v>186</v>
      </c>
      <c r="F68" t="s">
        <v>43</v>
      </c>
      <c r="G68" t="s">
        <v>187</v>
      </c>
      <c r="H68" t="s">
        <v>188</v>
      </c>
      <c r="I68" t="s">
        <v>22</v>
      </c>
      <c r="J68" t="s">
        <v>22</v>
      </c>
      <c r="K68" t="s">
        <v>38</v>
      </c>
      <c r="L68" t="s">
        <v>50</v>
      </c>
      <c r="M68">
        <v>174</v>
      </c>
      <c r="N68">
        <v>1</v>
      </c>
      <c r="O68">
        <v>0</v>
      </c>
      <c r="P68">
        <v>71.459999999999994</v>
      </c>
      <c r="Q68">
        <v>23.84</v>
      </c>
      <c r="R68" t="s">
        <v>23</v>
      </c>
      <c r="S68">
        <f>Sheet1[[#This Row],[Ship_date]]-Sheet1[[#This Row],[Order_date]]</f>
        <v>4</v>
      </c>
      <c r="T68">
        <f>Sheet1[[#This Row],[Quantity]]*Sheet1[[#This Row],[Sales]]</f>
        <v>174</v>
      </c>
      <c r="U68">
        <f>Sheet1[[#This Row],[Total Sales]]*Sheet1[[#This Row],[Discount]]</f>
        <v>0</v>
      </c>
      <c r="V68" s="4">
        <f>Sheet1[[#This Row],[Total Sales]]-Sheet1[[#This Row],[Total Sales]]*Sheet1[[#This Row],[Discount]]</f>
        <v>174</v>
      </c>
      <c r="W68" s="4">
        <f>Sheet1[[#This Row],[Quantity]]*Sheet1[[#This Row],[Profit]]</f>
        <v>71.459999999999994</v>
      </c>
      <c r="X68" s="5">
        <f>Sheet1[[#This Row],[Total Profit]]/Sheet1[[#This Row],[Sales After Discount]]</f>
        <v>0.41068965517241374</v>
      </c>
      <c r="Y68" s="4">
        <f>Sheet1[[#This Row],[Shipping_cost]]*Sheet1[[#This Row],[Quantity]]</f>
        <v>23.84</v>
      </c>
      <c r="Z68" s="4">
        <f>Sheet1[[#This Row],[Total Profit]]-Sheet1[[#This Row],[Total Shipping Cost]]</f>
        <v>47.61999999999999</v>
      </c>
      <c r="AA68" s="4" t="str">
        <f>IF(Sheet1[[#This Row],[Net Profit]]&gt;0,"Profit","Loss")</f>
        <v>Profit</v>
      </c>
    </row>
    <row r="69" spans="1:27" x14ac:dyDescent="0.25">
      <c r="A69" t="s">
        <v>174</v>
      </c>
      <c r="B69" s="1">
        <v>40550</v>
      </c>
      <c r="C69" s="1">
        <v>40554</v>
      </c>
      <c r="D69" t="s">
        <v>1</v>
      </c>
      <c r="E69" t="s">
        <v>175</v>
      </c>
      <c r="F69" t="s">
        <v>26</v>
      </c>
      <c r="G69" t="s">
        <v>176</v>
      </c>
      <c r="H69" t="s">
        <v>126</v>
      </c>
      <c r="I69" t="s">
        <v>127</v>
      </c>
      <c r="J69" t="s">
        <v>102</v>
      </c>
      <c r="K69" t="s">
        <v>38</v>
      </c>
      <c r="L69" t="s">
        <v>77</v>
      </c>
      <c r="M69">
        <v>756</v>
      </c>
      <c r="N69">
        <v>4</v>
      </c>
      <c r="O69">
        <v>0</v>
      </c>
      <c r="P69">
        <v>204.10919999999999</v>
      </c>
      <c r="Q69">
        <v>13.82</v>
      </c>
      <c r="R69" t="s">
        <v>23</v>
      </c>
      <c r="S69">
        <f>Sheet1[[#This Row],[Ship_date]]-Sheet1[[#This Row],[Order_date]]</f>
        <v>4</v>
      </c>
      <c r="T69">
        <f>Sheet1[[#This Row],[Quantity]]*Sheet1[[#This Row],[Sales]]</f>
        <v>3024</v>
      </c>
      <c r="U69">
        <f>Sheet1[[#This Row],[Total Sales]]*Sheet1[[#This Row],[Discount]]</f>
        <v>0</v>
      </c>
      <c r="V69" s="4">
        <f>Sheet1[[#This Row],[Total Sales]]-Sheet1[[#This Row],[Total Sales]]*Sheet1[[#This Row],[Discount]]</f>
        <v>3024</v>
      </c>
      <c r="W69" s="4">
        <f>Sheet1[[#This Row],[Quantity]]*Sheet1[[#This Row],[Profit]]</f>
        <v>816.43679999999995</v>
      </c>
      <c r="X69" s="5">
        <f>Sheet1[[#This Row],[Total Profit]]/Sheet1[[#This Row],[Sales After Discount]]</f>
        <v>0.26998571428571427</v>
      </c>
      <c r="Y69" s="4">
        <f>Sheet1[[#This Row],[Shipping_cost]]*Sheet1[[#This Row],[Quantity]]</f>
        <v>55.28</v>
      </c>
      <c r="Z69" s="4">
        <f>Sheet1[[#This Row],[Total Profit]]-Sheet1[[#This Row],[Total Shipping Cost]]</f>
        <v>761.15679999999998</v>
      </c>
      <c r="AA69" s="4" t="str">
        <f>IF(Sheet1[[#This Row],[Net Profit]]&gt;0,"Profit","Loss")</f>
        <v>Profit</v>
      </c>
    </row>
    <row r="70" spans="1:27" x14ac:dyDescent="0.25">
      <c r="A70" t="s">
        <v>177</v>
      </c>
      <c r="B70" s="1">
        <v>40550</v>
      </c>
      <c r="C70" s="1">
        <v>40553</v>
      </c>
      <c r="D70" t="s">
        <v>142</v>
      </c>
      <c r="E70" t="s">
        <v>73</v>
      </c>
      <c r="F70" t="s">
        <v>3</v>
      </c>
      <c r="G70" t="s">
        <v>178</v>
      </c>
      <c r="H70" t="s">
        <v>179</v>
      </c>
      <c r="I70" t="s">
        <v>6</v>
      </c>
      <c r="J70" t="s">
        <v>6</v>
      </c>
      <c r="K70" t="s">
        <v>7</v>
      </c>
      <c r="L70" t="s">
        <v>91</v>
      </c>
      <c r="M70">
        <v>45</v>
      </c>
      <c r="N70">
        <v>1</v>
      </c>
      <c r="O70">
        <v>0</v>
      </c>
      <c r="P70">
        <v>8.49</v>
      </c>
      <c r="Q70">
        <v>13.7</v>
      </c>
      <c r="R70" t="s">
        <v>23</v>
      </c>
      <c r="S70">
        <f>Sheet1[[#This Row],[Ship_date]]-Sheet1[[#This Row],[Order_date]]</f>
        <v>3</v>
      </c>
      <c r="T70">
        <f>Sheet1[[#This Row],[Quantity]]*Sheet1[[#This Row],[Sales]]</f>
        <v>45</v>
      </c>
      <c r="U70">
        <f>Sheet1[[#This Row],[Total Sales]]*Sheet1[[#This Row],[Discount]]</f>
        <v>0</v>
      </c>
      <c r="V70" s="4">
        <f>Sheet1[[#This Row],[Total Sales]]-Sheet1[[#This Row],[Total Sales]]*Sheet1[[#This Row],[Discount]]</f>
        <v>45</v>
      </c>
      <c r="W70" s="4">
        <f>Sheet1[[#This Row],[Quantity]]*Sheet1[[#This Row],[Profit]]</f>
        <v>8.49</v>
      </c>
      <c r="X70" s="5">
        <f>Sheet1[[#This Row],[Total Profit]]/Sheet1[[#This Row],[Sales After Discount]]</f>
        <v>0.18866666666666668</v>
      </c>
      <c r="Y70" s="4">
        <f>Sheet1[[#This Row],[Shipping_cost]]*Sheet1[[#This Row],[Quantity]]</f>
        <v>13.7</v>
      </c>
      <c r="Z70" s="4">
        <f>Sheet1[[#This Row],[Total Profit]]-Sheet1[[#This Row],[Total Shipping Cost]]</f>
        <v>-5.2099999999999991</v>
      </c>
      <c r="AA70" s="4" t="str">
        <f>IF(Sheet1[[#This Row],[Net Profit]]&gt;0,"Profit","Loss")</f>
        <v>Loss</v>
      </c>
    </row>
    <row r="71" spans="1:27" x14ac:dyDescent="0.25">
      <c r="A71" t="s">
        <v>182</v>
      </c>
      <c r="B71" s="1">
        <v>40550</v>
      </c>
      <c r="C71" s="1">
        <v>40551</v>
      </c>
      <c r="D71" t="s">
        <v>142</v>
      </c>
      <c r="E71" t="s">
        <v>183</v>
      </c>
      <c r="F71" t="s">
        <v>43</v>
      </c>
      <c r="G71" t="s">
        <v>184</v>
      </c>
      <c r="H71" t="s">
        <v>115</v>
      </c>
      <c r="I71" t="s">
        <v>29</v>
      </c>
      <c r="J71" t="s">
        <v>76</v>
      </c>
      <c r="K71" t="s">
        <v>7</v>
      </c>
      <c r="L71" t="s">
        <v>97</v>
      </c>
      <c r="M71">
        <v>33</v>
      </c>
      <c r="N71">
        <v>3</v>
      </c>
      <c r="O71">
        <v>0</v>
      </c>
      <c r="P71">
        <v>2.25</v>
      </c>
      <c r="Q71">
        <v>9.73</v>
      </c>
      <c r="R71" t="s">
        <v>9</v>
      </c>
      <c r="S71">
        <f>Sheet1[[#This Row],[Ship_date]]-Sheet1[[#This Row],[Order_date]]</f>
        <v>1</v>
      </c>
      <c r="T71">
        <f>Sheet1[[#This Row],[Quantity]]*Sheet1[[#This Row],[Sales]]</f>
        <v>99</v>
      </c>
      <c r="U71">
        <f>Sheet1[[#This Row],[Total Sales]]*Sheet1[[#This Row],[Discount]]</f>
        <v>0</v>
      </c>
      <c r="V71" s="4">
        <f>Sheet1[[#This Row],[Total Sales]]-Sheet1[[#This Row],[Total Sales]]*Sheet1[[#This Row],[Discount]]</f>
        <v>99</v>
      </c>
      <c r="W71" s="4">
        <f>Sheet1[[#This Row],[Quantity]]*Sheet1[[#This Row],[Profit]]</f>
        <v>6.75</v>
      </c>
      <c r="X71" s="5">
        <f>Sheet1[[#This Row],[Total Profit]]/Sheet1[[#This Row],[Sales After Discount]]</f>
        <v>6.8181818181818177E-2</v>
      </c>
      <c r="Y71" s="4">
        <f>Sheet1[[#This Row],[Shipping_cost]]*Sheet1[[#This Row],[Quantity]]</f>
        <v>29.19</v>
      </c>
      <c r="Z71" s="4">
        <f>Sheet1[[#This Row],[Total Profit]]-Sheet1[[#This Row],[Total Shipping Cost]]</f>
        <v>-22.44</v>
      </c>
      <c r="AA71" s="4" t="str">
        <f>IF(Sheet1[[#This Row],[Net Profit]]&gt;0,"Profit","Loss")</f>
        <v>Loss</v>
      </c>
    </row>
    <row r="72" spans="1:27" x14ac:dyDescent="0.25">
      <c r="A72" t="s">
        <v>182</v>
      </c>
      <c r="B72" s="1">
        <v>40550</v>
      </c>
      <c r="C72" s="1">
        <v>40551</v>
      </c>
      <c r="D72" t="s">
        <v>142</v>
      </c>
      <c r="E72" t="s">
        <v>183</v>
      </c>
      <c r="F72" t="s">
        <v>43</v>
      </c>
      <c r="G72" t="s">
        <v>184</v>
      </c>
      <c r="H72" t="s">
        <v>115</v>
      </c>
      <c r="I72" t="s">
        <v>29</v>
      </c>
      <c r="J72" t="s">
        <v>76</v>
      </c>
      <c r="K72" t="s">
        <v>32</v>
      </c>
      <c r="L72" t="s">
        <v>67</v>
      </c>
      <c r="M72">
        <v>155</v>
      </c>
      <c r="N72">
        <v>1</v>
      </c>
      <c r="O72">
        <v>0.1</v>
      </c>
      <c r="P72">
        <v>36.228000000000002</v>
      </c>
      <c r="Q72">
        <v>5.72</v>
      </c>
      <c r="R72" t="s">
        <v>9</v>
      </c>
      <c r="S72">
        <f>Sheet1[[#This Row],[Ship_date]]-Sheet1[[#This Row],[Order_date]]</f>
        <v>1</v>
      </c>
      <c r="T72">
        <f>Sheet1[[#This Row],[Quantity]]*Sheet1[[#This Row],[Sales]]</f>
        <v>155</v>
      </c>
      <c r="U72">
        <f>Sheet1[[#This Row],[Total Sales]]*Sheet1[[#This Row],[Discount]]</f>
        <v>15.5</v>
      </c>
      <c r="V72" s="4">
        <f>Sheet1[[#This Row],[Total Sales]]-Sheet1[[#This Row],[Total Sales]]*Sheet1[[#This Row],[Discount]]</f>
        <v>139.5</v>
      </c>
      <c r="W72" s="4">
        <f>Sheet1[[#This Row],[Quantity]]*Sheet1[[#This Row],[Profit]]</f>
        <v>36.228000000000002</v>
      </c>
      <c r="X72" s="5">
        <f>Sheet1[[#This Row],[Total Profit]]/Sheet1[[#This Row],[Sales After Discount]]</f>
        <v>0.25969892473118283</v>
      </c>
      <c r="Y72" s="4">
        <f>Sheet1[[#This Row],[Shipping_cost]]*Sheet1[[#This Row],[Quantity]]</f>
        <v>5.72</v>
      </c>
      <c r="Z72" s="4">
        <f>Sheet1[[#This Row],[Total Profit]]-Sheet1[[#This Row],[Total Shipping Cost]]</f>
        <v>30.508000000000003</v>
      </c>
      <c r="AA72" s="4" t="str">
        <f>IF(Sheet1[[#This Row],[Net Profit]]&gt;0,"Profit","Loss")</f>
        <v>Profit</v>
      </c>
    </row>
    <row r="73" spans="1:27" x14ac:dyDescent="0.25">
      <c r="A73" t="s">
        <v>189</v>
      </c>
      <c r="B73" s="1">
        <v>40550</v>
      </c>
      <c r="C73" s="1">
        <v>40552</v>
      </c>
      <c r="D73" t="s">
        <v>18</v>
      </c>
      <c r="E73" t="s">
        <v>190</v>
      </c>
      <c r="F73" t="s">
        <v>3</v>
      </c>
      <c r="G73" t="s">
        <v>191</v>
      </c>
      <c r="H73" t="s">
        <v>126</v>
      </c>
      <c r="I73" t="s">
        <v>127</v>
      </c>
      <c r="J73" t="s">
        <v>192</v>
      </c>
      <c r="K73" t="s">
        <v>7</v>
      </c>
      <c r="L73" t="s">
        <v>31</v>
      </c>
      <c r="M73">
        <v>19</v>
      </c>
      <c r="N73">
        <v>3</v>
      </c>
      <c r="O73">
        <v>0</v>
      </c>
      <c r="P73">
        <v>9.3312000000000008</v>
      </c>
      <c r="Q73">
        <v>4.37</v>
      </c>
      <c r="R73" t="s">
        <v>23</v>
      </c>
      <c r="S73">
        <f>Sheet1[[#This Row],[Ship_date]]-Sheet1[[#This Row],[Order_date]]</f>
        <v>2</v>
      </c>
      <c r="T73">
        <f>Sheet1[[#This Row],[Quantity]]*Sheet1[[#This Row],[Sales]]</f>
        <v>57</v>
      </c>
      <c r="U73">
        <f>Sheet1[[#This Row],[Total Sales]]*Sheet1[[#This Row],[Discount]]</f>
        <v>0</v>
      </c>
      <c r="V73" s="4">
        <f>Sheet1[[#This Row],[Total Sales]]-Sheet1[[#This Row],[Total Sales]]*Sheet1[[#This Row],[Discount]]</f>
        <v>57</v>
      </c>
      <c r="W73" s="4">
        <f>Sheet1[[#This Row],[Quantity]]*Sheet1[[#This Row],[Profit]]</f>
        <v>27.993600000000001</v>
      </c>
      <c r="X73" s="5">
        <f>Sheet1[[#This Row],[Total Profit]]/Sheet1[[#This Row],[Sales After Discount]]</f>
        <v>0.49111578947368423</v>
      </c>
      <c r="Y73" s="4">
        <f>Sheet1[[#This Row],[Shipping_cost]]*Sheet1[[#This Row],[Quantity]]</f>
        <v>13.11</v>
      </c>
      <c r="Z73" s="4">
        <f>Sheet1[[#This Row],[Total Profit]]-Sheet1[[#This Row],[Total Shipping Cost]]</f>
        <v>14.883600000000001</v>
      </c>
      <c r="AA73" s="4" t="str">
        <f>IF(Sheet1[[#This Row],[Net Profit]]&gt;0,"Profit","Loss")</f>
        <v>Profit</v>
      </c>
    </row>
    <row r="74" spans="1:27" x14ac:dyDescent="0.25">
      <c r="A74" t="s">
        <v>193</v>
      </c>
      <c r="B74" s="1">
        <v>40550</v>
      </c>
      <c r="C74" s="1">
        <v>40554</v>
      </c>
      <c r="D74" t="s">
        <v>1</v>
      </c>
      <c r="E74" t="s">
        <v>194</v>
      </c>
      <c r="F74" t="s">
        <v>43</v>
      </c>
      <c r="G74" t="s">
        <v>195</v>
      </c>
      <c r="H74" t="s">
        <v>5</v>
      </c>
      <c r="I74" t="s">
        <v>6</v>
      </c>
      <c r="J74" t="s">
        <v>6</v>
      </c>
      <c r="K74" t="s">
        <v>7</v>
      </c>
      <c r="L74" t="s">
        <v>91</v>
      </c>
      <c r="M74">
        <v>91</v>
      </c>
      <c r="N74">
        <v>2</v>
      </c>
      <c r="O74">
        <v>0</v>
      </c>
      <c r="P74">
        <v>14.58</v>
      </c>
      <c r="Q74">
        <v>4.3600000000000003</v>
      </c>
      <c r="R74" t="s">
        <v>9</v>
      </c>
      <c r="S74">
        <f>Sheet1[[#This Row],[Ship_date]]-Sheet1[[#This Row],[Order_date]]</f>
        <v>4</v>
      </c>
      <c r="T74">
        <f>Sheet1[[#This Row],[Quantity]]*Sheet1[[#This Row],[Sales]]</f>
        <v>182</v>
      </c>
      <c r="U74">
        <f>Sheet1[[#This Row],[Total Sales]]*Sheet1[[#This Row],[Discount]]</f>
        <v>0</v>
      </c>
      <c r="V74" s="4">
        <f>Sheet1[[#This Row],[Total Sales]]-Sheet1[[#This Row],[Total Sales]]*Sheet1[[#This Row],[Discount]]</f>
        <v>182</v>
      </c>
      <c r="W74" s="4">
        <f>Sheet1[[#This Row],[Quantity]]*Sheet1[[#This Row],[Profit]]</f>
        <v>29.16</v>
      </c>
      <c r="X74" s="5">
        <f>Sheet1[[#This Row],[Total Profit]]/Sheet1[[#This Row],[Sales After Discount]]</f>
        <v>0.16021978021978023</v>
      </c>
      <c r="Y74" s="4">
        <f>Sheet1[[#This Row],[Shipping_cost]]*Sheet1[[#This Row],[Quantity]]</f>
        <v>8.7200000000000006</v>
      </c>
      <c r="Z74" s="4">
        <f>Sheet1[[#This Row],[Total Profit]]-Sheet1[[#This Row],[Total Shipping Cost]]</f>
        <v>20.439999999999998</v>
      </c>
      <c r="AA74" s="4" t="str">
        <f>IF(Sheet1[[#This Row],[Net Profit]]&gt;0,"Profit","Loss")</f>
        <v>Profit</v>
      </c>
    </row>
    <row r="75" spans="1:27" x14ac:dyDescent="0.25">
      <c r="A75" t="s">
        <v>196</v>
      </c>
      <c r="B75" s="1">
        <v>40550</v>
      </c>
      <c r="C75" s="1">
        <v>40550</v>
      </c>
      <c r="D75" t="s">
        <v>41</v>
      </c>
      <c r="E75" t="s">
        <v>64</v>
      </c>
      <c r="F75" t="s">
        <v>3</v>
      </c>
      <c r="G75" t="s">
        <v>197</v>
      </c>
      <c r="H75" t="s">
        <v>101</v>
      </c>
      <c r="I75" t="s">
        <v>75</v>
      </c>
      <c r="J75" t="s">
        <v>102</v>
      </c>
      <c r="K75" t="s">
        <v>7</v>
      </c>
      <c r="L75" t="s">
        <v>97</v>
      </c>
      <c r="M75">
        <v>43</v>
      </c>
      <c r="N75">
        <v>4</v>
      </c>
      <c r="O75">
        <v>0</v>
      </c>
      <c r="P75">
        <v>6</v>
      </c>
      <c r="Q75">
        <v>3.94</v>
      </c>
      <c r="R75" t="s">
        <v>23</v>
      </c>
      <c r="S75">
        <f>Sheet1[[#This Row],[Ship_date]]-Sheet1[[#This Row],[Order_date]]</f>
        <v>0</v>
      </c>
      <c r="T75">
        <f>Sheet1[[#This Row],[Quantity]]*Sheet1[[#This Row],[Sales]]</f>
        <v>172</v>
      </c>
      <c r="U75">
        <f>Sheet1[[#This Row],[Total Sales]]*Sheet1[[#This Row],[Discount]]</f>
        <v>0</v>
      </c>
      <c r="V75" s="4">
        <f>Sheet1[[#This Row],[Total Sales]]-Sheet1[[#This Row],[Total Sales]]*Sheet1[[#This Row],[Discount]]</f>
        <v>172</v>
      </c>
      <c r="W75" s="4">
        <f>Sheet1[[#This Row],[Quantity]]*Sheet1[[#This Row],[Profit]]</f>
        <v>24</v>
      </c>
      <c r="X75" s="5">
        <f>Sheet1[[#This Row],[Total Profit]]/Sheet1[[#This Row],[Sales After Discount]]</f>
        <v>0.13953488372093023</v>
      </c>
      <c r="Y75" s="4">
        <f>Sheet1[[#This Row],[Shipping_cost]]*Sheet1[[#This Row],[Quantity]]</f>
        <v>15.76</v>
      </c>
      <c r="Z75" s="4">
        <f>Sheet1[[#This Row],[Total Profit]]-Sheet1[[#This Row],[Total Shipping Cost]]</f>
        <v>8.24</v>
      </c>
      <c r="AA75" s="4" t="str">
        <f>IF(Sheet1[[#This Row],[Net Profit]]&gt;0,"Profit","Loss")</f>
        <v>Profit</v>
      </c>
    </row>
    <row r="76" spans="1:27" x14ac:dyDescent="0.25">
      <c r="A76" t="s">
        <v>196</v>
      </c>
      <c r="B76" s="1">
        <v>40550</v>
      </c>
      <c r="C76" s="1">
        <v>40550</v>
      </c>
      <c r="D76" t="s">
        <v>41</v>
      </c>
      <c r="E76" t="s">
        <v>64</v>
      </c>
      <c r="F76" t="s">
        <v>3</v>
      </c>
      <c r="G76" t="s">
        <v>197</v>
      </c>
      <c r="H76" t="s">
        <v>101</v>
      </c>
      <c r="I76" t="s">
        <v>75</v>
      </c>
      <c r="J76" t="s">
        <v>102</v>
      </c>
      <c r="K76" t="s">
        <v>7</v>
      </c>
      <c r="L76" t="s">
        <v>137</v>
      </c>
      <c r="M76">
        <v>19</v>
      </c>
      <c r="N76">
        <v>3</v>
      </c>
      <c r="O76">
        <v>0</v>
      </c>
      <c r="P76">
        <v>2.4</v>
      </c>
      <c r="Q76">
        <v>3.69</v>
      </c>
      <c r="R76" t="s">
        <v>23</v>
      </c>
      <c r="S76">
        <f>Sheet1[[#This Row],[Ship_date]]-Sheet1[[#This Row],[Order_date]]</f>
        <v>0</v>
      </c>
      <c r="T76">
        <f>Sheet1[[#This Row],[Quantity]]*Sheet1[[#This Row],[Sales]]</f>
        <v>57</v>
      </c>
      <c r="U76">
        <f>Sheet1[[#This Row],[Total Sales]]*Sheet1[[#This Row],[Discount]]</f>
        <v>0</v>
      </c>
      <c r="V76" s="4">
        <f>Sheet1[[#This Row],[Total Sales]]-Sheet1[[#This Row],[Total Sales]]*Sheet1[[#This Row],[Discount]]</f>
        <v>57</v>
      </c>
      <c r="W76" s="4">
        <f>Sheet1[[#This Row],[Quantity]]*Sheet1[[#This Row],[Profit]]</f>
        <v>7.1999999999999993</v>
      </c>
      <c r="X76" s="5">
        <f>Sheet1[[#This Row],[Total Profit]]/Sheet1[[#This Row],[Sales After Discount]]</f>
        <v>0.12631578947368419</v>
      </c>
      <c r="Y76" s="4">
        <f>Sheet1[[#This Row],[Shipping_cost]]*Sheet1[[#This Row],[Quantity]]</f>
        <v>11.07</v>
      </c>
      <c r="Z76" s="4">
        <f>Sheet1[[#This Row],[Total Profit]]-Sheet1[[#This Row],[Total Shipping Cost]]</f>
        <v>-3.870000000000001</v>
      </c>
      <c r="AA76" s="4" t="str">
        <f>IF(Sheet1[[#This Row],[Net Profit]]&gt;0,"Profit","Loss")</f>
        <v>Loss</v>
      </c>
    </row>
    <row r="77" spans="1:27" x14ac:dyDescent="0.25">
      <c r="A77" t="s">
        <v>198</v>
      </c>
      <c r="B77" s="1">
        <v>40550</v>
      </c>
      <c r="C77" s="1">
        <v>40551</v>
      </c>
      <c r="D77" t="s">
        <v>142</v>
      </c>
      <c r="E77" t="s">
        <v>199</v>
      </c>
      <c r="F77" t="s">
        <v>43</v>
      </c>
      <c r="G77" t="s">
        <v>200</v>
      </c>
      <c r="H77" t="s">
        <v>126</v>
      </c>
      <c r="I77" t="s">
        <v>127</v>
      </c>
      <c r="J77" t="s">
        <v>102</v>
      </c>
      <c r="K77" t="s">
        <v>7</v>
      </c>
      <c r="L77" t="s">
        <v>91</v>
      </c>
      <c r="M77">
        <v>13</v>
      </c>
      <c r="N77">
        <v>3</v>
      </c>
      <c r="O77">
        <v>0</v>
      </c>
      <c r="P77">
        <v>5.2397999999999998</v>
      </c>
      <c r="Q77">
        <v>3.51</v>
      </c>
      <c r="R77" t="s">
        <v>45</v>
      </c>
      <c r="S77">
        <f>Sheet1[[#This Row],[Ship_date]]-Sheet1[[#This Row],[Order_date]]</f>
        <v>1</v>
      </c>
      <c r="T77">
        <f>Sheet1[[#This Row],[Quantity]]*Sheet1[[#This Row],[Sales]]</f>
        <v>39</v>
      </c>
      <c r="U77">
        <f>Sheet1[[#This Row],[Total Sales]]*Sheet1[[#This Row],[Discount]]</f>
        <v>0</v>
      </c>
      <c r="V77" s="4">
        <f>Sheet1[[#This Row],[Total Sales]]-Sheet1[[#This Row],[Total Sales]]*Sheet1[[#This Row],[Discount]]</f>
        <v>39</v>
      </c>
      <c r="W77" s="4">
        <f>Sheet1[[#This Row],[Quantity]]*Sheet1[[#This Row],[Profit]]</f>
        <v>15.7194</v>
      </c>
      <c r="X77" s="5">
        <f>Sheet1[[#This Row],[Total Profit]]/Sheet1[[#This Row],[Sales After Discount]]</f>
        <v>0.40306153846153847</v>
      </c>
      <c r="Y77" s="4">
        <f>Sheet1[[#This Row],[Shipping_cost]]*Sheet1[[#This Row],[Quantity]]</f>
        <v>10.53</v>
      </c>
      <c r="Z77" s="4">
        <f>Sheet1[[#This Row],[Total Profit]]-Sheet1[[#This Row],[Total Shipping Cost]]</f>
        <v>5.1894000000000009</v>
      </c>
      <c r="AA77" s="4" t="str">
        <f>IF(Sheet1[[#This Row],[Net Profit]]&gt;0,"Profit","Loss")</f>
        <v>Profit</v>
      </c>
    </row>
    <row r="78" spans="1:27" x14ac:dyDescent="0.25">
      <c r="A78" t="s">
        <v>180</v>
      </c>
      <c r="B78" s="1">
        <v>40550</v>
      </c>
      <c r="C78" s="1">
        <v>40554</v>
      </c>
      <c r="D78" t="s">
        <v>1</v>
      </c>
      <c r="E78" t="s">
        <v>181</v>
      </c>
      <c r="F78" t="s">
        <v>3</v>
      </c>
      <c r="G78" t="s">
        <v>59</v>
      </c>
      <c r="H78" t="s">
        <v>60</v>
      </c>
      <c r="I78" t="s">
        <v>14</v>
      </c>
      <c r="J78" t="s">
        <v>61</v>
      </c>
      <c r="K78" t="s">
        <v>7</v>
      </c>
      <c r="L78" t="s">
        <v>91</v>
      </c>
      <c r="M78">
        <v>27</v>
      </c>
      <c r="N78">
        <v>1</v>
      </c>
      <c r="O78">
        <v>0.45</v>
      </c>
      <c r="P78">
        <v>-4.4939999999999998</v>
      </c>
      <c r="Q78">
        <v>3.21</v>
      </c>
      <c r="R78" t="s">
        <v>23</v>
      </c>
      <c r="S78">
        <f>Sheet1[[#This Row],[Ship_date]]-Sheet1[[#This Row],[Order_date]]</f>
        <v>4</v>
      </c>
      <c r="T78">
        <f>Sheet1[[#This Row],[Quantity]]*Sheet1[[#This Row],[Sales]]</f>
        <v>27</v>
      </c>
      <c r="U78">
        <f>Sheet1[[#This Row],[Total Sales]]*Sheet1[[#This Row],[Discount]]</f>
        <v>12.15</v>
      </c>
      <c r="V78" s="4">
        <f>Sheet1[[#This Row],[Total Sales]]-Sheet1[[#This Row],[Total Sales]]*Sheet1[[#This Row],[Discount]]</f>
        <v>14.85</v>
      </c>
      <c r="W78" s="4">
        <f>Sheet1[[#This Row],[Quantity]]*Sheet1[[#This Row],[Profit]]</f>
        <v>-4.4939999999999998</v>
      </c>
      <c r="X78" s="5">
        <f>Sheet1[[#This Row],[Total Profit]]/Sheet1[[#This Row],[Sales After Discount]]</f>
        <v>-0.30262626262626263</v>
      </c>
      <c r="Y78" s="4">
        <f>Sheet1[[#This Row],[Shipping_cost]]*Sheet1[[#This Row],[Quantity]]</f>
        <v>3.21</v>
      </c>
      <c r="Z78" s="4">
        <f>Sheet1[[#This Row],[Total Profit]]-Sheet1[[#This Row],[Total Shipping Cost]]</f>
        <v>-7.7039999999999997</v>
      </c>
      <c r="AA78" s="4" t="str">
        <f>IF(Sheet1[[#This Row],[Net Profit]]&gt;0,"Profit","Loss")</f>
        <v>Loss</v>
      </c>
    </row>
    <row r="79" spans="1:27" x14ac:dyDescent="0.25">
      <c r="A79" t="s">
        <v>185</v>
      </c>
      <c r="B79" s="1">
        <v>40550</v>
      </c>
      <c r="C79" s="1">
        <v>40554</v>
      </c>
      <c r="D79" t="s">
        <v>1</v>
      </c>
      <c r="E79" t="s">
        <v>186</v>
      </c>
      <c r="F79" t="s">
        <v>43</v>
      </c>
      <c r="G79" t="s">
        <v>187</v>
      </c>
      <c r="H79" t="s">
        <v>188</v>
      </c>
      <c r="I79" t="s">
        <v>22</v>
      </c>
      <c r="J79" t="s">
        <v>22</v>
      </c>
      <c r="K79" t="s">
        <v>32</v>
      </c>
      <c r="L79" t="s">
        <v>33</v>
      </c>
      <c r="M79">
        <v>26</v>
      </c>
      <c r="N79">
        <v>1</v>
      </c>
      <c r="O79">
        <v>0</v>
      </c>
      <c r="P79">
        <v>7.38</v>
      </c>
      <c r="Q79">
        <v>2.88</v>
      </c>
      <c r="R79" t="s">
        <v>23</v>
      </c>
      <c r="S79">
        <f>Sheet1[[#This Row],[Ship_date]]-Sheet1[[#This Row],[Order_date]]</f>
        <v>4</v>
      </c>
      <c r="T79">
        <f>Sheet1[[#This Row],[Quantity]]*Sheet1[[#This Row],[Sales]]</f>
        <v>26</v>
      </c>
      <c r="U79">
        <f>Sheet1[[#This Row],[Total Sales]]*Sheet1[[#This Row],[Discount]]</f>
        <v>0</v>
      </c>
      <c r="V79" s="4">
        <f>Sheet1[[#This Row],[Total Sales]]-Sheet1[[#This Row],[Total Sales]]*Sheet1[[#This Row],[Discount]]</f>
        <v>26</v>
      </c>
      <c r="W79" s="4">
        <f>Sheet1[[#This Row],[Quantity]]*Sheet1[[#This Row],[Profit]]</f>
        <v>7.38</v>
      </c>
      <c r="X79" s="5">
        <f>Sheet1[[#This Row],[Total Profit]]/Sheet1[[#This Row],[Sales After Discount]]</f>
        <v>0.28384615384615386</v>
      </c>
      <c r="Y79" s="4">
        <f>Sheet1[[#This Row],[Shipping_cost]]*Sheet1[[#This Row],[Quantity]]</f>
        <v>2.88</v>
      </c>
      <c r="Z79" s="4">
        <f>Sheet1[[#This Row],[Total Profit]]-Sheet1[[#This Row],[Total Shipping Cost]]</f>
        <v>4.5</v>
      </c>
      <c r="AA79" s="4" t="str">
        <f>IF(Sheet1[[#This Row],[Net Profit]]&gt;0,"Profit","Loss")</f>
        <v>Profit</v>
      </c>
    </row>
    <row r="80" spans="1:27" x14ac:dyDescent="0.25">
      <c r="A80" t="s">
        <v>174</v>
      </c>
      <c r="B80" s="1">
        <v>40550</v>
      </c>
      <c r="C80" s="1">
        <v>40554</v>
      </c>
      <c r="D80" t="s">
        <v>1</v>
      </c>
      <c r="E80" t="s">
        <v>175</v>
      </c>
      <c r="F80" t="s">
        <v>26</v>
      </c>
      <c r="G80" t="s">
        <v>176</v>
      </c>
      <c r="H80" t="s">
        <v>126</v>
      </c>
      <c r="I80" t="s">
        <v>127</v>
      </c>
      <c r="J80" t="s">
        <v>102</v>
      </c>
      <c r="K80" t="s">
        <v>7</v>
      </c>
      <c r="L80" t="s">
        <v>97</v>
      </c>
      <c r="M80">
        <v>31</v>
      </c>
      <c r="N80">
        <v>4</v>
      </c>
      <c r="O80">
        <v>0</v>
      </c>
      <c r="P80">
        <v>0.31119999999999998</v>
      </c>
      <c r="Q80">
        <v>2.19</v>
      </c>
      <c r="R80" t="s">
        <v>23</v>
      </c>
      <c r="S80">
        <f>Sheet1[[#This Row],[Ship_date]]-Sheet1[[#This Row],[Order_date]]</f>
        <v>4</v>
      </c>
      <c r="T80">
        <f>Sheet1[[#This Row],[Quantity]]*Sheet1[[#This Row],[Sales]]</f>
        <v>124</v>
      </c>
      <c r="U80">
        <f>Sheet1[[#This Row],[Total Sales]]*Sheet1[[#This Row],[Discount]]</f>
        <v>0</v>
      </c>
      <c r="V80" s="4">
        <f>Sheet1[[#This Row],[Total Sales]]-Sheet1[[#This Row],[Total Sales]]*Sheet1[[#This Row],[Discount]]</f>
        <v>124</v>
      </c>
      <c r="W80" s="4">
        <f>Sheet1[[#This Row],[Quantity]]*Sheet1[[#This Row],[Profit]]</f>
        <v>1.2447999999999999</v>
      </c>
      <c r="X80" s="5">
        <f>Sheet1[[#This Row],[Total Profit]]/Sheet1[[#This Row],[Sales After Discount]]</f>
        <v>1.0038709677419355E-2</v>
      </c>
      <c r="Y80" s="4">
        <f>Sheet1[[#This Row],[Shipping_cost]]*Sheet1[[#This Row],[Quantity]]</f>
        <v>8.76</v>
      </c>
      <c r="Z80" s="4">
        <f>Sheet1[[#This Row],[Total Profit]]-Sheet1[[#This Row],[Total Shipping Cost]]</f>
        <v>-7.5152000000000001</v>
      </c>
      <c r="AA80" s="4" t="str">
        <f>IF(Sheet1[[#This Row],[Net Profit]]&gt;0,"Profit","Loss")</f>
        <v>Loss</v>
      </c>
    </row>
    <row r="81" spans="1:27" x14ac:dyDescent="0.25">
      <c r="A81" t="s">
        <v>174</v>
      </c>
      <c r="B81" s="1">
        <v>40550</v>
      </c>
      <c r="C81" s="1">
        <v>40554</v>
      </c>
      <c r="D81" t="s">
        <v>1</v>
      </c>
      <c r="E81" t="s">
        <v>175</v>
      </c>
      <c r="F81" t="s">
        <v>26</v>
      </c>
      <c r="G81" t="s">
        <v>176</v>
      </c>
      <c r="H81" t="s">
        <v>126</v>
      </c>
      <c r="I81" t="s">
        <v>127</v>
      </c>
      <c r="J81" t="s">
        <v>102</v>
      </c>
      <c r="K81" t="s">
        <v>7</v>
      </c>
      <c r="L81" t="s">
        <v>31</v>
      </c>
      <c r="M81">
        <v>7</v>
      </c>
      <c r="N81">
        <v>1</v>
      </c>
      <c r="O81">
        <v>0</v>
      </c>
      <c r="P81">
        <v>3.0084</v>
      </c>
      <c r="Q81">
        <v>1.1299999999999999</v>
      </c>
      <c r="R81" t="s">
        <v>23</v>
      </c>
      <c r="S81">
        <f>Sheet1[[#This Row],[Ship_date]]-Sheet1[[#This Row],[Order_date]]</f>
        <v>4</v>
      </c>
      <c r="T81">
        <f>Sheet1[[#This Row],[Quantity]]*Sheet1[[#This Row],[Sales]]</f>
        <v>7</v>
      </c>
      <c r="U81">
        <f>Sheet1[[#This Row],[Total Sales]]*Sheet1[[#This Row],[Discount]]</f>
        <v>0</v>
      </c>
      <c r="V81" s="4">
        <f>Sheet1[[#This Row],[Total Sales]]-Sheet1[[#This Row],[Total Sales]]*Sheet1[[#This Row],[Discount]]</f>
        <v>7</v>
      </c>
      <c r="W81" s="4">
        <f>Sheet1[[#This Row],[Quantity]]*Sheet1[[#This Row],[Profit]]</f>
        <v>3.0084</v>
      </c>
      <c r="X81" s="5">
        <f>Sheet1[[#This Row],[Total Profit]]/Sheet1[[#This Row],[Sales After Discount]]</f>
        <v>0.42977142857142858</v>
      </c>
      <c r="Y81" s="4">
        <f>Sheet1[[#This Row],[Shipping_cost]]*Sheet1[[#This Row],[Quantity]]</f>
        <v>1.1299999999999999</v>
      </c>
      <c r="Z81" s="4">
        <f>Sheet1[[#This Row],[Total Profit]]-Sheet1[[#This Row],[Total Shipping Cost]]</f>
        <v>1.8784000000000001</v>
      </c>
      <c r="AA81" s="4" t="str">
        <f>IF(Sheet1[[#This Row],[Net Profit]]&gt;0,"Profit","Loss")</f>
        <v>Profit</v>
      </c>
    </row>
    <row r="82" spans="1:27" x14ac:dyDescent="0.25">
      <c r="A82" t="s">
        <v>201</v>
      </c>
      <c r="B82" s="1">
        <v>40550</v>
      </c>
      <c r="C82" s="1">
        <v>40555</v>
      </c>
      <c r="D82" t="s">
        <v>1</v>
      </c>
      <c r="E82" t="s">
        <v>202</v>
      </c>
      <c r="F82" t="s">
        <v>26</v>
      </c>
      <c r="G82" t="s">
        <v>203</v>
      </c>
      <c r="H82" t="s">
        <v>203</v>
      </c>
      <c r="I82" t="s">
        <v>14</v>
      </c>
      <c r="J82" t="s">
        <v>61</v>
      </c>
      <c r="K82" t="s">
        <v>7</v>
      </c>
      <c r="L82" t="s">
        <v>87</v>
      </c>
      <c r="M82">
        <v>18</v>
      </c>
      <c r="N82">
        <v>2</v>
      </c>
      <c r="O82">
        <v>0</v>
      </c>
      <c r="P82">
        <v>5.46</v>
      </c>
      <c r="Q82">
        <v>0.89</v>
      </c>
      <c r="R82" t="s">
        <v>9</v>
      </c>
      <c r="S82">
        <f>Sheet1[[#This Row],[Ship_date]]-Sheet1[[#This Row],[Order_date]]</f>
        <v>5</v>
      </c>
      <c r="T82">
        <f>Sheet1[[#This Row],[Quantity]]*Sheet1[[#This Row],[Sales]]</f>
        <v>36</v>
      </c>
      <c r="U82">
        <f>Sheet1[[#This Row],[Total Sales]]*Sheet1[[#This Row],[Discount]]</f>
        <v>0</v>
      </c>
      <c r="V82" s="4">
        <f>Sheet1[[#This Row],[Total Sales]]-Sheet1[[#This Row],[Total Sales]]*Sheet1[[#This Row],[Discount]]</f>
        <v>36</v>
      </c>
      <c r="W82" s="4">
        <f>Sheet1[[#This Row],[Quantity]]*Sheet1[[#This Row],[Profit]]</f>
        <v>10.92</v>
      </c>
      <c r="X82" s="5">
        <f>Sheet1[[#This Row],[Total Profit]]/Sheet1[[#This Row],[Sales After Discount]]</f>
        <v>0.30333333333333334</v>
      </c>
      <c r="Y82" s="4">
        <f>Sheet1[[#This Row],[Shipping_cost]]*Sheet1[[#This Row],[Quantity]]</f>
        <v>1.78</v>
      </c>
      <c r="Z82" s="4">
        <f>Sheet1[[#This Row],[Total Profit]]-Sheet1[[#This Row],[Total Shipping Cost]]</f>
        <v>9.14</v>
      </c>
      <c r="AA82" s="4" t="str">
        <f>IF(Sheet1[[#This Row],[Net Profit]]&gt;0,"Profit","Loss")</f>
        <v>Profit</v>
      </c>
    </row>
    <row r="83" spans="1:27" x14ac:dyDescent="0.25">
      <c r="A83" t="s">
        <v>174</v>
      </c>
      <c r="B83" s="1">
        <v>40550</v>
      </c>
      <c r="C83" s="1">
        <v>40554</v>
      </c>
      <c r="D83" t="s">
        <v>1</v>
      </c>
      <c r="E83" t="s">
        <v>175</v>
      </c>
      <c r="F83" t="s">
        <v>26</v>
      </c>
      <c r="G83" t="s">
        <v>176</v>
      </c>
      <c r="H83" t="s">
        <v>126</v>
      </c>
      <c r="I83" t="s">
        <v>127</v>
      </c>
      <c r="J83" t="s">
        <v>102</v>
      </c>
      <c r="K83" t="s">
        <v>7</v>
      </c>
      <c r="L83" t="s">
        <v>91</v>
      </c>
      <c r="M83">
        <v>5</v>
      </c>
      <c r="N83">
        <v>2</v>
      </c>
      <c r="O83">
        <v>0</v>
      </c>
      <c r="P83">
        <v>1.4796</v>
      </c>
      <c r="Q83">
        <v>0.52</v>
      </c>
      <c r="R83" t="s">
        <v>23</v>
      </c>
      <c r="S83">
        <f>Sheet1[[#This Row],[Ship_date]]-Sheet1[[#This Row],[Order_date]]</f>
        <v>4</v>
      </c>
      <c r="T83">
        <f>Sheet1[[#This Row],[Quantity]]*Sheet1[[#This Row],[Sales]]</f>
        <v>10</v>
      </c>
      <c r="U83">
        <f>Sheet1[[#This Row],[Total Sales]]*Sheet1[[#This Row],[Discount]]</f>
        <v>0</v>
      </c>
      <c r="V83" s="4">
        <f>Sheet1[[#This Row],[Total Sales]]-Sheet1[[#This Row],[Total Sales]]*Sheet1[[#This Row],[Discount]]</f>
        <v>10</v>
      </c>
      <c r="W83" s="4">
        <f>Sheet1[[#This Row],[Quantity]]*Sheet1[[#This Row],[Profit]]</f>
        <v>2.9592000000000001</v>
      </c>
      <c r="X83" s="5">
        <f>Sheet1[[#This Row],[Total Profit]]/Sheet1[[#This Row],[Sales After Discount]]</f>
        <v>0.29592000000000002</v>
      </c>
      <c r="Y83" s="4">
        <f>Sheet1[[#This Row],[Shipping_cost]]*Sheet1[[#This Row],[Quantity]]</f>
        <v>1.04</v>
      </c>
      <c r="Z83" s="4">
        <f>Sheet1[[#This Row],[Total Profit]]-Sheet1[[#This Row],[Total Shipping Cost]]</f>
        <v>1.9192</v>
      </c>
      <c r="AA83" s="4" t="str">
        <f>IF(Sheet1[[#This Row],[Net Profit]]&gt;0,"Profit","Loss")</f>
        <v>Profit</v>
      </c>
    </row>
    <row r="84" spans="1:27" x14ac:dyDescent="0.25">
      <c r="A84" t="s">
        <v>204</v>
      </c>
      <c r="B84" s="1">
        <v>40550</v>
      </c>
      <c r="C84" s="1">
        <v>40553</v>
      </c>
      <c r="D84" t="s">
        <v>142</v>
      </c>
      <c r="E84" t="s">
        <v>205</v>
      </c>
      <c r="F84" t="s">
        <v>3</v>
      </c>
      <c r="G84" t="s">
        <v>206</v>
      </c>
      <c r="H84" t="s">
        <v>207</v>
      </c>
      <c r="I84" t="s">
        <v>29</v>
      </c>
      <c r="J84" t="s">
        <v>76</v>
      </c>
      <c r="K84" t="s">
        <v>7</v>
      </c>
      <c r="L84" t="s">
        <v>91</v>
      </c>
      <c r="M84">
        <v>5</v>
      </c>
      <c r="N84">
        <v>1</v>
      </c>
      <c r="O84">
        <v>0.5</v>
      </c>
      <c r="P84">
        <v>-0.105</v>
      </c>
      <c r="Q84">
        <v>0.28000000000000003</v>
      </c>
      <c r="R84" t="s">
        <v>9</v>
      </c>
      <c r="S84">
        <f>Sheet1[[#This Row],[Ship_date]]-Sheet1[[#This Row],[Order_date]]</f>
        <v>3</v>
      </c>
      <c r="T84">
        <f>Sheet1[[#This Row],[Quantity]]*Sheet1[[#This Row],[Sales]]</f>
        <v>5</v>
      </c>
      <c r="U84">
        <f>Sheet1[[#This Row],[Total Sales]]*Sheet1[[#This Row],[Discount]]</f>
        <v>2.5</v>
      </c>
      <c r="V84" s="4">
        <f>Sheet1[[#This Row],[Total Sales]]-Sheet1[[#This Row],[Total Sales]]*Sheet1[[#This Row],[Discount]]</f>
        <v>2.5</v>
      </c>
      <c r="W84" s="4">
        <f>Sheet1[[#This Row],[Quantity]]*Sheet1[[#This Row],[Profit]]</f>
        <v>-0.105</v>
      </c>
      <c r="X84" s="5">
        <f>Sheet1[[#This Row],[Total Profit]]/Sheet1[[#This Row],[Sales After Discount]]</f>
        <v>-4.1999999999999996E-2</v>
      </c>
      <c r="Y84" s="4">
        <f>Sheet1[[#This Row],[Shipping_cost]]*Sheet1[[#This Row],[Quantity]]</f>
        <v>0.28000000000000003</v>
      </c>
      <c r="Z84" s="4">
        <f>Sheet1[[#This Row],[Total Profit]]-Sheet1[[#This Row],[Total Shipping Cost]]</f>
        <v>-0.38500000000000001</v>
      </c>
      <c r="AA84" s="4" t="str">
        <f>IF(Sheet1[[#This Row],[Net Profit]]&gt;0,"Profit","Loss")</f>
        <v>Loss</v>
      </c>
    </row>
    <row r="85" spans="1:27" x14ac:dyDescent="0.25">
      <c r="A85" t="s">
        <v>208</v>
      </c>
      <c r="B85" s="1">
        <v>40551</v>
      </c>
      <c r="C85" s="1">
        <v>40556</v>
      </c>
      <c r="D85" t="s">
        <v>1</v>
      </c>
      <c r="E85" t="s">
        <v>209</v>
      </c>
      <c r="F85" t="s">
        <v>3</v>
      </c>
      <c r="G85" t="s">
        <v>210</v>
      </c>
      <c r="H85" t="s">
        <v>165</v>
      </c>
      <c r="I85" t="s">
        <v>6</v>
      </c>
      <c r="J85" t="s">
        <v>6</v>
      </c>
      <c r="K85" t="s">
        <v>32</v>
      </c>
      <c r="L85" t="s">
        <v>67</v>
      </c>
      <c r="M85">
        <v>2479</v>
      </c>
      <c r="N85">
        <v>6</v>
      </c>
      <c r="O85">
        <v>0</v>
      </c>
      <c r="P85">
        <v>49.5</v>
      </c>
      <c r="Q85">
        <v>349.87</v>
      </c>
      <c r="R85" t="s">
        <v>23</v>
      </c>
      <c r="S85">
        <f>Sheet1[[#This Row],[Ship_date]]-Sheet1[[#This Row],[Order_date]]</f>
        <v>5</v>
      </c>
      <c r="T85">
        <f>Sheet1[[#This Row],[Quantity]]*Sheet1[[#This Row],[Sales]]</f>
        <v>14874</v>
      </c>
      <c r="U85">
        <f>Sheet1[[#This Row],[Total Sales]]*Sheet1[[#This Row],[Discount]]</f>
        <v>0</v>
      </c>
      <c r="V85" s="4">
        <f>Sheet1[[#This Row],[Total Sales]]-Sheet1[[#This Row],[Total Sales]]*Sheet1[[#This Row],[Discount]]</f>
        <v>14874</v>
      </c>
      <c r="W85" s="4">
        <f>Sheet1[[#This Row],[Quantity]]*Sheet1[[#This Row],[Profit]]</f>
        <v>297</v>
      </c>
      <c r="X85" s="5">
        <f>Sheet1[[#This Row],[Total Profit]]/Sheet1[[#This Row],[Sales After Discount]]</f>
        <v>1.9967728922952805E-2</v>
      </c>
      <c r="Y85" s="4">
        <f>Sheet1[[#This Row],[Shipping_cost]]*Sheet1[[#This Row],[Quantity]]</f>
        <v>2099.2200000000003</v>
      </c>
      <c r="Z85" s="4">
        <f>Sheet1[[#This Row],[Total Profit]]-Sheet1[[#This Row],[Total Shipping Cost]]</f>
        <v>-1802.2200000000003</v>
      </c>
      <c r="AA85" s="4" t="str">
        <f>IF(Sheet1[[#This Row],[Net Profit]]&gt;0,"Profit","Loss")</f>
        <v>Loss</v>
      </c>
    </row>
    <row r="86" spans="1:27" x14ac:dyDescent="0.25">
      <c r="A86" t="s">
        <v>211</v>
      </c>
      <c r="B86" s="1">
        <v>40551</v>
      </c>
      <c r="C86" s="1">
        <v>40555</v>
      </c>
      <c r="D86" t="s">
        <v>18</v>
      </c>
      <c r="E86" t="s">
        <v>212</v>
      </c>
      <c r="F86" t="s">
        <v>26</v>
      </c>
      <c r="G86" t="s">
        <v>213</v>
      </c>
      <c r="H86" t="s">
        <v>169</v>
      </c>
      <c r="I86" t="s">
        <v>14</v>
      </c>
      <c r="J86" t="s">
        <v>132</v>
      </c>
      <c r="K86" t="s">
        <v>38</v>
      </c>
      <c r="L86" t="s">
        <v>39</v>
      </c>
      <c r="M86">
        <v>2174</v>
      </c>
      <c r="N86">
        <v>7</v>
      </c>
      <c r="O86">
        <v>0</v>
      </c>
      <c r="P86">
        <v>260.82</v>
      </c>
      <c r="Q86">
        <v>275.52</v>
      </c>
      <c r="R86" t="s">
        <v>9</v>
      </c>
      <c r="S86">
        <f>Sheet1[[#This Row],[Ship_date]]-Sheet1[[#This Row],[Order_date]]</f>
        <v>4</v>
      </c>
      <c r="T86">
        <f>Sheet1[[#This Row],[Quantity]]*Sheet1[[#This Row],[Sales]]</f>
        <v>15218</v>
      </c>
      <c r="U86">
        <f>Sheet1[[#This Row],[Total Sales]]*Sheet1[[#This Row],[Discount]]</f>
        <v>0</v>
      </c>
      <c r="V86" s="4">
        <f>Sheet1[[#This Row],[Total Sales]]-Sheet1[[#This Row],[Total Sales]]*Sheet1[[#This Row],[Discount]]</f>
        <v>15218</v>
      </c>
      <c r="W86" s="4">
        <f>Sheet1[[#This Row],[Quantity]]*Sheet1[[#This Row],[Profit]]</f>
        <v>1825.74</v>
      </c>
      <c r="X86" s="5">
        <f>Sheet1[[#This Row],[Total Profit]]/Sheet1[[#This Row],[Sales After Discount]]</f>
        <v>0.11997240110395584</v>
      </c>
      <c r="Y86" s="4">
        <f>Sheet1[[#This Row],[Shipping_cost]]*Sheet1[[#This Row],[Quantity]]</f>
        <v>1928.6399999999999</v>
      </c>
      <c r="Z86" s="4">
        <f>Sheet1[[#This Row],[Total Profit]]-Sheet1[[#This Row],[Total Shipping Cost]]</f>
        <v>-102.89999999999986</v>
      </c>
      <c r="AA86" s="4" t="str">
        <f>IF(Sheet1[[#This Row],[Net Profit]]&gt;0,"Profit","Loss")</f>
        <v>Loss</v>
      </c>
    </row>
    <row r="87" spans="1:27" x14ac:dyDescent="0.25">
      <c r="A87" t="s">
        <v>214</v>
      </c>
      <c r="B87" s="1">
        <v>40551</v>
      </c>
      <c r="C87" s="1">
        <v>40557</v>
      </c>
      <c r="D87" t="s">
        <v>1</v>
      </c>
      <c r="E87" t="s">
        <v>124</v>
      </c>
      <c r="F87" t="s">
        <v>3</v>
      </c>
      <c r="G87" t="s">
        <v>215</v>
      </c>
      <c r="H87" t="s">
        <v>115</v>
      </c>
      <c r="I87" t="s">
        <v>29</v>
      </c>
      <c r="J87" t="s">
        <v>76</v>
      </c>
      <c r="K87" t="s">
        <v>32</v>
      </c>
      <c r="L87" t="s">
        <v>67</v>
      </c>
      <c r="M87">
        <v>987</v>
      </c>
      <c r="N87">
        <v>6</v>
      </c>
      <c r="O87">
        <v>0.6</v>
      </c>
      <c r="P87">
        <v>-1011.636</v>
      </c>
      <c r="Q87">
        <v>65.64</v>
      </c>
      <c r="R87" t="s">
        <v>9</v>
      </c>
      <c r="S87">
        <f>Sheet1[[#This Row],[Ship_date]]-Sheet1[[#This Row],[Order_date]]</f>
        <v>6</v>
      </c>
      <c r="T87">
        <f>Sheet1[[#This Row],[Quantity]]*Sheet1[[#This Row],[Sales]]</f>
        <v>5922</v>
      </c>
      <c r="U87">
        <f>Sheet1[[#This Row],[Total Sales]]*Sheet1[[#This Row],[Discount]]</f>
        <v>3553.2</v>
      </c>
      <c r="V87" s="4">
        <f>Sheet1[[#This Row],[Total Sales]]-Sheet1[[#This Row],[Total Sales]]*Sheet1[[#This Row],[Discount]]</f>
        <v>2368.8000000000002</v>
      </c>
      <c r="W87" s="4">
        <f>Sheet1[[#This Row],[Quantity]]*Sheet1[[#This Row],[Profit]]</f>
        <v>-6069.8159999999998</v>
      </c>
      <c r="X87" s="5">
        <f>Sheet1[[#This Row],[Total Profit]]/Sheet1[[#This Row],[Sales After Discount]]</f>
        <v>-2.5624012158054708</v>
      </c>
      <c r="Y87" s="4">
        <f>Sheet1[[#This Row],[Shipping_cost]]*Sheet1[[#This Row],[Quantity]]</f>
        <v>393.84000000000003</v>
      </c>
      <c r="Z87" s="4">
        <f>Sheet1[[#This Row],[Total Profit]]-Sheet1[[#This Row],[Total Shipping Cost]]</f>
        <v>-6463.6559999999999</v>
      </c>
      <c r="AA87" s="4" t="str">
        <f>IF(Sheet1[[#This Row],[Net Profit]]&gt;0,"Profit","Loss")</f>
        <v>Loss</v>
      </c>
    </row>
    <row r="88" spans="1:27" x14ac:dyDescent="0.25">
      <c r="A88" t="s">
        <v>216</v>
      </c>
      <c r="B88" s="1">
        <v>40551</v>
      </c>
      <c r="C88" s="1">
        <v>40556</v>
      </c>
      <c r="D88" t="s">
        <v>18</v>
      </c>
      <c r="E88" t="s">
        <v>217</v>
      </c>
      <c r="F88" t="s">
        <v>3</v>
      </c>
      <c r="G88" t="s">
        <v>74</v>
      </c>
      <c r="H88" t="s">
        <v>74</v>
      </c>
      <c r="I88" t="s">
        <v>75</v>
      </c>
      <c r="J88" t="s">
        <v>76</v>
      </c>
      <c r="K88" t="s">
        <v>7</v>
      </c>
      <c r="L88" t="s">
        <v>8</v>
      </c>
      <c r="M88">
        <v>397</v>
      </c>
      <c r="N88">
        <v>3</v>
      </c>
      <c r="O88">
        <v>0</v>
      </c>
      <c r="P88">
        <v>182.52</v>
      </c>
      <c r="Q88">
        <v>33.67</v>
      </c>
      <c r="R88" t="s">
        <v>9</v>
      </c>
      <c r="S88">
        <f>Sheet1[[#This Row],[Ship_date]]-Sheet1[[#This Row],[Order_date]]</f>
        <v>5</v>
      </c>
      <c r="T88">
        <f>Sheet1[[#This Row],[Quantity]]*Sheet1[[#This Row],[Sales]]</f>
        <v>1191</v>
      </c>
      <c r="U88">
        <f>Sheet1[[#This Row],[Total Sales]]*Sheet1[[#This Row],[Discount]]</f>
        <v>0</v>
      </c>
      <c r="V88" s="4">
        <f>Sheet1[[#This Row],[Total Sales]]-Sheet1[[#This Row],[Total Sales]]*Sheet1[[#This Row],[Discount]]</f>
        <v>1191</v>
      </c>
      <c r="W88" s="4">
        <f>Sheet1[[#This Row],[Quantity]]*Sheet1[[#This Row],[Profit]]</f>
        <v>547.56000000000006</v>
      </c>
      <c r="X88" s="5">
        <f>Sheet1[[#This Row],[Total Profit]]/Sheet1[[#This Row],[Sales After Discount]]</f>
        <v>0.45974811083123429</v>
      </c>
      <c r="Y88" s="4">
        <f>Sheet1[[#This Row],[Shipping_cost]]*Sheet1[[#This Row],[Quantity]]</f>
        <v>101.01</v>
      </c>
      <c r="Z88" s="4">
        <f>Sheet1[[#This Row],[Total Profit]]-Sheet1[[#This Row],[Total Shipping Cost]]</f>
        <v>446.55000000000007</v>
      </c>
      <c r="AA88" s="4" t="str">
        <f>IF(Sheet1[[#This Row],[Net Profit]]&gt;0,"Profit","Loss")</f>
        <v>Profit</v>
      </c>
    </row>
    <row r="89" spans="1:27" x14ac:dyDescent="0.25">
      <c r="A89" t="s">
        <v>218</v>
      </c>
      <c r="B89" s="1">
        <v>40551</v>
      </c>
      <c r="C89" s="1">
        <v>40556</v>
      </c>
      <c r="D89" t="s">
        <v>1</v>
      </c>
      <c r="E89" t="s">
        <v>219</v>
      </c>
      <c r="F89" t="s">
        <v>3</v>
      </c>
      <c r="G89" t="s">
        <v>125</v>
      </c>
      <c r="H89" t="s">
        <v>126</v>
      </c>
      <c r="I89" t="s">
        <v>127</v>
      </c>
      <c r="J89" t="s">
        <v>76</v>
      </c>
      <c r="K89" t="s">
        <v>32</v>
      </c>
      <c r="L89" t="s">
        <v>33</v>
      </c>
      <c r="M89">
        <v>77</v>
      </c>
      <c r="N89">
        <v>3</v>
      </c>
      <c r="O89">
        <v>0.6</v>
      </c>
      <c r="P89">
        <v>-53.709600000000002</v>
      </c>
      <c r="Q89">
        <v>6.69</v>
      </c>
      <c r="R89" t="s">
        <v>9</v>
      </c>
      <c r="S89">
        <f>Sheet1[[#This Row],[Ship_date]]-Sheet1[[#This Row],[Order_date]]</f>
        <v>5</v>
      </c>
      <c r="T89">
        <f>Sheet1[[#This Row],[Quantity]]*Sheet1[[#This Row],[Sales]]</f>
        <v>231</v>
      </c>
      <c r="U89">
        <f>Sheet1[[#This Row],[Total Sales]]*Sheet1[[#This Row],[Discount]]</f>
        <v>138.6</v>
      </c>
      <c r="V89" s="4">
        <f>Sheet1[[#This Row],[Total Sales]]-Sheet1[[#This Row],[Total Sales]]*Sheet1[[#This Row],[Discount]]</f>
        <v>92.4</v>
      </c>
      <c r="W89" s="4">
        <f>Sheet1[[#This Row],[Quantity]]*Sheet1[[#This Row],[Profit]]</f>
        <v>-161.12880000000001</v>
      </c>
      <c r="X89" s="5">
        <f>Sheet1[[#This Row],[Total Profit]]/Sheet1[[#This Row],[Sales After Discount]]</f>
        <v>-1.7438181818181819</v>
      </c>
      <c r="Y89" s="4">
        <f>Sheet1[[#This Row],[Shipping_cost]]*Sheet1[[#This Row],[Quantity]]</f>
        <v>20.07</v>
      </c>
      <c r="Z89" s="4">
        <f>Sheet1[[#This Row],[Total Profit]]-Sheet1[[#This Row],[Total Shipping Cost]]</f>
        <v>-181.19880000000001</v>
      </c>
      <c r="AA89" s="4" t="str">
        <f>IF(Sheet1[[#This Row],[Net Profit]]&gt;0,"Profit","Loss")</f>
        <v>Loss</v>
      </c>
    </row>
    <row r="90" spans="1:27" x14ac:dyDescent="0.25">
      <c r="A90" t="s">
        <v>216</v>
      </c>
      <c r="B90" s="1">
        <v>40551</v>
      </c>
      <c r="C90" s="1">
        <v>40556</v>
      </c>
      <c r="D90" t="s">
        <v>18</v>
      </c>
      <c r="E90" t="s">
        <v>217</v>
      </c>
      <c r="F90" t="s">
        <v>3</v>
      </c>
      <c r="G90" t="s">
        <v>74</v>
      </c>
      <c r="H90" t="s">
        <v>74</v>
      </c>
      <c r="I90" t="s">
        <v>75</v>
      </c>
      <c r="J90" t="s">
        <v>76</v>
      </c>
      <c r="K90" t="s">
        <v>7</v>
      </c>
      <c r="L90" t="s">
        <v>137</v>
      </c>
      <c r="M90">
        <v>50</v>
      </c>
      <c r="N90">
        <v>7</v>
      </c>
      <c r="O90">
        <v>0</v>
      </c>
      <c r="P90">
        <v>20.3</v>
      </c>
      <c r="Q90">
        <v>5.66</v>
      </c>
      <c r="R90" t="s">
        <v>9</v>
      </c>
      <c r="S90">
        <f>Sheet1[[#This Row],[Ship_date]]-Sheet1[[#This Row],[Order_date]]</f>
        <v>5</v>
      </c>
      <c r="T90">
        <f>Sheet1[[#This Row],[Quantity]]*Sheet1[[#This Row],[Sales]]</f>
        <v>350</v>
      </c>
      <c r="U90">
        <f>Sheet1[[#This Row],[Total Sales]]*Sheet1[[#This Row],[Discount]]</f>
        <v>0</v>
      </c>
      <c r="V90" s="4">
        <f>Sheet1[[#This Row],[Total Sales]]-Sheet1[[#This Row],[Total Sales]]*Sheet1[[#This Row],[Discount]]</f>
        <v>350</v>
      </c>
      <c r="W90" s="4">
        <f>Sheet1[[#This Row],[Quantity]]*Sheet1[[#This Row],[Profit]]</f>
        <v>142.1</v>
      </c>
      <c r="X90" s="5">
        <f>Sheet1[[#This Row],[Total Profit]]/Sheet1[[#This Row],[Sales After Discount]]</f>
        <v>0.40599999999999997</v>
      </c>
      <c r="Y90" s="4">
        <f>Sheet1[[#This Row],[Shipping_cost]]*Sheet1[[#This Row],[Quantity]]</f>
        <v>39.620000000000005</v>
      </c>
      <c r="Z90" s="4">
        <f>Sheet1[[#This Row],[Total Profit]]-Sheet1[[#This Row],[Total Shipping Cost]]</f>
        <v>102.47999999999999</v>
      </c>
      <c r="AA90" s="4" t="str">
        <f>IF(Sheet1[[#This Row],[Net Profit]]&gt;0,"Profit","Loss")</f>
        <v>Profit</v>
      </c>
    </row>
    <row r="91" spans="1:27" x14ac:dyDescent="0.25">
      <c r="A91" t="s">
        <v>214</v>
      </c>
      <c r="B91" s="1">
        <v>40551</v>
      </c>
      <c r="C91" s="1">
        <v>40557</v>
      </c>
      <c r="D91" t="s">
        <v>1</v>
      </c>
      <c r="E91" t="s">
        <v>124</v>
      </c>
      <c r="F91" t="s">
        <v>3</v>
      </c>
      <c r="G91" t="s">
        <v>215</v>
      </c>
      <c r="H91" t="s">
        <v>115</v>
      </c>
      <c r="I91" t="s">
        <v>29</v>
      </c>
      <c r="J91" t="s">
        <v>76</v>
      </c>
      <c r="K91" t="s">
        <v>7</v>
      </c>
      <c r="L91" t="s">
        <v>91</v>
      </c>
      <c r="M91">
        <v>116</v>
      </c>
      <c r="N91">
        <v>5</v>
      </c>
      <c r="O91">
        <v>0.5</v>
      </c>
      <c r="P91">
        <v>-55.65</v>
      </c>
      <c r="Q91">
        <v>3.91</v>
      </c>
      <c r="R91" t="s">
        <v>9</v>
      </c>
      <c r="S91">
        <f>Sheet1[[#This Row],[Ship_date]]-Sheet1[[#This Row],[Order_date]]</f>
        <v>6</v>
      </c>
      <c r="T91">
        <f>Sheet1[[#This Row],[Quantity]]*Sheet1[[#This Row],[Sales]]</f>
        <v>580</v>
      </c>
      <c r="U91">
        <f>Sheet1[[#This Row],[Total Sales]]*Sheet1[[#This Row],[Discount]]</f>
        <v>290</v>
      </c>
      <c r="V91" s="4">
        <f>Sheet1[[#This Row],[Total Sales]]-Sheet1[[#This Row],[Total Sales]]*Sheet1[[#This Row],[Discount]]</f>
        <v>290</v>
      </c>
      <c r="W91" s="4">
        <f>Sheet1[[#This Row],[Quantity]]*Sheet1[[#This Row],[Profit]]</f>
        <v>-278.25</v>
      </c>
      <c r="X91" s="5">
        <f>Sheet1[[#This Row],[Total Profit]]/Sheet1[[#This Row],[Sales After Discount]]</f>
        <v>-0.95948275862068966</v>
      </c>
      <c r="Y91" s="4">
        <f>Sheet1[[#This Row],[Shipping_cost]]*Sheet1[[#This Row],[Quantity]]</f>
        <v>19.55</v>
      </c>
      <c r="Z91" s="4">
        <f>Sheet1[[#This Row],[Total Profit]]-Sheet1[[#This Row],[Total Shipping Cost]]</f>
        <v>-297.8</v>
      </c>
      <c r="AA91" s="4" t="str">
        <f>IF(Sheet1[[#This Row],[Net Profit]]&gt;0,"Profit","Loss")</f>
        <v>Loss</v>
      </c>
    </row>
    <row r="92" spans="1:27" x14ac:dyDescent="0.25">
      <c r="A92" t="s">
        <v>220</v>
      </c>
      <c r="B92" s="1">
        <v>40551</v>
      </c>
      <c r="C92" s="1">
        <v>40554</v>
      </c>
      <c r="D92" t="s">
        <v>18</v>
      </c>
      <c r="E92" t="s">
        <v>221</v>
      </c>
      <c r="F92" t="s">
        <v>3</v>
      </c>
      <c r="G92" t="s">
        <v>222</v>
      </c>
      <c r="H92" t="s">
        <v>223</v>
      </c>
      <c r="I92" t="s">
        <v>6</v>
      </c>
      <c r="J92" t="s">
        <v>6</v>
      </c>
      <c r="K92" t="s">
        <v>7</v>
      </c>
      <c r="L92" t="s">
        <v>137</v>
      </c>
      <c r="M92">
        <v>5</v>
      </c>
      <c r="N92">
        <v>2</v>
      </c>
      <c r="O92">
        <v>0.7</v>
      </c>
      <c r="P92">
        <v>-4.5419999999999998</v>
      </c>
      <c r="Q92">
        <v>0.82</v>
      </c>
      <c r="R92" t="s">
        <v>23</v>
      </c>
      <c r="S92">
        <f>Sheet1[[#This Row],[Ship_date]]-Sheet1[[#This Row],[Order_date]]</f>
        <v>3</v>
      </c>
      <c r="T92">
        <f>Sheet1[[#This Row],[Quantity]]*Sheet1[[#This Row],[Sales]]</f>
        <v>10</v>
      </c>
      <c r="U92">
        <f>Sheet1[[#This Row],[Total Sales]]*Sheet1[[#This Row],[Discount]]</f>
        <v>7</v>
      </c>
      <c r="V92" s="4">
        <f>Sheet1[[#This Row],[Total Sales]]-Sheet1[[#This Row],[Total Sales]]*Sheet1[[#This Row],[Discount]]</f>
        <v>3</v>
      </c>
      <c r="W92" s="4">
        <f>Sheet1[[#This Row],[Quantity]]*Sheet1[[#This Row],[Profit]]</f>
        <v>-9.0839999999999996</v>
      </c>
      <c r="X92" s="5">
        <f>Sheet1[[#This Row],[Total Profit]]/Sheet1[[#This Row],[Sales After Discount]]</f>
        <v>-3.028</v>
      </c>
      <c r="Y92" s="4">
        <f>Sheet1[[#This Row],[Shipping_cost]]*Sheet1[[#This Row],[Quantity]]</f>
        <v>1.64</v>
      </c>
      <c r="Z92" s="4">
        <f>Sheet1[[#This Row],[Total Profit]]-Sheet1[[#This Row],[Total Shipping Cost]]</f>
        <v>-10.724</v>
      </c>
      <c r="AA92" s="4" t="str">
        <f>IF(Sheet1[[#This Row],[Net Profit]]&gt;0,"Profit","Loss")</f>
        <v>Loss</v>
      </c>
    </row>
    <row r="93" spans="1:27" x14ac:dyDescent="0.25">
      <c r="A93" t="s">
        <v>218</v>
      </c>
      <c r="B93" s="1">
        <v>40551</v>
      </c>
      <c r="C93" s="1">
        <v>40556</v>
      </c>
      <c r="D93" t="s">
        <v>1</v>
      </c>
      <c r="E93" t="s">
        <v>219</v>
      </c>
      <c r="F93" t="s">
        <v>3</v>
      </c>
      <c r="G93" t="s">
        <v>125</v>
      </c>
      <c r="H93" t="s">
        <v>126</v>
      </c>
      <c r="I93" t="s">
        <v>127</v>
      </c>
      <c r="J93" t="s">
        <v>76</v>
      </c>
      <c r="K93" t="s">
        <v>7</v>
      </c>
      <c r="L93" t="s">
        <v>137</v>
      </c>
      <c r="M93">
        <v>10</v>
      </c>
      <c r="N93">
        <v>7</v>
      </c>
      <c r="O93">
        <v>0.8</v>
      </c>
      <c r="P93">
        <v>-18.252500000000001</v>
      </c>
      <c r="Q93">
        <v>0.63</v>
      </c>
      <c r="R93" t="s">
        <v>9</v>
      </c>
      <c r="S93">
        <f>Sheet1[[#This Row],[Ship_date]]-Sheet1[[#This Row],[Order_date]]</f>
        <v>5</v>
      </c>
      <c r="T93">
        <f>Sheet1[[#This Row],[Quantity]]*Sheet1[[#This Row],[Sales]]</f>
        <v>70</v>
      </c>
      <c r="U93">
        <f>Sheet1[[#This Row],[Total Sales]]*Sheet1[[#This Row],[Discount]]</f>
        <v>56</v>
      </c>
      <c r="V93" s="4">
        <f>Sheet1[[#This Row],[Total Sales]]-Sheet1[[#This Row],[Total Sales]]*Sheet1[[#This Row],[Discount]]</f>
        <v>14</v>
      </c>
      <c r="W93" s="4">
        <f>Sheet1[[#This Row],[Quantity]]*Sheet1[[#This Row],[Profit]]</f>
        <v>-127.76750000000001</v>
      </c>
      <c r="X93" s="5">
        <f>Sheet1[[#This Row],[Total Profit]]/Sheet1[[#This Row],[Sales After Discount]]</f>
        <v>-9.1262500000000006</v>
      </c>
      <c r="Y93" s="4">
        <f>Sheet1[[#This Row],[Shipping_cost]]*Sheet1[[#This Row],[Quantity]]</f>
        <v>4.41</v>
      </c>
      <c r="Z93" s="4">
        <f>Sheet1[[#This Row],[Total Profit]]-Sheet1[[#This Row],[Total Shipping Cost]]</f>
        <v>-132.17750000000001</v>
      </c>
      <c r="AA93" s="4" t="str">
        <f>IF(Sheet1[[#This Row],[Net Profit]]&gt;0,"Profit","Loss")</f>
        <v>Loss</v>
      </c>
    </row>
    <row r="94" spans="1:27" x14ac:dyDescent="0.25">
      <c r="A94" t="s">
        <v>224</v>
      </c>
      <c r="B94" s="1">
        <v>40552</v>
      </c>
      <c r="C94" s="1">
        <v>40556</v>
      </c>
      <c r="D94" t="s">
        <v>1</v>
      </c>
      <c r="E94" t="s">
        <v>225</v>
      </c>
      <c r="F94" t="s">
        <v>43</v>
      </c>
      <c r="G94" t="s">
        <v>226</v>
      </c>
      <c r="H94" t="s">
        <v>157</v>
      </c>
      <c r="I94" t="s">
        <v>14</v>
      </c>
      <c r="J94" t="s">
        <v>61</v>
      </c>
      <c r="K94" t="s">
        <v>38</v>
      </c>
      <c r="L94" t="s">
        <v>77</v>
      </c>
      <c r="M94">
        <v>240</v>
      </c>
      <c r="N94">
        <v>2</v>
      </c>
      <c r="O94">
        <v>0.17</v>
      </c>
      <c r="P94">
        <v>-11.6028</v>
      </c>
      <c r="Q94">
        <v>34.99</v>
      </c>
      <c r="R94" t="s">
        <v>23</v>
      </c>
      <c r="S94">
        <f>Sheet1[[#This Row],[Ship_date]]-Sheet1[[#This Row],[Order_date]]</f>
        <v>4</v>
      </c>
      <c r="T94">
        <f>Sheet1[[#This Row],[Quantity]]*Sheet1[[#This Row],[Sales]]</f>
        <v>480</v>
      </c>
      <c r="U94">
        <f>Sheet1[[#This Row],[Total Sales]]*Sheet1[[#This Row],[Discount]]</f>
        <v>81.600000000000009</v>
      </c>
      <c r="V94" s="4">
        <f>Sheet1[[#This Row],[Total Sales]]-Sheet1[[#This Row],[Total Sales]]*Sheet1[[#This Row],[Discount]]</f>
        <v>398.4</v>
      </c>
      <c r="W94" s="4">
        <f>Sheet1[[#This Row],[Quantity]]*Sheet1[[#This Row],[Profit]]</f>
        <v>-23.2056</v>
      </c>
      <c r="X94" s="5">
        <f>Sheet1[[#This Row],[Total Profit]]/Sheet1[[#This Row],[Sales After Discount]]</f>
        <v>-5.824698795180723E-2</v>
      </c>
      <c r="Y94" s="4">
        <f>Sheet1[[#This Row],[Shipping_cost]]*Sheet1[[#This Row],[Quantity]]</f>
        <v>69.98</v>
      </c>
      <c r="Z94" s="4">
        <f>Sheet1[[#This Row],[Total Profit]]-Sheet1[[#This Row],[Total Shipping Cost]]</f>
        <v>-93.185600000000008</v>
      </c>
      <c r="AA94" s="4" t="str">
        <f>IF(Sheet1[[#This Row],[Net Profit]]&gt;0,"Profit","Loss")</f>
        <v>Loss</v>
      </c>
    </row>
    <row r="95" spans="1:27" x14ac:dyDescent="0.25">
      <c r="A95" t="s">
        <v>227</v>
      </c>
      <c r="B95" s="1">
        <v>40552</v>
      </c>
      <c r="C95" s="1">
        <v>40557</v>
      </c>
      <c r="D95" t="s">
        <v>1</v>
      </c>
      <c r="E95" t="s">
        <v>228</v>
      </c>
      <c r="F95" t="s">
        <v>3</v>
      </c>
      <c r="G95" t="s">
        <v>229</v>
      </c>
      <c r="H95" t="s">
        <v>161</v>
      </c>
      <c r="I95" t="s">
        <v>14</v>
      </c>
      <c r="J95" t="s">
        <v>61</v>
      </c>
      <c r="K95" t="s">
        <v>38</v>
      </c>
      <c r="L95" t="s">
        <v>82</v>
      </c>
      <c r="M95">
        <v>177</v>
      </c>
      <c r="N95">
        <v>6</v>
      </c>
      <c r="O95">
        <v>0.47</v>
      </c>
      <c r="P95">
        <v>-156.67920000000001</v>
      </c>
      <c r="Q95">
        <v>17.09</v>
      </c>
      <c r="R95" t="s">
        <v>9</v>
      </c>
      <c r="S95">
        <f>Sheet1[[#This Row],[Ship_date]]-Sheet1[[#This Row],[Order_date]]</f>
        <v>5</v>
      </c>
      <c r="T95">
        <f>Sheet1[[#This Row],[Quantity]]*Sheet1[[#This Row],[Sales]]</f>
        <v>1062</v>
      </c>
      <c r="U95">
        <f>Sheet1[[#This Row],[Total Sales]]*Sheet1[[#This Row],[Discount]]</f>
        <v>499.14</v>
      </c>
      <c r="V95" s="4">
        <f>Sheet1[[#This Row],[Total Sales]]-Sheet1[[#This Row],[Total Sales]]*Sheet1[[#This Row],[Discount]]</f>
        <v>562.86</v>
      </c>
      <c r="W95" s="4">
        <f>Sheet1[[#This Row],[Quantity]]*Sheet1[[#This Row],[Profit]]</f>
        <v>-940.0752</v>
      </c>
      <c r="X95" s="5">
        <f>Sheet1[[#This Row],[Total Profit]]/Sheet1[[#This Row],[Sales After Discount]]</f>
        <v>-1.6701758874320434</v>
      </c>
      <c r="Y95" s="4">
        <f>Sheet1[[#This Row],[Shipping_cost]]*Sheet1[[#This Row],[Quantity]]</f>
        <v>102.53999999999999</v>
      </c>
      <c r="Z95" s="4">
        <f>Sheet1[[#This Row],[Total Profit]]-Sheet1[[#This Row],[Total Shipping Cost]]</f>
        <v>-1042.6152</v>
      </c>
      <c r="AA95" s="4" t="str">
        <f>IF(Sheet1[[#This Row],[Net Profit]]&gt;0,"Profit","Loss")</f>
        <v>Loss</v>
      </c>
    </row>
    <row r="96" spans="1:27" x14ac:dyDescent="0.25">
      <c r="A96" t="s">
        <v>230</v>
      </c>
      <c r="B96" s="1">
        <v>40552</v>
      </c>
      <c r="C96" s="1">
        <v>40556</v>
      </c>
      <c r="D96" t="s">
        <v>1</v>
      </c>
      <c r="E96" t="s">
        <v>231</v>
      </c>
      <c r="F96" t="s">
        <v>26</v>
      </c>
      <c r="G96" t="s">
        <v>232</v>
      </c>
      <c r="H96" t="s">
        <v>60</v>
      </c>
      <c r="I96" t="s">
        <v>14</v>
      </c>
      <c r="J96" t="s">
        <v>61</v>
      </c>
      <c r="K96" t="s">
        <v>7</v>
      </c>
      <c r="L96" t="s">
        <v>8</v>
      </c>
      <c r="M96">
        <v>158</v>
      </c>
      <c r="N96">
        <v>5</v>
      </c>
      <c r="O96">
        <v>0.45</v>
      </c>
      <c r="P96">
        <v>-2.9775</v>
      </c>
      <c r="Q96">
        <v>10.08</v>
      </c>
      <c r="R96" t="s">
        <v>23</v>
      </c>
      <c r="S96">
        <f>Sheet1[[#This Row],[Ship_date]]-Sheet1[[#This Row],[Order_date]]</f>
        <v>4</v>
      </c>
      <c r="T96">
        <f>Sheet1[[#This Row],[Quantity]]*Sheet1[[#This Row],[Sales]]</f>
        <v>790</v>
      </c>
      <c r="U96">
        <f>Sheet1[[#This Row],[Total Sales]]*Sheet1[[#This Row],[Discount]]</f>
        <v>355.5</v>
      </c>
      <c r="V96" s="4">
        <f>Sheet1[[#This Row],[Total Sales]]-Sheet1[[#This Row],[Total Sales]]*Sheet1[[#This Row],[Discount]]</f>
        <v>434.5</v>
      </c>
      <c r="W96" s="4">
        <f>Sheet1[[#This Row],[Quantity]]*Sheet1[[#This Row],[Profit]]</f>
        <v>-14.887499999999999</v>
      </c>
      <c r="X96" s="5">
        <f>Sheet1[[#This Row],[Total Profit]]/Sheet1[[#This Row],[Sales After Discount]]</f>
        <v>-3.4263521288837744E-2</v>
      </c>
      <c r="Y96" s="4">
        <f>Sheet1[[#This Row],[Shipping_cost]]*Sheet1[[#This Row],[Quantity]]</f>
        <v>50.4</v>
      </c>
      <c r="Z96" s="4">
        <f>Sheet1[[#This Row],[Total Profit]]-Sheet1[[#This Row],[Total Shipping Cost]]</f>
        <v>-65.287499999999994</v>
      </c>
      <c r="AA96" s="4" t="str">
        <f>IF(Sheet1[[#This Row],[Net Profit]]&gt;0,"Profit","Loss")</f>
        <v>Loss</v>
      </c>
    </row>
    <row r="97" spans="1:27" x14ac:dyDescent="0.25">
      <c r="A97" t="s">
        <v>227</v>
      </c>
      <c r="B97" s="1">
        <v>40552</v>
      </c>
      <c r="C97" s="1">
        <v>40557</v>
      </c>
      <c r="D97" t="s">
        <v>1</v>
      </c>
      <c r="E97" t="s">
        <v>228</v>
      </c>
      <c r="F97" t="s">
        <v>3</v>
      </c>
      <c r="G97" t="s">
        <v>229</v>
      </c>
      <c r="H97" t="s">
        <v>161</v>
      </c>
      <c r="I97" t="s">
        <v>14</v>
      </c>
      <c r="J97" t="s">
        <v>61</v>
      </c>
      <c r="K97" t="s">
        <v>38</v>
      </c>
      <c r="L97" t="s">
        <v>77</v>
      </c>
      <c r="M97">
        <v>124</v>
      </c>
      <c r="N97">
        <v>2</v>
      </c>
      <c r="O97">
        <v>0.17</v>
      </c>
      <c r="P97">
        <v>32.792999999999999</v>
      </c>
      <c r="Q97">
        <v>7.93</v>
      </c>
      <c r="R97" t="s">
        <v>9</v>
      </c>
      <c r="S97">
        <f>Sheet1[[#This Row],[Ship_date]]-Sheet1[[#This Row],[Order_date]]</f>
        <v>5</v>
      </c>
      <c r="T97">
        <f>Sheet1[[#This Row],[Quantity]]*Sheet1[[#This Row],[Sales]]</f>
        <v>248</v>
      </c>
      <c r="U97">
        <f>Sheet1[[#This Row],[Total Sales]]*Sheet1[[#This Row],[Discount]]</f>
        <v>42.160000000000004</v>
      </c>
      <c r="V97" s="4">
        <f>Sheet1[[#This Row],[Total Sales]]-Sheet1[[#This Row],[Total Sales]]*Sheet1[[#This Row],[Discount]]</f>
        <v>205.84</v>
      </c>
      <c r="W97" s="4">
        <f>Sheet1[[#This Row],[Quantity]]*Sheet1[[#This Row],[Profit]]</f>
        <v>65.585999999999999</v>
      </c>
      <c r="X97" s="5">
        <f>Sheet1[[#This Row],[Total Profit]]/Sheet1[[#This Row],[Sales After Discount]]</f>
        <v>0.31862611737271668</v>
      </c>
      <c r="Y97" s="4">
        <f>Sheet1[[#This Row],[Shipping_cost]]*Sheet1[[#This Row],[Quantity]]</f>
        <v>15.86</v>
      </c>
      <c r="Z97" s="4">
        <f>Sheet1[[#This Row],[Total Profit]]-Sheet1[[#This Row],[Total Shipping Cost]]</f>
        <v>49.725999999999999</v>
      </c>
      <c r="AA97" s="4" t="str">
        <f>IF(Sheet1[[#This Row],[Net Profit]]&gt;0,"Profit","Loss")</f>
        <v>Profit</v>
      </c>
    </row>
    <row r="98" spans="1:27" x14ac:dyDescent="0.25">
      <c r="A98" t="s">
        <v>230</v>
      </c>
      <c r="B98" s="1">
        <v>40552</v>
      </c>
      <c r="C98" s="1">
        <v>40556</v>
      </c>
      <c r="D98" t="s">
        <v>1</v>
      </c>
      <c r="E98" t="s">
        <v>231</v>
      </c>
      <c r="F98" t="s">
        <v>26</v>
      </c>
      <c r="G98" t="s">
        <v>232</v>
      </c>
      <c r="H98" t="s">
        <v>60</v>
      </c>
      <c r="I98" t="s">
        <v>14</v>
      </c>
      <c r="J98" t="s">
        <v>61</v>
      </c>
      <c r="K98" t="s">
        <v>7</v>
      </c>
      <c r="L98" t="s">
        <v>97</v>
      </c>
      <c r="M98">
        <v>52</v>
      </c>
      <c r="N98">
        <v>7</v>
      </c>
      <c r="O98">
        <v>0.45</v>
      </c>
      <c r="P98">
        <v>4.5884999999999998</v>
      </c>
      <c r="Q98">
        <v>5.55</v>
      </c>
      <c r="R98" t="s">
        <v>23</v>
      </c>
      <c r="S98">
        <f>Sheet1[[#This Row],[Ship_date]]-Sheet1[[#This Row],[Order_date]]</f>
        <v>4</v>
      </c>
      <c r="T98">
        <f>Sheet1[[#This Row],[Quantity]]*Sheet1[[#This Row],[Sales]]</f>
        <v>364</v>
      </c>
      <c r="U98">
        <f>Sheet1[[#This Row],[Total Sales]]*Sheet1[[#This Row],[Discount]]</f>
        <v>163.80000000000001</v>
      </c>
      <c r="V98" s="4">
        <f>Sheet1[[#This Row],[Total Sales]]-Sheet1[[#This Row],[Total Sales]]*Sheet1[[#This Row],[Discount]]</f>
        <v>200.2</v>
      </c>
      <c r="W98" s="4">
        <f>Sheet1[[#This Row],[Quantity]]*Sheet1[[#This Row],[Profit]]</f>
        <v>32.119500000000002</v>
      </c>
      <c r="X98" s="5">
        <f>Sheet1[[#This Row],[Total Profit]]/Sheet1[[#This Row],[Sales After Discount]]</f>
        <v>0.16043706293706295</v>
      </c>
      <c r="Y98" s="4">
        <f>Sheet1[[#This Row],[Shipping_cost]]*Sheet1[[#This Row],[Quantity]]</f>
        <v>38.85</v>
      </c>
      <c r="Z98" s="4">
        <f>Sheet1[[#This Row],[Total Profit]]-Sheet1[[#This Row],[Total Shipping Cost]]</f>
        <v>-6.7304999999999993</v>
      </c>
      <c r="AA98" s="4" t="str">
        <f>IF(Sheet1[[#This Row],[Net Profit]]&gt;0,"Profit","Loss")</f>
        <v>Loss</v>
      </c>
    </row>
    <row r="99" spans="1:27" x14ac:dyDescent="0.25">
      <c r="A99" t="s">
        <v>227</v>
      </c>
      <c r="B99" s="1">
        <v>40552</v>
      </c>
      <c r="C99" s="1">
        <v>40557</v>
      </c>
      <c r="D99" t="s">
        <v>1</v>
      </c>
      <c r="E99" t="s">
        <v>228</v>
      </c>
      <c r="F99" t="s">
        <v>3</v>
      </c>
      <c r="G99" t="s">
        <v>229</v>
      </c>
      <c r="H99" t="s">
        <v>161</v>
      </c>
      <c r="I99" t="s">
        <v>14</v>
      </c>
      <c r="J99" t="s">
        <v>61</v>
      </c>
      <c r="K99" t="s">
        <v>7</v>
      </c>
      <c r="L99" t="s">
        <v>87</v>
      </c>
      <c r="M99">
        <v>45</v>
      </c>
      <c r="N99">
        <v>5</v>
      </c>
      <c r="O99">
        <v>0.17</v>
      </c>
      <c r="P99">
        <v>17.8935</v>
      </c>
      <c r="Q99">
        <v>3.31</v>
      </c>
      <c r="R99" t="s">
        <v>9</v>
      </c>
      <c r="S99">
        <f>Sheet1[[#This Row],[Ship_date]]-Sheet1[[#This Row],[Order_date]]</f>
        <v>5</v>
      </c>
      <c r="T99">
        <f>Sheet1[[#This Row],[Quantity]]*Sheet1[[#This Row],[Sales]]</f>
        <v>225</v>
      </c>
      <c r="U99">
        <f>Sheet1[[#This Row],[Total Sales]]*Sheet1[[#This Row],[Discount]]</f>
        <v>38.25</v>
      </c>
      <c r="V99" s="4">
        <f>Sheet1[[#This Row],[Total Sales]]-Sheet1[[#This Row],[Total Sales]]*Sheet1[[#This Row],[Discount]]</f>
        <v>186.75</v>
      </c>
      <c r="W99" s="4">
        <f>Sheet1[[#This Row],[Quantity]]*Sheet1[[#This Row],[Profit]]</f>
        <v>89.467500000000001</v>
      </c>
      <c r="X99" s="5">
        <f>Sheet1[[#This Row],[Total Profit]]/Sheet1[[#This Row],[Sales After Discount]]</f>
        <v>0.47907630522088351</v>
      </c>
      <c r="Y99" s="4">
        <f>Sheet1[[#This Row],[Shipping_cost]]*Sheet1[[#This Row],[Quantity]]</f>
        <v>16.55</v>
      </c>
      <c r="Z99" s="4">
        <f>Sheet1[[#This Row],[Total Profit]]-Sheet1[[#This Row],[Total Shipping Cost]]</f>
        <v>72.917500000000004</v>
      </c>
      <c r="AA99" s="4" t="str">
        <f>IF(Sheet1[[#This Row],[Net Profit]]&gt;0,"Profit","Loss")</f>
        <v>Profit</v>
      </c>
    </row>
    <row r="100" spans="1:27" x14ac:dyDescent="0.25">
      <c r="A100" t="s">
        <v>230</v>
      </c>
      <c r="B100" s="1">
        <v>40552</v>
      </c>
      <c r="C100" s="1">
        <v>40556</v>
      </c>
      <c r="D100" t="s">
        <v>1</v>
      </c>
      <c r="E100" t="s">
        <v>231</v>
      </c>
      <c r="F100" t="s">
        <v>26</v>
      </c>
      <c r="G100" t="s">
        <v>232</v>
      </c>
      <c r="H100" t="s">
        <v>60</v>
      </c>
      <c r="I100" t="s">
        <v>14</v>
      </c>
      <c r="J100" t="s">
        <v>61</v>
      </c>
      <c r="K100" t="s">
        <v>7</v>
      </c>
      <c r="L100" t="s">
        <v>31</v>
      </c>
      <c r="M100">
        <v>9</v>
      </c>
      <c r="N100">
        <v>1</v>
      </c>
      <c r="O100">
        <v>0.45</v>
      </c>
      <c r="P100">
        <v>-1.7175</v>
      </c>
      <c r="Q100">
        <v>0.69</v>
      </c>
      <c r="R100" t="s">
        <v>23</v>
      </c>
      <c r="S100">
        <f>Sheet1[[#This Row],[Ship_date]]-Sheet1[[#This Row],[Order_date]]</f>
        <v>4</v>
      </c>
      <c r="T100">
        <f>Sheet1[[#This Row],[Quantity]]*Sheet1[[#This Row],[Sales]]</f>
        <v>9</v>
      </c>
      <c r="U100">
        <f>Sheet1[[#This Row],[Total Sales]]*Sheet1[[#This Row],[Discount]]</f>
        <v>4.05</v>
      </c>
      <c r="V100" s="4">
        <f>Sheet1[[#This Row],[Total Sales]]-Sheet1[[#This Row],[Total Sales]]*Sheet1[[#This Row],[Discount]]</f>
        <v>4.95</v>
      </c>
      <c r="W100" s="4">
        <f>Sheet1[[#This Row],[Quantity]]*Sheet1[[#This Row],[Profit]]</f>
        <v>-1.7175</v>
      </c>
      <c r="X100" s="5">
        <f>Sheet1[[#This Row],[Total Profit]]/Sheet1[[#This Row],[Sales After Discount]]</f>
        <v>-0.34696969696969698</v>
      </c>
      <c r="Y100" s="4">
        <f>Sheet1[[#This Row],[Shipping_cost]]*Sheet1[[#This Row],[Quantity]]</f>
        <v>0.69</v>
      </c>
      <c r="Z100" s="4">
        <f>Sheet1[[#This Row],[Total Profit]]-Sheet1[[#This Row],[Total Shipping Cost]]</f>
        <v>-2.4074999999999998</v>
      </c>
      <c r="AA100" s="4" t="str">
        <f>IF(Sheet1[[#This Row],[Net Profit]]&gt;0,"Profit","Loss")</f>
        <v>Loss</v>
      </c>
    </row>
    <row r="101" spans="1:27" x14ac:dyDescent="0.25">
      <c r="A101" t="s">
        <v>227</v>
      </c>
      <c r="B101" s="1">
        <v>40552</v>
      </c>
      <c r="C101" s="1">
        <v>40557</v>
      </c>
      <c r="D101" t="s">
        <v>1</v>
      </c>
      <c r="E101" t="s">
        <v>228</v>
      </c>
      <c r="F101" t="s">
        <v>3</v>
      </c>
      <c r="G101" t="s">
        <v>229</v>
      </c>
      <c r="H101" t="s">
        <v>161</v>
      </c>
      <c r="I101" t="s">
        <v>14</v>
      </c>
      <c r="J101" t="s">
        <v>61</v>
      </c>
      <c r="K101" t="s">
        <v>7</v>
      </c>
      <c r="L101" t="s">
        <v>137</v>
      </c>
      <c r="M101">
        <v>10</v>
      </c>
      <c r="N101">
        <v>2</v>
      </c>
      <c r="O101">
        <v>0.17</v>
      </c>
      <c r="P101">
        <v>7.1400000000000005E-2</v>
      </c>
      <c r="Q101">
        <v>0.25</v>
      </c>
      <c r="R101" t="s">
        <v>9</v>
      </c>
      <c r="S101">
        <f>Sheet1[[#This Row],[Ship_date]]-Sheet1[[#This Row],[Order_date]]</f>
        <v>5</v>
      </c>
      <c r="T101">
        <f>Sheet1[[#This Row],[Quantity]]*Sheet1[[#This Row],[Sales]]</f>
        <v>20</v>
      </c>
      <c r="U101">
        <f>Sheet1[[#This Row],[Total Sales]]*Sheet1[[#This Row],[Discount]]</f>
        <v>3.4000000000000004</v>
      </c>
      <c r="V101" s="4">
        <f>Sheet1[[#This Row],[Total Sales]]-Sheet1[[#This Row],[Total Sales]]*Sheet1[[#This Row],[Discount]]</f>
        <v>16.600000000000001</v>
      </c>
      <c r="W101" s="4">
        <f>Sheet1[[#This Row],[Quantity]]*Sheet1[[#This Row],[Profit]]</f>
        <v>0.14280000000000001</v>
      </c>
      <c r="X101" s="5">
        <f>Sheet1[[#This Row],[Total Profit]]/Sheet1[[#This Row],[Sales After Discount]]</f>
        <v>8.6024096385542165E-3</v>
      </c>
      <c r="Y101" s="4">
        <f>Sheet1[[#This Row],[Shipping_cost]]*Sheet1[[#This Row],[Quantity]]</f>
        <v>0.5</v>
      </c>
      <c r="Z101" s="4">
        <f>Sheet1[[#This Row],[Total Profit]]-Sheet1[[#This Row],[Total Shipping Cost]]</f>
        <v>-0.35719999999999996</v>
      </c>
      <c r="AA101" s="4" t="str">
        <f>IF(Sheet1[[#This Row],[Net Profit]]&gt;0,"Profit","Loss")</f>
        <v>Loss</v>
      </c>
    </row>
    <row r="102" spans="1:27" x14ac:dyDescent="0.25">
      <c r="A102" t="s">
        <v>233</v>
      </c>
      <c r="B102" s="1">
        <v>40553</v>
      </c>
      <c r="C102" s="1">
        <v>40554</v>
      </c>
      <c r="D102" t="s">
        <v>142</v>
      </c>
      <c r="E102" t="s">
        <v>234</v>
      </c>
      <c r="F102" t="s">
        <v>3</v>
      </c>
      <c r="G102" t="s">
        <v>235</v>
      </c>
      <c r="H102" t="s">
        <v>13</v>
      </c>
      <c r="I102" t="s">
        <v>14</v>
      </c>
      <c r="J102" t="s">
        <v>15</v>
      </c>
      <c r="K102" t="s">
        <v>38</v>
      </c>
      <c r="L102" t="s">
        <v>77</v>
      </c>
      <c r="M102">
        <v>2875</v>
      </c>
      <c r="N102">
        <v>5</v>
      </c>
      <c r="O102">
        <v>0.1</v>
      </c>
      <c r="P102">
        <v>511.09500000000003</v>
      </c>
      <c r="Q102">
        <v>665.27</v>
      </c>
      <c r="R102" t="s">
        <v>9</v>
      </c>
      <c r="S102">
        <f>Sheet1[[#This Row],[Ship_date]]-Sheet1[[#This Row],[Order_date]]</f>
        <v>1</v>
      </c>
      <c r="T102">
        <f>Sheet1[[#This Row],[Quantity]]*Sheet1[[#This Row],[Sales]]</f>
        <v>14375</v>
      </c>
      <c r="U102">
        <f>Sheet1[[#This Row],[Total Sales]]*Sheet1[[#This Row],[Discount]]</f>
        <v>1437.5</v>
      </c>
      <c r="V102" s="4">
        <f>Sheet1[[#This Row],[Total Sales]]-Sheet1[[#This Row],[Total Sales]]*Sheet1[[#This Row],[Discount]]</f>
        <v>12937.5</v>
      </c>
      <c r="W102" s="4">
        <f>Sheet1[[#This Row],[Quantity]]*Sheet1[[#This Row],[Profit]]</f>
        <v>2555.4750000000004</v>
      </c>
      <c r="X102" s="5">
        <f>Sheet1[[#This Row],[Total Profit]]/Sheet1[[#This Row],[Sales After Discount]]</f>
        <v>0.19752463768115944</v>
      </c>
      <c r="Y102" s="4">
        <f>Sheet1[[#This Row],[Shipping_cost]]*Sheet1[[#This Row],[Quantity]]</f>
        <v>3326.35</v>
      </c>
      <c r="Z102" s="4">
        <f>Sheet1[[#This Row],[Total Profit]]-Sheet1[[#This Row],[Total Shipping Cost]]</f>
        <v>-770.87499999999955</v>
      </c>
      <c r="AA102" s="4" t="str">
        <f>IF(Sheet1[[#This Row],[Net Profit]]&gt;0,"Profit","Loss")</f>
        <v>Loss</v>
      </c>
    </row>
    <row r="103" spans="1:27" x14ac:dyDescent="0.25">
      <c r="A103" t="s">
        <v>236</v>
      </c>
      <c r="B103" s="1">
        <v>40553</v>
      </c>
      <c r="C103" s="1">
        <v>40553</v>
      </c>
      <c r="D103" t="s">
        <v>41</v>
      </c>
      <c r="E103" t="s">
        <v>237</v>
      </c>
      <c r="F103" t="s">
        <v>43</v>
      </c>
      <c r="G103" t="s">
        <v>20</v>
      </c>
      <c r="H103" t="s">
        <v>21</v>
      </c>
      <c r="I103" t="s">
        <v>22</v>
      </c>
      <c r="J103" t="s">
        <v>22</v>
      </c>
      <c r="K103" t="s">
        <v>32</v>
      </c>
      <c r="L103" t="s">
        <v>67</v>
      </c>
      <c r="M103">
        <v>363</v>
      </c>
      <c r="N103">
        <v>1</v>
      </c>
      <c r="O103">
        <v>0</v>
      </c>
      <c r="P103">
        <v>159.87</v>
      </c>
      <c r="Q103">
        <v>134.59</v>
      </c>
      <c r="R103" t="s">
        <v>45</v>
      </c>
      <c r="S103">
        <f>Sheet1[[#This Row],[Ship_date]]-Sheet1[[#This Row],[Order_date]]</f>
        <v>0</v>
      </c>
      <c r="T103">
        <f>Sheet1[[#This Row],[Quantity]]*Sheet1[[#This Row],[Sales]]</f>
        <v>363</v>
      </c>
      <c r="U103">
        <f>Sheet1[[#This Row],[Total Sales]]*Sheet1[[#This Row],[Discount]]</f>
        <v>0</v>
      </c>
      <c r="V103" s="4">
        <f>Sheet1[[#This Row],[Total Sales]]-Sheet1[[#This Row],[Total Sales]]*Sheet1[[#This Row],[Discount]]</f>
        <v>363</v>
      </c>
      <c r="W103" s="4">
        <f>Sheet1[[#This Row],[Quantity]]*Sheet1[[#This Row],[Profit]]</f>
        <v>159.87</v>
      </c>
      <c r="X103" s="5">
        <f>Sheet1[[#This Row],[Total Profit]]/Sheet1[[#This Row],[Sales After Discount]]</f>
        <v>0.44041322314049586</v>
      </c>
      <c r="Y103" s="4">
        <f>Sheet1[[#This Row],[Shipping_cost]]*Sheet1[[#This Row],[Quantity]]</f>
        <v>134.59</v>
      </c>
      <c r="Z103" s="4">
        <f>Sheet1[[#This Row],[Total Profit]]-Sheet1[[#This Row],[Total Shipping Cost]]</f>
        <v>25.28</v>
      </c>
      <c r="AA103" s="4" t="str">
        <f>IF(Sheet1[[#This Row],[Net Profit]]&gt;0,"Profit","Loss")</f>
        <v>Profit</v>
      </c>
    </row>
    <row r="104" spans="1:27" x14ac:dyDescent="0.25">
      <c r="A104" t="s">
        <v>236</v>
      </c>
      <c r="B104" s="1">
        <v>40553</v>
      </c>
      <c r="C104" s="1">
        <v>40553</v>
      </c>
      <c r="D104" t="s">
        <v>41</v>
      </c>
      <c r="E104" t="s">
        <v>237</v>
      </c>
      <c r="F104" t="s">
        <v>43</v>
      </c>
      <c r="G104" t="s">
        <v>20</v>
      </c>
      <c r="H104" t="s">
        <v>21</v>
      </c>
      <c r="I104" t="s">
        <v>22</v>
      </c>
      <c r="J104" t="s">
        <v>22</v>
      </c>
      <c r="K104" t="s">
        <v>38</v>
      </c>
      <c r="L104" t="s">
        <v>50</v>
      </c>
      <c r="M104">
        <v>589</v>
      </c>
      <c r="N104">
        <v>4</v>
      </c>
      <c r="O104">
        <v>0</v>
      </c>
      <c r="P104">
        <v>276.60000000000002</v>
      </c>
      <c r="Q104">
        <v>114.15</v>
      </c>
      <c r="R104" t="s">
        <v>45</v>
      </c>
      <c r="S104">
        <f>Sheet1[[#This Row],[Ship_date]]-Sheet1[[#This Row],[Order_date]]</f>
        <v>0</v>
      </c>
      <c r="T104">
        <f>Sheet1[[#This Row],[Quantity]]*Sheet1[[#This Row],[Sales]]</f>
        <v>2356</v>
      </c>
      <c r="U104">
        <f>Sheet1[[#This Row],[Total Sales]]*Sheet1[[#This Row],[Discount]]</f>
        <v>0</v>
      </c>
      <c r="V104" s="4">
        <f>Sheet1[[#This Row],[Total Sales]]-Sheet1[[#This Row],[Total Sales]]*Sheet1[[#This Row],[Discount]]</f>
        <v>2356</v>
      </c>
      <c r="W104" s="4">
        <f>Sheet1[[#This Row],[Quantity]]*Sheet1[[#This Row],[Profit]]</f>
        <v>1106.4000000000001</v>
      </c>
      <c r="X104" s="5">
        <f>Sheet1[[#This Row],[Total Profit]]/Sheet1[[#This Row],[Sales After Discount]]</f>
        <v>0.46960950764006792</v>
      </c>
      <c r="Y104" s="4">
        <f>Sheet1[[#This Row],[Shipping_cost]]*Sheet1[[#This Row],[Quantity]]</f>
        <v>456.6</v>
      </c>
      <c r="Z104" s="4">
        <f>Sheet1[[#This Row],[Total Profit]]-Sheet1[[#This Row],[Total Shipping Cost]]</f>
        <v>649.80000000000007</v>
      </c>
      <c r="AA104" s="4" t="str">
        <f>IF(Sheet1[[#This Row],[Net Profit]]&gt;0,"Profit","Loss")</f>
        <v>Profit</v>
      </c>
    </row>
    <row r="105" spans="1:27" x14ac:dyDescent="0.25">
      <c r="A105" t="s">
        <v>238</v>
      </c>
      <c r="B105" s="1">
        <v>40553</v>
      </c>
      <c r="C105" s="1">
        <v>40555</v>
      </c>
      <c r="D105" t="s">
        <v>18</v>
      </c>
      <c r="E105" t="s">
        <v>239</v>
      </c>
      <c r="F105" t="s">
        <v>26</v>
      </c>
      <c r="G105" t="s">
        <v>240</v>
      </c>
      <c r="H105" t="s">
        <v>241</v>
      </c>
      <c r="I105" t="s">
        <v>6</v>
      </c>
      <c r="J105" t="s">
        <v>6</v>
      </c>
      <c r="K105" t="s">
        <v>32</v>
      </c>
      <c r="L105" t="s">
        <v>62</v>
      </c>
      <c r="M105">
        <v>968</v>
      </c>
      <c r="N105">
        <v>2</v>
      </c>
      <c r="O105">
        <v>0</v>
      </c>
      <c r="P105">
        <v>445.26</v>
      </c>
      <c r="Q105">
        <v>80.13</v>
      </c>
      <c r="R105" t="s">
        <v>23</v>
      </c>
      <c r="S105">
        <f>Sheet1[[#This Row],[Ship_date]]-Sheet1[[#This Row],[Order_date]]</f>
        <v>2</v>
      </c>
      <c r="T105">
        <f>Sheet1[[#This Row],[Quantity]]*Sheet1[[#This Row],[Sales]]</f>
        <v>1936</v>
      </c>
      <c r="U105">
        <f>Sheet1[[#This Row],[Total Sales]]*Sheet1[[#This Row],[Discount]]</f>
        <v>0</v>
      </c>
      <c r="V105" s="4">
        <f>Sheet1[[#This Row],[Total Sales]]-Sheet1[[#This Row],[Total Sales]]*Sheet1[[#This Row],[Discount]]</f>
        <v>1936</v>
      </c>
      <c r="W105" s="4">
        <f>Sheet1[[#This Row],[Quantity]]*Sheet1[[#This Row],[Profit]]</f>
        <v>890.52</v>
      </c>
      <c r="X105" s="5">
        <f>Sheet1[[#This Row],[Total Profit]]/Sheet1[[#This Row],[Sales After Discount]]</f>
        <v>0.45997933884297521</v>
      </c>
      <c r="Y105" s="4">
        <f>Sheet1[[#This Row],[Shipping_cost]]*Sheet1[[#This Row],[Quantity]]</f>
        <v>160.26</v>
      </c>
      <c r="Z105" s="4">
        <f>Sheet1[[#This Row],[Total Profit]]-Sheet1[[#This Row],[Total Shipping Cost]]</f>
        <v>730.26</v>
      </c>
      <c r="AA105" s="4" t="str">
        <f>IF(Sheet1[[#This Row],[Net Profit]]&gt;0,"Profit","Loss")</f>
        <v>Profit</v>
      </c>
    </row>
    <row r="106" spans="1:27" x14ac:dyDescent="0.25">
      <c r="A106" t="s">
        <v>236</v>
      </c>
      <c r="B106" s="1">
        <v>40553</v>
      </c>
      <c r="C106" s="1">
        <v>40553</v>
      </c>
      <c r="D106" t="s">
        <v>41</v>
      </c>
      <c r="E106" t="s">
        <v>237</v>
      </c>
      <c r="F106" t="s">
        <v>43</v>
      </c>
      <c r="G106" t="s">
        <v>20</v>
      </c>
      <c r="H106" t="s">
        <v>21</v>
      </c>
      <c r="I106" t="s">
        <v>22</v>
      </c>
      <c r="J106" t="s">
        <v>22</v>
      </c>
      <c r="K106" t="s">
        <v>7</v>
      </c>
      <c r="L106" t="s">
        <v>31</v>
      </c>
      <c r="M106">
        <v>142</v>
      </c>
      <c r="N106">
        <v>6</v>
      </c>
      <c r="O106">
        <v>0</v>
      </c>
      <c r="P106">
        <v>63.9</v>
      </c>
      <c r="Q106">
        <v>67.790000000000006</v>
      </c>
      <c r="R106" t="s">
        <v>45</v>
      </c>
      <c r="S106">
        <f>Sheet1[[#This Row],[Ship_date]]-Sheet1[[#This Row],[Order_date]]</f>
        <v>0</v>
      </c>
      <c r="T106">
        <f>Sheet1[[#This Row],[Quantity]]*Sheet1[[#This Row],[Sales]]</f>
        <v>852</v>
      </c>
      <c r="U106">
        <f>Sheet1[[#This Row],[Total Sales]]*Sheet1[[#This Row],[Discount]]</f>
        <v>0</v>
      </c>
      <c r="V106" s="4">
        <f>Sheet1[[#This Row],[Total Sales]]-Sheet1[[#This Row],[Total Sales]]*Sheet1[[#This Row],[Discount]]</f>
        <v>852</v>
      </c>
      <c r="W106" s="4">
        <f>Sheet1[[#This Row],[Quantity]]*Sheet1[[#This Row],[Profit]]</f>
        <v>383.4</v>
      </c>
      <c r="X106" s="5">
        <f>Sheet1[[#This Row],[Total Profit]]/Sheet1[[#This Row],[Sales After Discount]]</f>
        <v>0.44999999999999996</v>
      </c>
      <c r="Y106" s="4">
        <f>Sheet1[[#This Row],[Shipping_cost]]*Sheet1[[#This Row],[Quantity]]</f>
        <v>406.74</v>
      </c>
      <c r="Z106" s="4">
        <f>Sheet1[[#This Row],[Total Profit]]-Sheet1[[#This Row],[Total Shipping Cost]]</f>
        <v>-23.340000000000032</v>
      </c>
      <c r="AA106" s="4" t="str">
        <f>IF(Sheet1[[#This Row],[Net Profit]]&gt;0,"Profit","Loss")</f>
        <v>Loss</v>
      </c>
    </row>
    <row r="107" spans="1:27" x14ac:dyDescent="0.25">
      <c r="A107" t="s">
        <v>236</v>
      </c>
      <c r="B107" s="1">
        <v>40553</v>
      </c>
      <c r="C107" s="1">
        <v>40553</v>
      </c>
      <c r="D107" t="s">
        <v>41</v>
      </c>
      <c r="E107" t="s">
        <v>237</v>
      </c>
      <c r="F107" t="s">
        <v>43</v>
      </c>
      <c r="G107" t="s">
        <v>20</v>
      </c>
      <c r="H107" t="s">
        <v>21</v>
      </c>
      <c r="I107" t="s">
        <v>22</v>
      </c>
      <c r="J107" t="s">
        <v>22</v>
      </c>
      <c r="K107" t="s">
        <v>7</v>
      </c>
      <c r="L107" t="s">
        <v>91</v>
      </c>
      <c r="M107">
        <v>155</v>
      </c>
      <c r="N107">
        <v>6</v>
      </c>
      <c r="O107">
        <v>0</v>
      </c>
      <c r="P107">
        <v>54.18</v>
      </c>
      <c r="Q107">
        <v>58.32</v>
      </c>
      <c r="R107" t="s">
        <v>45</v>
      </c>
      <c r="S107">
        <f>Sheet1[[#This Row],[Ship_date]]-Sheet1[[#This Row],[Order_date]]</f>
        <v>0</v>
      </c>
      <c r="T107">
        <f>Sheet1[[#This Row],[Quantity]]*Sheet1[[#This Row],[Sales]]</f>
        <v>930</v>
      </c>
      <c r="U107">
        <f>Sheet1[[#This Row],[Total Sales]]*Sheet1[[#This Row],[Discount]]</f>
        <v>0</v>
      </c>
      <c r="V107" s="4">
        <f>Sheet1[[#This Row],[Total Sales]]-Sheet1[[#This Row],[Total Sales]]*Sheet1[[#This Row],[Discount]]</f>
        <v>930</v>
      </c>
      <c r="W107" s="4">
        <f>Sheet1[[#This Row],[Quantity]]*Sheet1[[#This Row],[Profit]]</f>
        <v>325.08</v>
      </c>
      <c r="X107" s="5">
        <f>Sheet1[[#This Row],[Total Profit]]/Sheet1[[#This Row],[Sales After Discount]]</f>
        <v>0.34954838709677416</v>
      </c>
      <c r="Y107" s="4">
        <f>Sheet1[[#This Row],[Shipping_cost]]*Sheet1[[#This Row],[Quantity]]</f>
        <v>349.92</v>
      </c>
      <c r="Z107" s="4">
        <f>Sheet1[[#This Row],[Total Profit]]-Sheet1[[#This Row],[Total Shipping Cost]]</f>
        <v>-24.840000000000032</v>
      </c>
      <c r="AA107" s="4" t="str">
        <f>IF(Sheet1[[#This Row],[Net Profit]]&gt;0,"Profit","Loss")</f>
        <v>Loss</v>
      </c>
    </row>
    <row r="108" spans="1:27" x14ac:dyDescent="0.25">
      <c r="A108" t="s">
        <v>236</v>
      </c>
      <c r="B108" s="1">
        <v>40553</v>
      </c>
      <c r="C108" s="1">
        <v>40553</v>
      </c>
      <c r="D108" t="s">
        <v>41</v>
      </c>
      <c r="E108" t="s">
        <v>237</v>
      </c>
      <c r="F108" t="s">
        <v>43</v>
      </c>
      <c r="G108" t="s">
        <v>20</v>
      </c>
      <c r="H108" t="s">
        <v>21</v>
      </c>
      <c r="I108" t="s">
        <v>22</v>
      </c>
      <c r="J108" t="s">
        <v>22</v>
      </c>
      <c r="K108" t="s">
        <v>38</v>
      </c>
      <c r="L108" t="s">
        <v>39</v>
      </c>
      <c r="M108">
        <v>156</v>
      </c>
      <c r="N108">
        <v>2</v>
      </c>
      <c r="O108">
        <v>0</v>
      </c>
      <c r="P108">
        <v>23.4</v>
      </c>
      <c r="Q108">
        <v>52.91</v>
      </c>
      <c r="R108" t="s">
        <v>45</v>
      </c>
      <c r="S108">
        <f>Sheet1[[#This Row],[Ship_date]]-Sheet1[[#This Row],[Order_date]]</f>
        <v>0</v>
      </c>
      <c r="T108">
        <f>Sheet1[[#This Row],[Quantity]]*Sheet1[[#This Row],[Sales]]</f>
        <v>312</v>
      </c>
      <c r="U108">
        <f>Sheet1[[#This Row],[Total Sales]]*Sheet1[[#This Row],[Discount]]</f>
        <v>0</v>
      </c>
      <c r="V108" s="4">
        <f>Sheet1[[#This Row],[Total Sales]]-Sheet1[[#This Row],[Total Sales]]*Sheet1[[#This Row],[Discount]]</f>
        <v>312</v>
      </c>
      <c r="W108" s="4">
        <f>Sheet1[[#This Row],[Quantity]]*Sheet1[[#This Row],[Profit]]</f>
        <v>46.8</v>
      </c>
      <c r="X108" s="5">
        <f>Sheet1[[#This Row],[Total Profit]]/Sheet1[[#This Row],[Sales After Discount]]</f>
        <v>0.15</v>
      </c>
      <c r="Y108" s="4">
        <f>Sheet1[[#This Row],[Shipping_cost]]*Sheet1[[#This Row],[Quantity]]</f>
        <v>105.82</v>
      </c>
      <c r="Z108" s="4">
        <f>Sheet1[[#This Row],[Total Profit]]-Sheet1[[#This Row],[Total Shipping Cost]]</f>
        <v>-59.019999999999996</v>
      </c>
      <c r="AA108" s="4" t="str">
        <f>IF(Sheet1[[#This Row],[Net Profit]]&gt;0,"Profit","Loss")</f>
        <v>Loss</v>
      </c>
    </row>
    <row r="109" spans="1:27" x14ac:dyDescent="0.25">
      <c r="A109" t="s">
        <v>242</v>
      </c>
      <c r="B109" s="1">
        <v>40553</v>
      </c>
      <c r="C109" s="1">
        <v>40558</v>
      </c>
      <c r="D109" t="s">
        <v>18</v>
      </c>
      <c r="E109" t="s">
        <v>243</v>
      </c>
      <c r="F109" t="s">
        <v>43</v>
      </c>
      <c r="G109" t="s">
        <v>4</v>
      </c>
      <c r="H109" t="s">
        <v>5</v>
      </c>
      <c r="I109" t="s">
        <v>6</v>
      </c>
      <c r="J109" t="s">
        <v>6</v>
      </c>
      <c r="K109" t="s">
        <v>7</v>
      </c>
      <c r="L109" t="s">
        <v>44</v>
      </c>
      <c r="M109">
        <v>309</v>
      </c>
      <c r="N109">
        <v>1</v>
      </c>
      <c r="O109">
        <v>0</v>
      </c>
      <c r="P109">
        <v>61.71</v>
      </c>
      <c r="Q109">
        <v>31.41</v>
      </c>
      <c r="R109" t="s">
        <v>9</v>
      </c>
      <c r="S109">
        <f>Sheet1[[#This Row],[Ship_date]]-Sheet1[[#This Row],[Order_date]]</f>
        <v>5</v>
      </c>
      <c r="T109">
        <f>Sheet1[[#This Row],[Quantity]]*Sheet1[[#This Row],[Sales]]</f>
        <v>309</v>
      </c>
      <c r="U109">
        <f>Sheet1[[#This Row],[Total Sales]]*Sheet1[[#This Row],[Discount]]</f>
        <v>0</v>
      </c>
      <c r="V109" s="4">
        <f>Sheet1[[#This Row],[Total Sales]]-Sheet1[[#This Row],[Total Sales]]*Sheet1[[#This Row],[Discount]]</f>
        <v>309</v>
      </c>
      <c r="W109" s="4">
        <f>Sheet1[[#This Row],[Quantity]]*Sheet1[[#This Row],[Profit]]</f>
        <v>61.71</v>
      </c>
      <c r="X109" s="5">
        <f>Sheet1[[#This Row],[Total Profit]]/Sheet1[[#This Row],[Sales After Discount]]</f>
        <v>0.19970873786407767</v>
      </c>
      <c r="Y109" s="4">
        <f>Sheet1[[#This Row],[Shipping_cost]]*Sheet1[[#This Row],[Quantity]]</f>
        <v>31.41</v>
      </c>
      <c r="Z109" s="4">
        <f>Sheet1[[#This Row],[Total Profit]]-Sheet1[[#This Row],[Total Shipping Cost]]</f>
        <v>30.3</v>
      </c>
      <c r="AA109" s="4" t="str">
        <f>IF(Sheet1[[#This Row],[Net Profit]]&gt;0,"Profit","Loss")</f>
        <v>Profit</v>
      </c>
    </row>
    <row r="110" spans="1:27" x14ac:dyDescent="0.25">
      <c r="A110" t="s">
        <v>244</v>
      </c>
      <c r="B110" s="1">
        <v>40553</v>
      </c>
      <c r="C110" s="1">
        <v>40559</v>
      </c>
      <c r="D110" t="s">
        <v>1</v>
      </c>
      <c r="E110" t="s">
        <v>245</v>
      </c>
      <c r="F110" t="s">
        <v>3</v>
      </c>
      <c r="G110" t="s">
        <v>246</v>
      </c>
      <c r="H110" t="s">
        <v>247</v>
      </c>
      <c r="I110" t="s">
        <v>75</v>
      </c>
      <c r="J110" t="s">
        <v>102</v>
      </c>
      <c r="K110" t="s">
        <v>38</v>
      </c>
      <c r="L110" t="s">
        <v>50</v>
      </c>
      <c r="M110">
        <v>425</v>
      </c>
      <c r="N110">
        <v>3</v>
      </c>
      <c r="O110">
        <v>0.40200000000000002</v>
      </c>
      <c r="P110">
        <v>-278.79023999999998</v>
      </c>
      <c r="Q110">
        <v>26.72</v>
      </c>
      <c r="R110" t="s">
        <v>9</v>
      </c>
      <c r="S110">
        <f>Sheet1[[#This Row],[Ship_date]]-Sheet1[[#This Row],[Order_date]]</f>
        <v>6</v>
      </c>
      <c r="T110">
        <f>Sheet1[[#This Row],[Quantity]]*Sheet1[[#This Row],[Sales]]</f>
        <v>1275</v>
      </c>
      <c r="U110">
        <f>Sheet1[[#This Row],[Total Sales]]*Sheet1[[#This Row],[Discount]]</f>
        <v>512.55000000000007</v>
      </c>
      <c r="V110" s="4">
        <f>Sheet1[[#This Row],[Total Sales]]-Sheet1[[#This Row],[Total Sales]]*Sheet1[[#This Row],[Discount]]</f>
        <v>762.44999999999993</v>
      </c>
      <c r="W110" s="4">
        <f>Sheet1[[#This Row],[Quantity]]*Sheet1[[#This Row],[Profit]]</f>
        <v>-836.37071999999989</v>
      </c>
      <c r="X110" s="5">
        <f>Sheet1[[#This Row],[Total Profit]]/Sheet1[[#This Row],[Sales After Discount]]</f>
        <v>-1.096951564036986</v>
      </c>
      <c r="Y110" s="4">
        <f>Sheet1[[#This Row],[Shipping_cost]]*Sheet1[[#This Row],[Quantity]]</f>
        <v>80.16</v>
      </c>
      <c r="Z110" s="4">
        <f>Sheet1[[#This Row],[Total Profit]]-Sheet1[[#This Row],[Total Shipping Cost]]</f>
        <v>-916.53071999999986</v>
      </c>
      <c r="AA110" s="4" t="str">
        <f>IF(Sheet1[[#This Row],[Net Profit]]&gt;0,"Profit","Loss")</f>
        <v>Loss</v>
      </c>
    </row>
    <row r="111" spans="1:27" x14ac:dyDescent="0.25">
      <c r="A111" t="s">
        <v>236</v>
      </c>
      <c r="B111" s="1">
        <v>40553</v>
      </c>
      <c r="C111" s="1">
        <v>40553</v>
      </c>
      <c r="D111" t="s">
        <v>41</v>
      </c>
      <c r="E111" t="s">
        <v>237</v>
      </c>
      <c r="F111" t="s">
        <v>43</v>
      </c>
      <c r="G111" t="s">
        <v>20</v>
      </c>
      <c r="H111" t="s">
        <v>21</v>
      </c>
      <c r="I111" t="s">
        <v>22</v>
      </c>
      <c r="J111" t="s">
        <v>22</v>
      </c>
      <c r="K111" t="s">
        <v>7</v>
      </c>
      <c r="L111" t="s">
        <v>31</v>
      </c>
      <c r="M111">
        <v>53</v>
      </c>
      <c r="N111">
        <v>2</v>
      </c>
      <c r="O111">
        <v>0</v>
      </c>
      <c r="P111">
        <v>0</v>
      </c>
      <c r="Q111">
        <v>16.059999999999999</v>
      </c>
      <c r="R111" t="s">
        <v>45</v>
      </c>
      <c r="S111">
        <f>Sheet1[[#This Row],[Ship_date]]-Sheet1[[#This Row],[Order_date]]</f>
        <v>0</v>
      </c>
      <c r="T111">
        <f>Sheet1[[#This Row],[Quantity]]*Sheet1[[#This Row],[Sales]]</f>
        <v>106</v>
      </c>
      <c r="U111">
        <f>Sheet1[[#This Row],[Total Sales]]*Sheet1[[#This Row],[Discount]]</f>
        <v>0</v>
      </c>
      <c r="V111" s="4">
        <f>Sheet1[[#This Row],[Total Sales]]-Sheet1[[#This Row],[Total Sales]]*Sheet1[[#This Row],[Discount]]</f>
        <v>106</v>
      </c>
      <c r="W111" s="4">
        <f>Sheet1[[#This Row],[Quantity]]*Sheet1[[#This Row],[Profit]]</f>
        <v>0</v>
      </c>
      <c r="X111" s="5">
        <f>Sheet1[[#This Row],[Total Profit]]/Sheet1[[#This Row],[Sales After Discount]]</f>
        <v>0</v>
      </c>
      <c r="Y111" s="4">
        <f>Sheet1[[#This Row],[Shipping_cost]]*Sheet1[[#This Row],[Quantity]]</f>
        <v>32.119999999999997</v>
      </c>
      <c r="Z111" s="4">
        <f>Sheet1[[#This Row],[Total Profit]]-Sheet1[[#This Row],[Total Shipping Cost]]</f>
        <v>-32.119999999999997</v>
      </c>
      <c r="AA111" s="4" t="str">
        <f>IF(Sheet1[[#This Row],[Net Profit]]&gt;0,"Profit","Loss")</f>
        <v>Loss</v>
      </c>
    </row>
    <row r="112" spans="1:27" x14ac:dyDescent="0.25">
      <c r="A112" t="s">
        <v>248</v>
      </c>
      <c r="B112" s="1">
        <v>40553</v>
      </c>
      <c r="C112" s="1">
        <v>40557</v>
      </c>
      <c r="D112" t="s">
        <v>1</v>
      </c>
      <c r="E112" t="s">
        <v>249</v>
      </c>
      <c r="F112" t="s">
        <v>43</v>
      </c>
      <c r="G112" t="s">
        <v>65</v>
      </c>
      <c r="H112" t="s">
        <v>66</v>
      </c>
      <c r="I112" t="s">
        <v>29</v>
      </c>
      <c r="J112" t="s">
        <v>30</v>
      </c>
      <c r="K112" t="s">
        <v>7</v>
      </c>
      <c r="L112" t="s">
        <v>8</v>
      </c>
      <c r="M112">
        <v>206</v>
      </c>
      <c r="N112">
        <v>3</v>
      </c>
      <c r="O112">
        <v>0.5</v>
      </c>
      <c r="P112">
        <v>-41.265000000000001</v>
      </c>
      <c r="Q112">
        <v>14.65</v>
      </c>
      <c r="R112" t="s">
        <v>9</v>
      </c>
      <c r="S112">
        <f>Sheet1[[#This Row],[Ship_date]]-Sheet1[[#This Row],[Order_date]]</f>
        <v>4</v>
      </c>
      <c r="T112">
        <f>Sheet1[[#This Row],[Quantity]]*Sheet1[[#This Row],[Sales]]</f>
        <v>618</v>
      </c>
      <c r="U112">
        <f>Sheet1[[#This Row],[Total Sales]]*Sheet1[[#This Row],[Discount]]</f>
        <v>309</v>
      </c>
      <c r="V112" s="4">
        <f>Sheet1[[#This Row],[Total Sales]]-Sheet1[[#This Row],[Total Sales]]*Sheet1[[#This Row],[Discount]]</f>
        <v>309</v>
      </c>
      <c r="W112" s="4">
        <f>Sheet1[[#This Row],[Quantity]]*Sheet1[[#This Row],[Profit]]</f>
        <v>-123.795</v>
      </c>
      <c r="X112" s="5">
        <f>Sheet1[[#This Row],[Total Profit]]/Sheet1[[#This Row],[Sales After Discount]]</f>
        <v>-0.40063106796116504</v>
      </c>
      <c r="Y112" s="4">
        <f>Sheet1[[#This Row],[Shipping_cost]]*Sheet1[[#This Row],[Quantity]]</f>
        <v>43.95</v>
      </c>
      <c r="Z112" s="4">
        <f>Sheet1[[#This Row],[Total Profit]]-Sheet1[[#This Row],[Total Shipping Cost]]</f>
        <v>-167.745</v>
      </c>
      <c r="AA112" s="4" t="str">
        <f>IF(Sheet1[[#This Row],[Net Profit]]&gt;0,"Profit","Loss")</f>
        <v>Loss</v>
      </c>
    </row>
    <row r="113" spans="1:27" x14ac:dyDescent="0.25">
      <c r="A113" t="s">
        <v>236</v>
      </c>
      <c r="B113" s="1">
        <v>40553</v>
      </c>
      <c r="C113" s="1">
        <v>40553</v>
      </c>
      <c r="D113" t="s">
        <v>41</v>
      </c>
      <c r="E113" t="s">
        <v>237</v>
      </c>
      <c r="F113" t="s">
        <v>43</v>
      </c>
      <c r="G113" t="s">
        <v>20</v>
      </c>
      <c r="H113" t="s">
        <v>21</v>
      </c>
      <c r="I113" t="s">
        <v>22</v>
      </c>
      <c r="J113" t="s">
        <v>22</v>
      </c>
      <c r="K113" t="s">
        <v>7</v>
      </c>
      <c r="L113" t="s">
        <v>96</v>
      </c>
      <c r="M113">
        <v>42</v>
      </c>
      <c r="N113">
        <v>1</v>
      </c>
      <c r="O113">
        <v>0</v>
      </c>
      <c r="P113">
        <v>1.65</v>
      </c>
      <c r="Q113">
        <v>13.08</v>
      </c>
      <c r="R113" t="s">
        <v>45</v>
      </c>
      <c r="S113">
        <f>Sheet1[[#This Row],[Ship_date]]-Sheet1[[#This Row],[Order_date]]</f>
        <v>0</v>
      </c>
      <c r="T113">
        <f>Sheet1[[#This Row],[Quantity]]*Sheet1[[#This Row],[Sales]]</f>
        <v>42</v>
      </c>
      <c r="U113">
        <f>Sheet1[[#This Row],[Total Sales]]*Sheet1[[#This Row],[Discount]]</f>
        <v>0</v>
      </c>
      <c r="V113" s="4">
        <f>Sheet1[[#This Row],[Total Sales]]-Sheet1[[#This Row],[Total Sales]]*Sheet1[[#This Row],[Discount]]</f>
        <v>42</v>
      </c>
      <c r="W113" s="4">
        <f>Sheet1[[#This Row],[Quantity]]*Sheet1[[#This Row],[Profit]]</f>
        <v>1.65</v>
      </c>
      <c r="X113" s="5">
        <f>Sheet1[[#This Row],[Total Profit]]/Sheet1[[#This Row],[Sales After Discount]]</f>
        <v>3.9285714285714285E-2</v>
      </c>
      <c r="Y113" s="4">
        <f>Sheet1[[#This Row],[Shipping_cost]]*Sheet1[[#This Row],[Quantity]]</f>
        <v>13.08</v>
      </c>
      <c r="Z113" s="4">
        <f>Sheet1[[#This Row],[Total Profit]]-Sheet1[[#This Row],[Total Shipping Cost]]</f>
        <v>-11.43</v>
      </c>
      <c r="AA113" s="4" t="str">
        <f>IF(Sheet1[[#This Row],[Net Profit]]&gt;0,"Profit","Loss")</f>
        <v>Loss</v>
      </c>
    </row>
    <row r="114" spans="1:27" x14ac:dyDescent="0.25">
      <c r="A114" t="s">
        <v>250</v>
      </c>
      <c r="B114" s="1">
        <v>40553</v>
      </c>
      <c r="C114" s="1">
        <v>40558</v>
      </c>
      <c r="D114" t="s">
        <v>1</v>
      </c>
      <c r="E114" t="s">
        <v>251</v>
      </c>
      <c r="F114" t="s">
        <v>3</v>
      </c>
      <c r="G114" t="s">
        <v>252</v>
      </c>
      <c r="H114" t="s">
        <v>106</v>
      </c>
      <c r="I114" t="s">
        <v>75</v>
      </c>
      <c r="J114" t="s">
        <v>30</v>
      </c>
      <c r="K114" t="s">
        <v>7</v>
      </c>
      <c r="L114" t="s">
        <v>8</v>
      </c>
      <c r="M114">
        <v>114</v>
      </c>
      <c r="N114">
        <v>3</v>
      </c>
      <c r="O114">
        <v>0</v>
      </c>
      <c r="P114">
        <v>56.88</v>
      </c>
      <c r="Q114">
        <v>8.93</v>
      </c>
      <c r="R114" t="s">
        <v>9</v>
      </c>
      <c r="S114">
        <f>Sheet1[[#This Row],[Ship_date]]-Sheet1[[#This Row],[Order_date]]</f>
        <v>5</v>
      </c>
      <c r="T114">
        <f>Sheet1[[#This Row],[Quantity]]*Sheet1[[#This Row],[Sales]]</f>
        <v>342</v>
      </c>
      <c r="U114">
        <f>Sheet1[[#This Row],[Total Sales]]*Sheet1[[#This Row],[Discount]]</f>
        <v>0</v>
      </c>
      <c r="V114" s="4">
        <f>Sheet1[[#This Row],[Total Sales]]-Sheet1[[#This Row],[Total Sales]]*Sheet1[[#This Row],[Discount]]</f>
        <v>342</v>
      </c>
      <c r="W114" s="4">
        <f>Sheet1[[#This Row],[Quantity]]*Sheet1[[#This Row],[Profit]]</f>
        <v>170.64000000000001</v>
      </c>
      <c r="X114" s="5">
        <f>Sheet1[[#This Row],[Total Profit]]/Sheet1[[#This Row],[Sales After Discount]]</f>
        <v>0.49894736842105269</v>
      </c>
      <c r="Y114" s="4">
        <f>Sheet1[[#This Row],[Shipping_cost]]*Sheet1[[#This Row],[Quantity]]</f>
        <v>26.79</v>
      </c>
      <c r="Z114" s="4">
        <f>Sheet1[[#This Row],[Total Profit]]-Sheet1[[#This Row],[Total Shipping Cost]]</f>
        <v>143.85000000000002</v>
      </c>
      <c r="AA114" s="4" t="str">
        <f>IF(Sheet1[[#This Row],[Net Profit]]&gt;0,"Profit","Loss")</f>
        <v>Profit</v>
      </c>
    </row>
    <row r="115" spans="1:27" x14ac:dyDescent="0.25">
      <c r="A115" t="s">
        <v>253</v>
      </c>
      <c r="B115" s="1">
        <v>40553</v>
      </c>
      <c r="C115" s="1">
        <v>40554</v>
      </c>
      <c r="D115" t="s">
        <v>142</v>
      </c>
      <c r="E115" t="s">
        <v>254</v>
      </c>
      <c r="F115" t="s">
        <v>3</v>
      </c>
      <c r="G115" t="s">
        <v>255</v>
      </c>
      <c r="H115" t="s">
        <v>169</v>
      </c>
      <c r="I115" t="s">
        <v>14</v>
      </c>
      <c r="J115" t="s">
        <v>132</v>
      </c>
      <c r="K115" t="s">
        <v>7</v>
      </c>
      <c r="L115" t="s">
        <v>16</v>
      </c>
      <c r="M115">
        <v>26</v>
      </c>
      <c r="N115">
        <v>2</v>
      </c>
      <c r="O115">
        <v>0</v>
      </c>
      <c r="P115">
        <v>5.4</v>
      </c>
      <c r="Q115">
        <v>5.86</v>
      </c>
      <c r="R115" t="s">
        <v>23</v>
      </c>
      <c r="S115">
        <f>Sheet1[[#This Row],[Ship_date]]-Sheet1[[#This Row],[Order_date]]</f>
        <v>1</v>
      </c>
      <c r="T115">
        <f>Sheet1[[#This Row],[Quantity]]*Sheet1[[#This Row],[Sales]]</f>
        <v>52</v>
      </c>
      <c r="U115">
        <f>Sheet1[[#This Row],[Total Sales]]*Sheet1[[#This Row],[Discount]]</f>
        <v>0</v>
      </c>
      <c r="V115" s="4">
        <f>Sheet1[[#This Row],[Total Sales]]-Sheet1[[#This Row],[Total Sales]]*Sheet1[[#This Row],[Discount]]</f>
        <v>52</v>
      </c>
      <c r="W115" s="4">
        <f>Sheet1[[#This Row],[Quantity]]*Sheet1[[#This Row],[Profit]]</f>
        <v>10.8</v>
      </c>
      <c r="X115" s="5">
        <f>Sheet1[[#This Row],[Total Profit]]/Sheet1[[#This Row],[Sales After Discount]]</f>
        <v>0.2076923076923077</v>
      </c>
      <c r="Y115" s="4">
        <f>Sheet1[[#This Row],[Shipping_cost]]*Sheet1[[#This Row],[Quantity]]</f>
        <v>11.72</v>
      </c>
      <c r="Z115" s="4">
        <f>Sheet1[[#This Row],[Total Profit]]-Sheet1[[#This Row],[Total Shipping Cost]]</f>
        <v>-0.91999999999999993</v>
      </c>
      <c r="AA115" s="4" t="str">
        <f>IF(Sheet1[[#This Row],[Net Profit]]&gt;0,"Profit","Loss")</f>
        <v>Loss</v>
      </c>
    </row>
    <row r="116" spans="1:27" x14ac:dyDescent="0.25">
      <c r="A116" t="s">
        <v>233</v>
      </c>
      <c r="B116" s="1">
        <v>40553</v>
      </c>
      <c r="C116" s="1">
        <v>40554</v>
      </c>
      <c r="D116" t="s">
        <v>142</v>
      </c>
      <c r="E116" t="s">
        <v>234</v>
      </c>
      <c r="F116" t="s">
        <v>3</v>
      </c>
      <c r="G116" t="s">
        <v>235</v>
      </c>
      <c r="H116" t="s">
        <v>13</v>
      </c>
      <c r="I116" t="s">
        <v>14</v>
      </c>
      <c r="J116" t="s">
        <v>15</v>
      </c>
      <c r="K116" t="s">
        <v>7</v>
      </c>
      <c r="L116" t="s">
        <v>87</v>
      </c>
      <c r="M116">
        <v>30</v>
      </c>
      <c r="N116">
        <v>4</v>
      </c>
      <c r="O116">
        <v>0.1</v>
      </c>
      <c r="P116">
        <v>12.096</v>
      </c>
      <c r="Q116">
        <v>5.54</v>
      </c>
      <c r="R116" t="s">
        <v>9</v>
      </c>
      <c r="S116">
        <f>Sheet1[[#This Row],[Ship_date]]-Sheet1[[#This Row],[Order_date]]</f>
        <v>1</v>
      </c>
      <c r="T116">
        <f>Sheet1[[#This Row],[Quantity]]*Sheet1[[#This Row],[Sales]]</f>
        <v>120</v>
      </c>
      <c r="U116">
        <f>Sheet1[[#This Row],[Total Sales]]*Sheet1[[#This Row],[Discount]]</f>
        <v>12</v>
      </c>
      <c r="V116" s="4">
        <f>Sheet1[[#This Row],[Total Sales]]-Sheet1[[#This Row],[Total Sales]]*Sheet1[[#This Row],[Discount]]</f>
        <v>108</v>
      </c>
      <c r="W116" s="4">
        <f>Sheet1[[#This Row],[Quantity]]*Sheet1[[#This Row],[Profit]]</f>
        <v>48.384</v>
      </c>
      <c r="X116" s="5">
        <f>Sheet1[[#This Row],[Total Profit]]/Sheet1[[#This Row],[Sales After Discount]]</f>
        <v>0.44800000000000001</v>
      </c>
      <c r="Y116" s="4">
        <f>Sheet1[[#This Row],[Shipping_cost]]*Sheet1[[#This Row],[Quantity]]</f>
        <v>22.16</v>
      </c>
      <c r="Z116" s="4">
        <f>Sheet1[[#This Row],[Total Profit]]-Sheet1[[#This Row],[Total Shipping Cost]]</f>
        <v>26.224</v>
      </c>
      <c r="AA116" s="4" t="str">
        <f>IF(Sheet1[[#This Row],[Net Profit]]&gt;0,"Profit","Loss")</f>
        <v>Profit</v>
      </c>
    </row>
    <row r="117" spans="1:27" x14ac:dyDescent="0.25">
      <c r="A117" t="s">
        <v>253</v>
      </c>
      <c r="B117" s="1">
        <v>40553</v>
      </c>
      <c r="C117" s="1">
        <v>40554</v>
      </c>
      <c r="D117" t="s">
        <v>142</v>
      </c>
      <c r="E117" t="s">
        <v>254</v>
      </c>
      <c r="F117" t="s">
        <v>3</v>
      </c>
      <c r="G117" t="s">
        <v>255</v>
      </c>
      <c r="H117" t="s">
        <v>169</v>
      </c>
      <c r="I117" t="s">
        <v>14</v>
      </c>
      <c r="J117" t="s">
        <v>132</v>
      </c>
      <c r="K117" t="s">
        <v>7</v>
      </c>
      <c r="L117" t="s">
        <v>137</v>
      </c>
      <c r="M117">
        <v>34</v>
      </c>
      <c r="N117">
        <v>3</v>
      </c>
      <c r="O117">
        <v>0</v>
      </c>
      <c r="P117">
        <v>16.11</v>
      </c>
      <c r="Q117">
        <v>5.26</v>
      </c>
      <c r="R117" t="s">
        <v>23</v>
      </c>
      <c r="S117">
        <f>Sheet1[[#This Row],[Ship_date]]-Sheet1[[#This Row],[Order_date]]</f>
        <v>1</v>
      </c>
      <c r="T117">
        <f>Sheet1[[#This Row],[Quantity]]*Sheet1[[#This Row],[Sales]]</f>
        <v>102</v>
      </c>
      <c r="U117">
        <f>Sheet1[[#This Row],[Total Sales]]*Sheet1[[#This Row],[Discount]]</f>
        <v>0</v>
      </c>
      <c r="V117" s="4">
        <f>Sheet1[[#This Row],[Total Sales]]-Sheet1[[#This Row],[Total Sales]]*Sheet1[[#This Row],[Discount]]</f>
        <v>102</v>
      </c>
      <c r="W117" s="4">
        <f>Sheet1[[#This Row],[Quantity]]*Sheet1[[#This Row],[Profit]]</f>
        <v>48.33</v>
      </c>
      <c r="X117" s="5">
        <f>Sheet1[[#This Row],[Total Profit]]/Sheet1[[#This Row],[Sales After Discount]]</f>
        <v>0.4738235294117647</v>
      </c>
      <c r="Y117" s="4">
        <f>Sheet1[[#This Row],[Shipping_cost]]*Sheet1[[#This Row],[Quantity]]</f>
        <v>15.78</v>
      </c>
      <c r="Z117" s="4">
        <f>Sheet1[[#This Row],[Total Profit]]-Sheet1[[#This Row],[Total Shipping Cost]]</f>
        <v>32.549999999999997</v>
      </c>
      <c r="AA117" s="4" t="str">
        <f>IF(Sheet1[[#This Row],[Net Profit]]&gt;0,"Profit","Loss")</f>
        <v>Profit</v>
      </c>
    </row>
    <row r="118" spans="1:27" x14ac:dyDescent="0.25">
      <c r="A118" t="s">
        <v>236</v>
      </c>
      <c r="B118" s="1">
        <v>40553</v>
      </c>
      <c r="C118" s="1">
        <v>40553</v>
      </c>
      <c r="D118" t="s">
        <v>41</v>
      </c>
      <c r="E118" t="s">
        <v>237</v>
      </c>
      <c r="F118" t="s">
        <v>43</v>
      </c>
      <c r="G118" t="s">
        <v>20</v>
      </c>
      <c r="H118" t="s">
        <v>21</v>
      </c>
      <c r="I118" t="s">
        <v>22</v>
      </c>
      <c r="J118" t="s">
        <v>22</v>
      </c>
      <c r="K118" t="s">
        <v>38</v>
      </c>
      <c r="L118" t="s">
        <v>39</v>
      </c>
      <c r="M118">
        <v>37</v>
      </c>
      <c r="N118">
        <v>1</v>
      </c>
      <c r="O118">
        <v>0</v>
      </c>
      <c r="P118">
        <v>5.55</v>
      </c>
      <c r="Q118">
        <v>4.32</v>
      </c>
      <c r="R118" t="s">
        <v>45</v>
      </c>
      <c r="S118">
        <f>Sheet1[[#This Row],[Ship_date]]-Sheet1[[#This Row],[Order_date]]</f>
        <v>0</v>
      </c>
      <c r="T118">
        <f>Sheet1[[#This Row],[Quantity]]*Sheet1[[#This Row],[Sales]]</f>
        <v>37</v>
      </c>
      <c r="U118">
        <f>Sheet1[[#This Row],[Total Sales]]*Sheet1[[#This Row],[Discount]]</f>
        <v>0</v>
      </c>
      <c r="V118" s="4">
        <f>Sheet1[[#This Row],[Total Sales]]-Sheet1[[#This Row],[Total Sales]]*Sheet1[[#This Row],[Discount]]</f>
        <v>37</v>
      </c>
      <c r="W118" s="4">
        <f>Sheet1[[#This Row],[Quantity]]*Sheet1[[#This Row],[Profit]]</f>
        <v>5.55</v>
      </c>
      <c r="X118" s="5">
        <f>Sheet1[[#This Row],[Total Profit]]/Sheet1[[#This Row],[Sales After Discount]]</f>
        <v>0.15</v>
      </c>
      <c r="Y118" s="4">
        <f>Sheet1[[#This Row],[Shipping_cost]]*Sheet1[[#This Row],[Quantity]]</f>
        <v>4.32</v>
      </c>
      <c r="Z118" s="4">
        <f>Sheet1[[#This Row],[Total Profit]]-Sheet1[[#This Row],[Total Shipping Cost]]</f>
        <v>1.2299999999999995</v>
      </c>
      <c r="AA118" s="4" t="str">
        <f>IF(Sheet1[[#This Row],[Net Profit]]&gt;0,"Profit","Loss")</f>
        <v>Profit</v>
      </c>
    </row>
    <row r="119" spans="1:27" x14ac:dyDescent="0.25">
      <c r="A119" t="s">
        <v>233</v>
      </c>
      <c r="B119" s="1">
        <v>40553</v>
      </c>
      <c r="C119" s="1">
        <v>40554</v>
      </c>
      <c r="D119" t="s">
        <v>142</v>
      </c>
      <c r="E119" t="s">
        <v>234</v>
      </c>
      <c r="F119" t="s">
        <v>3</v>
      </c>
      <c r="G119" t="s">
        <v>235</v>
      </c>
      <c r="H119" t="s">
        <v>13</v>
      </c>
      <c r="I119" t="s">
        <v>14</v>
      </c>
      <c r="J119" t="s">
        <v>15</v>
      </c>
      <c r="K119" t="s">
        <v>7</v>
      </c>
      <c r="L119" t="s">
        <v>31</v>
      </c>
      <c r="M119">
        <v>162</v>
      </c>
      <c r="N119">
        <v>6</v>
      </c>
      <c r="O119">
        <v>0.1</v>
      </c>
      <c r="P119">
        <v>53.694000000000003</v>
      </c>
      <c r="Q119">
        <v>3.02</v>
      </c>
      <c r="R119" t="s">
        <v>9</v>
      </c>
      <c r="S119">
        <f>Sheet1[[#This Row],[Ship_date]]-Sheet1[[#This Row],[Order_date]]</f>
        <v>1</v>
      </c>
      <c r="T119">
        <f>Sheet1[[#This Row],[Quantity]]*Sheet1[[#This Row],[Sales]]</f>
        <v>972</v>
      </c>
      <c r="U119">
        <f>Sheet1[[#This Row],[Total Sales]]*Sheet1[[#This Row],[Discount]]</f>
        <v>97.2</v>
      </c>
      <c r="V119" s="4">
        <f>Sheet1[[#This Row],[Total Sales]]-Sheet1[[#This Row],[Total Sales]]*Sheet1[[#This Row],[Discount]]</f>
        <v>874.8</v>
      </c>
      <c r="W119" s="4">
        <f>Sheet1[[#This Row],[Quantity]]*Sheet1[[#This Row],[Profit]]</f>
        <v>322.16399999999999</v>
      </c>
      <c r="X119" s="5">
        <f>Sheet1[[#This Row],[Total Profit]]/Sheet1[[#This Row],[Sales After Discount]]</f>
        <v>0.3682716049382716</v>
      </c>
      <c r="Y119" s="4">
        <f>Sheet1[[#This Row],[Shipping_cost]]*Sheet1[[#This Row],[Quantity]]</f>
        <v>18.12</v>
      </c>
      <c r="Z119" s="4">
        <f>Sheet1[[#This Row],[Total Profit]]-Sheet1[[#This Row],[Total Shipping Cost]]</f>
        <v>304.04399999999998</v>
      </c>
      <c r="AA119" s="4" t="str">
        <f>IF(Sheet1[[#This Row],[Net Profit]]&gt;0,"Profit","Loss")</f>
        <v>Profit</v>
      </c>
    </row>
    <row r="120" spans="1:27" x14ac:dyDescent="0.25">
      <c r="A120" t="s">
        <v>236</v>
      </c>
      <c r="B120" s="1">
        <v>40553</v>
      </c>
      <c r="C120" s="1">
        <v>40553</v>
      </c>
      <c r="D120" t="s">
        <v>41</v>
      </c>
      <c r="E120" t="s">
        <v>237</v>
      </c>
      <c r="F120" t="s">
        <v>43</v>
      </c>
      <c r="G120" t="s">
        <v>20</v>
      </c>
      <c r="H120" t="s">
        <v>21</v>
      </c>
      <c r="I120" t="s">
        <v>22</v>
      </c>
      <c r="J120" t="s">
        <v>22</v>
      </c>
      <c r="K120" t="s">
        <v>7</v>
      </c>
      <c r="L120" t="s">
        <v>91</v>
      </c>
      <c r="M120">
        <v>11</v>
      </c>
      <c r="N120">
        <v>1</v>
      </c>
      <c r="O120">
        <v>0</v>
      </c>
      <c r="P120">
        <v>2.61</v>
      </c>
      <c r="Q120">
        <v>2.59</v>
      </c>
      <c r="R120" t="s">
        <v>45</v>
      </c>
      <c r="S120">
        <f>Sheet1[[#This Row],[Ship_date]]-Sheet1[[#This Row],[Order_date]]</f>
        <v>0</v>
      </c>
      <c r="T120">
        <f>Sheet1[[#This Row],[Quantity]]*Sheet1[[#This Row],[Sales]]</f>
        <v>11</v>
      </c>
      <c r="U120">
        <f>Sheet1[[#This Row],[Total Sales]]*Sheet1[[#This Row],[Discount]]</f>
        <v>0</v>
      </c>
      <c r="V120" s="4">
        <f>Sheet1[[#This Row],[Total Sales]]-Sheet1[[#This Row],[Total Sales]]*Sheet1[[#This Row],[Discount]]</f>
        <v>11</v>
      </c>
      <c r="W120" s="4">
        <f>Sheet1[[#This Row],[Quantity]]*Sheet1[[#This Row],[Profit]]</f>
        <v>2.61</v>
      </c>
      <c r="X120" s="5">
        <f>Sheet1[[#This Row],[Total Profit]]/Sheet1[[#This Row],[Sales After Discount]]</f>
        <v>0.23727272727272727</v>
      </c>
      <c r="Y120" s="4">
        <f>Sheet1[[#This Row],[Shipping_cost]]*Sheet1[[#This Row],[Quantity]]</f>
        <v>2.59</v>
      </c>
      <c r="Z120" s="4">
        <f>Sheet1[[#This Row],[Total Profit]]-Sheet1[[#This Row],[Total Shipping Cost]]</f>
        <v>2.0000000000000018E-2</v>
      </c>
      <c r="AA120" s="4" t="str">
        <f>IF(Sheet1[[#This Row],[Net Profit]]&gt;0,"Profit","Loss")</f>
        <v>Profit</v>
      </c>
    </row>
    <row r="121" spans="1:27" x14ac:dyDescent="0.25">
      <c r="A121" t="s">
        <v>236</v>
      </c>
      <c r="B121" s="1">
        <v>40553</v>
      </c>
      <c r="C121" s="1">
        <v>40553</v>
      </c>
      <c r="D121" t="s">
        <v>41</v>
      </c>
      <c r="E121" t="s">
        <v>237</v>
      </c>
      <c r="F121" t="s">
        <v>43</v>
      </c>
      <c r="G121" t="s">
        <v>20</v>
      </c>
      <c r="H121" t="s">
        <v>21</v>
      </c>
      <c r="I121" t="s">
        <v>22</v>
      </c>
      <c r="J121" t="s">
        <v>22</v>
      </c>
      <c r="K121" t="s">
        <v>7</v>
      </c>
      <c r="L121" t="s">
        <v>137</v>
      </c>
      <c r="M121">
        <v>11</v>
      </c>
      <c r="N121">
        <v>1</v>
      </c>
      <c r="O121">
        <v>0</v>
      </c>
      <c r="P121">
        <v>2.4</v>
      </c>
      <c r="Q121">
        <v>2.0299999999999998</v>
      </c>
      <c r="R121" t="s">
        <v>45</v>
      </c>
      <c r="S121">
        <f>Sheet1[[#This Row],[Ship_date]]-Sheet1[[#This Row],[Order_date]]</f>
        <v>0</v>
      </c>
      <c r="T121">
        <f>Sheet1[[#This Row],[Quantity]]*Sheet1[[#This Row],[Sales]]</f>
        <v>11</v>
      </c>
      <c r="U121">
        <f>Sheet1[[#This Row],[Total Sales]]*Sheet1[[#This Row],[Discount]]</f>
        <v>0</v>
      </c>
      <c r="V121" s="4">
        <f>Sheet1[[#This Row],[Total Sales]]-Sheet1[[#This Row],[Total Sales]]*Sheet1[[#This Row],[Discount]]</f>
        <v>11</v>
      </c>
      <c r="W121" s="4">
        <f>Sheet1[[#This Row],[Quantity]]*Sheet1[[#This Row],[Profit]]</f>
        <v>2.4</v>
      </c>
      <c r="X121" s="5">
        <f>Sheet1[[#This Row],[Total Profit]]/Sheet1[[#This Row],[Sales After Discount]]</f>
        <v>0.21818181818181817</v>
      </c>
      <c r="Y121" s="4">
        <f>Sheet1[[#This Row],[Shipping_cost]]*Sheet1[[#This Row],[Quantity]]</f>
        <v>2.0299999999999998</v>
      </c>
      <c r="Z121" s="4">
        <f>Sheet1[[#This Row],[Total Profit]]-Sheet1[[#This Row],[Total Shipping Cost]]</f>
        <v>0.37000000000000011</v>
      </c>
      <c r="AA121" s="4" t="str">
        <f>IF(Sheet1[[#This Row],[Net Profit]]&gt;0,"Profit","Loss")</f>
        <v>Profit</v>
      </c>
    </row>
    <row r="122" spans="1:27" x14ac:dyDescent="0.25">
      <c r="A122" t="s">
        <v>256</v>
      </c>
      <c r="B122" s="1">
        <v>40553</v>
      </c>
      <c r="C122" s="1">
        <v>40557</v>
      </c>
      <c r="D122" t="s">
        <v>1</v>
      </c>
      <c r="E122" t="s">
        <v>257</v>
      </c>
      <c r="F122" t="s">
        <v>43</v>
      </c>
      <c r="G122" t="s">
        <v>258</v>
      </c>
      <c r="H122" t="s">
        <v>259</v>
      </c>
      <c r="I122" t="s">
        <v>6</v>
      </c>
      <c r="J122" t="s">
        <v>6</v>
      </c>
      <c r="K122" t="s">
        <v>7</v>
      </c>
      <c r="L122" t="s">
        <v>137</v>
      </c>
      <c r="M122">
        <v>17</v>
      </c>
      <c r="N122">
        <v>1</v>
      </c>
      <c r="O122">
        <v>0</v>
      </c>
      <c r="P122">
        <v>4.6500000000000004</v>
      </c>
      <c r="Q122">
        <v>1.29</v>
      </c>
      <c r="R122" t="s">
        <v>9</v>
      </c>
      <c r="S122">
        <f>Sheet1[[#This Row],[Ship_date]]-Sheet1[[#This Row],[Order_date]]</f>
        <v>4</v>
      </c>
      <c r="T122">
        <f>Sheet1[[#This Row],[Quantity]]*Sheet1[[#This Row],[Sales]]</f>
        <v>17</v>
      </c>
      <c r="U122">
        <f>Sheet1[[#This Row],[Total Sales]]*Sheet1[[#This Row],[Discount]]</f>
        <v>0</v>
      </c>
      <c r="V122" s="4">
        <f>Sheet1[[#This Row],[Total Sales]]-Sheet1[[#This Row],[Total Sales]]*Sheet1[[#This Row],[Discount]]</f>
        <v>17</v>
      </c>
      <c r="W122" s="4">
        <f>Sheet1[[#This Row],[Quantity]]*Sheet1[[#This Row],[Profit]]</f>
        <v>4.6500000000000004</v>
      </c>
      <c r="X122" s="5">
        <f>Sheet1[[#This Row],[Total Profit]]/Sheet1[[#This Row],[Sales After Discount]]</f>
        <v>0.27352941176470591</v>
      </c>
      <c r="Y122" s="4">
        <f>Sheet1[[#This Row],[Shipping_cost]]*Sheet1[[#This Row],[Quantity]]</f>
        <v>1.29</v>
      </c>
      <c r="Z122" s="4">
        <f>Sheet1[[#This Row],[Total Profit]]-Sheet1[[#This Row],[Total Shipping Cost]]</f>
        <v>3.3600000000000003</v>
      </c>
      <c r="AA122" s="4" t="str">
        <f>IF(Sheet1[[#This Row],[Net Profit]]&gt;0,"Profit","Loss")</f>
        <v>Profit</v>
      </c>
    </row>
    <row r="123" spans="1:27" x14ac:dyDescent="0.25">
      <c r="A123" t="s">
        <v>260</v>
      </c>
      <c r="B123" s="1">
        <v>40553</v>
      </c>
      <c r="C123" s="1">
        <v>40557</v>
      </c>
      <c r="D123" t="s">
        <v>1</v>
      </c>
      <c r="E123" t="s">
        <v>261</v>
      </c>
      <c r="F123" t="s">
        <v>3</v>
      </c>
      <c r="G123" t="s">
        <v>125</v>
      </c>
      <c r="H123" t="s">
        <v>126</v>
      </c>
      <c r="I123" t="s">
        <v>127</v>
      </c>
      <c r="J123" t="s">
        <v>76</v>
      </c>
      <c r="K123" t="s">
        <v>38</v>
      </c>
      <c r="L123" t="s">
        <v>82</v>
      </c>
      <c r="M123">
        <v>31</v>
      </c>
      <c r="N123">
        <v>3</v>
      </c>
      <c r="O123">
        <v>0.2</v>
      </c>
      <c r="P123">
        <v>9.75</v>
      </c>
      <c r="Q123">
        <v>1.1299999999999999</v>
      </c>
      <c r="R123" t="s">
        <v>9</v>
      </c>
      <c r="S123">
        <f>Sheet1[[#This Row],[Ship_date]]-Sheet1[[#This Row],[Order_date]]</f>
        <v>4</v>
      </c>
      <c r="T123">
        <f>Sheet1[[#This Row],[Quantity]]*Sheet1[[#This Row],[Sales]]</f>
        <v>93</v>
      </c>
      <c r="U123">
        <f>Sheet1[[#This Row],[Total Sales]]*Sheet1[[#This Row],[Discount]]</f>
        <v>18.600000000000001</v>
      </c>
      <c r="V123" s="4">
        <f>Sheet1[[#This Row],[Total Sales]]-Sheet1[[#This Row],[Total Sales]]*Sheet1[[#This Row],[Discount]]</f>
        <v>74.400000000000006</v>
      </c>
      <c r="W123" s="4">
        <f>Sheet1[[#This Row],[Quantity]]*Sheet1[[#This Row],[Profit]]</f>
        <v>29.25</v>
      </c>
      <c r="X123" s="5">
        <f>Sheet1[[#This Row],[Total Profit]]/Sheet1[[#This Row],[Sales After Discount]]</f>
        <v>0.39314516129032256</v>
      </c>
      <c r="Y123" s="4">
        <f>Sheet1[[#This Row],[Shipping_cost]]*Sheet1[[#This Row],[Quantity]]</f>
        <v>3.3899999999999997</v>
      </c>
      <c r="Z123" s="4">
        <f>Sheet1[[#This Row],[Total Profit]]-Sheet1[[#This Row],[Total Shipping Cost]]</f>
        <v>25.86</v>
      </c>
      <c r="AA123" s="4" t="str">
        <f>IF(Sheet1[[#This Row],[Net Profit]]&gt;0,"Profit","Loss")</f>
        <v>Profit</v>
      </c>
    </row>
    <row r="124" spans="1:27" x14ac:dyDescent="0.25">
      <c r="A124" t="s">
        <v>262</v>
      </c>
      <c r="B124" s="1">
        <v>40553</v>
      </c>
      <c r="C124" s="1">
        <v>40558</v>
      </c>
      <c r="D124" t="s">
        <v>18</v>
      </c>
      <c r="E124" t="s">
        <v>263</v>
      </c>
      <c r="F124" t="s">
        <v>3</v>
      </c>
      <c r="G124" t="s">
        <v>264</v>
      </c>
      <c r="H124" t="s">
        <v>86</v>
      </c>
      <c r="I124" t="s">
        <v>14</v>
      </c>
      <c r="J124" t="s">
        <v>61</v>
      </c>
      <c r="K124" t="s">
        <v>7</v>
      </c>
      <c r="L124" t="s">
        <v>97</v>
      </c>
      <c r="M124">
        <v>12</v>
      </c>
      <c r="N124">
        <v>3</v>
      </c>
      <c r="O124">
        <v>0.47</v>
      </c>
      <c r="P124">
        <v>-5.6825999999999999</v>
      </c>
      <c r="Q124">
        <v>1.04</v>
      </c>
      <c r="R124" t="s">
        <v>9</v>
      </c>
      <c r="S124">
        <f>Sheet1[[#This Row],[Ship_date]]-Sheet1[[#This Row],[Order_date]]</f>
        <v>5</v>
      </c>
      <c r="T124">
        <f>Sheet1[[#This Row],[Quantity]]*Sheet1[[#This Row],[Sales]]</f>
        <v>36</v>
      </c>
      <c r="U124">
        <f>Sheet1[[#This Row],[Total Sales]]*Sheet1[[#This Row],[Discount]]</f>
        <v>16.919999999999998</v>
      </c>
      <c r="V124" s="4">
        <f>Sheet1[[#This Row],[Total Sales]]-Sheet1[[#This Row],[Total Sales]]*Sheet1[[#This Row],[Discount]]</f>
        <v>19.080000000000002</v>
      </c>
      <c r="W124" s="4">
        <f>Sheet1[[#This Row],[Quantity]]*Sheet1[[#This Row],[Profit]]</f>
        <v>-17.047799999999999</v>
      </c>
      <c r="X124" s="5">
        <f>Sheet1[[#This Row],[Total Profit]]/Sheet1[[#This Row],[Sales After Discount]]</f>
        <v>-0.89349056603773569</v>
      </c>
      <c r="Y124" s="4">
        <f>Sheet1[[#This Row],[Shipping_cost]]*Sheet1[[#This Row],[Quantity]]</f>
        <v>3.12</v>
      </c>
      <c r="Z124" s="4">
        <f>Sheet1[[#This Row],[Total Profit]]-Sheet1[[#This Row],[Total Shipping Cost]]</f>
        <v>-20.1678</v>
      </c>
      <c r="AA124" s="4" t="str">
        <f>IF(Sheet1[[#This Row],[Net Profit]]&gt;0,"Profit","Loss")</f>
        <v>Loss</v>
      </c>
    </row>
    <row r="125" spans="1:27" x14ac:dyDescent="0.25">
      <c r="A125" t="s">
        <v>250</v>
      </c>
      <c r="B125" s="1">
        <v>40553</v>
      </c>
      <c r="C125" s="1">
        <v>40558</v>
      </c>
      <c r="D125" t="s">
        <v>1</v>
      </c>
      <c r="E125" t="s">
        <v>251</v>
      </c>
      <c r="F125" t="s">
        <v>3</v>
      </c>
      <c r="G125" t="s">
        <v>252</v>
      </c>
      <c r="H125" t="s">
        <v>106</v>
      </c>
      <c r="I125" t="s">
        <v>75</v>
      </c>
      <c r="J125" t="s">
        <v>30</v>
      </c>
      <c r="K125" t="s">
        <v>7</v>
      </c>
      <c r="L125" t="s">
        <v>16</v>
      </c>
      <c r="M125">
        <v>16</v>
      </c>
      <c r="N125">
        <v>1</v>
      </c>
      <c r="O125">
        <v>0</v>
      </c>
      <c r="P125">
        <v>1.76</v>
      </c>
      <c r="Q125">
        <v>0.89</v>
      </c>
      <c r="R125" t="s">
        <v>9</v>
      </c>
      <c r="S125">
        <f>Sheet1[[#This Row],[Ship_date]]-Sheet1[[#This Row],[Order_date]]</f>
        <v>5</v>
      </c>
      <c r="T125">
        <f>Sheet1[[#This Row],[Quantity]]*Sheet1[[#This Row],[Sales]]</f>
        <v>16</v>
      </c>
      <c r="U125">
        <f>Sheet1[[#This Row],[Total Sales]]*Sheet1[[#This Row],[Discount]]</f>
        <v>0</v>
      </c>
      <c r="V125" s="4">
        <f>Sheet1[[#This Row],[Total Sales]]-Sheet1[[#This Row],[Total Sales]]*Sheet1[[#This Row],[Discount]]</f>
        <v>16</v>
      </c>
      <c r="W125" s="4">
        <f>Sheet1[[#This Row],[Quantity]]*Sheet1[[#This Row],[Profit]]</f>
        <v>1.76</v>
      </c>
      <c r="X125" s="5">
        <f>Sheet1[[#This Row],[Total Profit]]/Sheet1[[#This Row],[Sales After Discount]]</f>
        <v>0.11</v>
      </c>
      <c r="Y125" s="4">
        <f>Sheet1[[#This Row],[Shipping_cost]]*Sheet1[[#This Row],[Quantity]]</f>
        <v>0.89</v>
      </c>
      <c r="Z125" s="4">
        <f>Sheet1[[#This Row],[Total Profit]]-Sheet1[[#This Row],[Total Shipping Cost]]</f>
        <v>0.87</v>
      </c>
      <c r="AA125" s="4" t="str">
        <f>IF(Sheet1[[#This Row],[Net Profit]]&gt;0,"Profit","Loss")</f>
        <v>Profit</v>
      </c>
    </row>
    <row r="126" spans="1:27" x14ac:dyDescent="0.25">
      <c r="A126" t="s">
        <v>260</v>
      </c>
      <c r="B126" s="1">
        <v>40553</v>
      </c>
      <c r="C126" s="1">
        <v>40557</v>
      </c>
      <c r="D126" t="s">
        <v>1</v>
      </c>
      <c r="E126" t="s">
        <v>261</v>
      </c>
      <c r="F126" t="s">
        <v>3</v>
      </c>
      <c r="G126" t="s">
        <v>125</v>
      </c>
      <c r="H126" t="s">
        <v>126</v>
      </c>
      <c r="I126" t="s">
        <v>127</v>
      </c>
      <c r="J126" t="s">
        <v>76</v>
      </c>
      <c r="K126" t="s">
        <v>7</v>
      </c>
      <c r="L126" t="s">
        <v>91</v>
      </c>
      <c r="M126">
        <v>9</v>
      </c>
      <c r="N126">
        <v>2</v>
      </c>
      <c r="O126">
        <v>0.2</v>
      </c>
      <c r="P126">
        <v>1.1679999999999999</v>
      </c>
      <c r="Q126">
        <v>0.21</v>
      </c>
      <c r="R126" t="s">
        <v>9</v>
      </c>
      <c r="S126">
        <f>Sheet1[[#This Row],[Ship_date]]-Sheet1[[#This Row],[Order_date]]</f>
        <v>4</v>
      </c>
      <c r="T126">
        <f>Sheet1[[#This Row],[Quantity]]*Sheet1[[#This Row],[Sales]]</f>
        <v>18</v>
      </c>
      <c r="U126">
        <f>Sheet1[[#This Row],[Total Sales]]*Sheet1[[#This Row],[Discount]]</f>
        <v>3.6</v>
      </c>
      <c r="V126" s="4">
        <f>Sheet1[[#This Row],[Total Sales]]-Sheet1[[#This Row],[Total Sales]]*Sheet1[[#This Row],[Discount]]</f>
        <v>14.4</v>
      </c>
      <c r="W126" s="4">
        <f>Sheet1[[#This Row],[Quantity]]*Sheet1[[#This Row],[Profit]]</f>
        <v>2.3359999999999999</v>
      </c>
      <c r="X126" s="5">
        <f>Sheet1[[#This Row],[Total Profit]]/Sheet1[[#This Row],[Sales After Discount]]</f>
        <v>0.16222222222222221</v>
      </c>
      <c r="Y126" s="4">
        <f>Sheet1[[#This Row],[Shipping_cost]]*Sheet1[[#This Row],[Quantity]]</f>
        <v>0.42</v>
      </c>
      <c r="Z126" s="4">
        <f>Sheet1[[#This Row],[Total Profit]]-Sheet1[[#This Row],[Total Shipping Cost]]</f>
        <v>1.9159999999999999</v>
      </c>
      <c r="AA126" s="4" t="str">
        <f>IF(Sheet1[[#This Row],[Net Profit]]&gt;0,"Profit","Loss")</f>
        <v>Profit</v>
      </c>
    </row>
    <row r="127" spans="1:27" x14ac:dyDescent="0.25">
      <c r="A127" t="s">
        <v>265</v>
      </c>
      <c r="B127" s="1">
        <v>40554</v>
      </c>
      <c r="C127" s="1">
        <v>40554</v>
      </c>
      <c r="D127" t="s">
        <v>41</v>
      </c>
      <c r="E127" t="s">
        <v>266</v>
      </c>
      <c r="F127" t="s">
        <v>3</v>
      </c>
      <c r="G127" t="s">
        <v>65</v>
      </c>
      <c r="H127" t="s">
        <v>66</v>
      </c>
      <c r="I127" t="s">
        <v>29</v>
      </c>
      <c r="J127" t="s">
        <v>30</v>
      </c>
      <c r="K127" t="s">
        <v>32</v>
      </c>
      <c r="L127" t="s">
        <v>56</v>
      </c>
      <c r="M127">
        <v>1384</v>
      </c>
      <c r="N127">
        <v>3</v>
      </c>
      <c r="O127">
        <v>0</v>
      </c>
      <c r="P127">
        <v>13.77</v>
      </c>
      <c r="Q127">
        <v>178.98</v>
      </c>
      <c r="R127" t="s">
        <v>9</v>
      </c>
      <c r="S127">
        <f>Sheet1[[#This Row],[Ship_date]]-Sheet1[[#This Row],[Order_date]]</f>
        <v>0</v>
      </c>
      <c r="T127">
        <f>Sheet1[[#This Row],[Quantity]]*Sheet1[[#This Row],[Sales]]</f>
        <v>4152</v>
      </c>
      <c r="U127">
        <f>Sheet1[[#This Row],[Total Sales]]*Sheet1[[#This Row],[Discount]]</f>
        <v>0</v>
      </c>
      <c r="V127" s="4">
        <f>Sheet1[[#This Row],[Total Sales]]-Sheet1[[#This Row],[Total Sales]]*Sheet1[[#This Row],[Discount]]</f>
        <v>4152</v>
      </c>
      <c r="W127" s="4">
        <f>Sheet1[[#This Row],[Quantity]]*Sheet1[[#This Row],[Profit]]</f>
        <v>41.31</v>
      </c>
      <c r="X127" s="5">
        <f>Sheet1[[#This Row],[Total Profit]]/Sheet1[[#This Row],[Sales After Discount]]</f>
        <v>9.9494219653179193E-3</v>
      </c>
      <c r="Y127" s="4">
        <f>Sheet1[[#This Row],[Shipping_cost]]*Sheet1[[#This Row],[Quantity]]</f>
        <v>536.93999999999994</v>
      </c>
      <c r="Z127" s="4">
        <f>Sheet1[[#This Row],[Total Profit]]-Sheet1[[#This Row],[Total Shipping Cost]]</f>
        <v>-495.62999999999994</v>
      </c>
      <c r="AA127" s="4" t="str">
        <f>IF(Sheet1[[#This Row],[Net Profit]]&gt;0,"Profit","Loss")</f>
        <v>Loss</v>
      </c>
    </row>
    <row r="128" spans="1:27" x14ac:dyDescent="0.25">
      <c r="A128" t="s">
        <v>267</v>
      </c>
      <c r="B128" s="1">
        <v>40554</v>
      </c>
      <c r="C128" s="1">
        <v>40555</v>
      </c>
      <c r="D128" t="s">
        <v>142</v>
      </c>
      <c r="E128" t="s">
        <v>268</v>
      </c>
      <c r="F128" t="s">
        <v>3</v>
      </c>
      <c r="G128" t="s">
        <v>252</v>
      </c>
      <c r="H128" t="s">
        <v>106</v>
      </c>
      <c r="I128" t="s">
        <v>75</v>
      </c>
      <c r="J128" t="s">
        <v>30</v>
      </c>
      <c r="K128" t="s">
        <v>7</v>
      </c>
      <c r="L128" t="s">
        <v>8</v>
      </c>
      <c r="M128">
        <v>1323</v>
      </c>
      <c r="N128">
        <v>10</v>
      </c>
      <c r="O128">
        <v>0</v>
      </c>
      <c r="P128">
        <v>238</v>
      </c>
      <c r="Q128">
        <v>103.84</v>
      </c>
      <c r="R128" t="s">
        <v>9</v>
      </c>
      <c r="S128">
        <f>Sheet1[[#This Row],[Ship_date]]-Sheet1[[#This Row],[Order_date]]</f>
        <v>1</v>
      </c>
      <c r="T128">
        <f>Sheet1[[#This Row],[Quantity]]*Sheet1[[#This Row],[Sales]]</f>
        <v>13230</v>
      </c>
      <c r="U128">
        <f>Sheet1[[#This Row],[Total Sales]]*Sheet1[[#This Row],[Discount]]</f>
        <v>0</v>
      </c>
      <c r="V128" s="4">
        <f>Sheet1[[#This Row],[Total Sales]]-Sheet1[[#This Row],[Total Sales]]*Sheet1[[#This Row],[Discount]]</f>
        <v>13230</v>
      </c>
      <c r="W128" s="4">
        <f>Sheet1[[#This Row],[Quantity]]*Sheet1[[#This Row],[Profit]]</f>
        <v>2380</v>
      </c>
      <c r="X128" s="5">
        <f>Sheet1[[#This Row],[Total Profit]]/Sheet1[[#This Row],[Sales After Discount]]</f>
        <v>0.17989417989417988</v>
      </c>
      <c r="Y128" s="4">
        <f>Sheet1[[#This Row],[Shipping_cost]]*Sheet1[[#This Row],[Quantity]]</f>
        <v>1038.4000000000001</v>
      </c>
      <c r="Z128" s="4">
        <f>Sheet1[[#This Row],[Total Profit]]-Sheet1[[#This Row],[Total Shipping Cost]]</f>
        <v>1341.6</v>
      </c>
      <c r="AA128" s="4" t="str">
        <f>IF(Sheet1[[#This Row],[Net Profit]]&gt;0,"Profit","Loss")</f>
        <v>Profit</v>
      </c>
    </row>
    <row r="129" spans="1:27" x14ac:dyDescent="0.25">
      <c r="A129" t="s">
        <v>267</v>
      </c>
      <c r="B129" s="1">
        <v>40554</v>
      </c>
      <c r="C129" s="1">
        <v>40555</v>
      </c>
      <c r="D129" t="s">
        <v>142</v>
      </c>
      <c r="E129" t="s">
        <v>268</v>
      </c>
      <c r="F129" t="s">
        <v>3</v>
      </c>
      <c r="G129" t="s">
        <v>252</v>
      </c>
      <c r="H129" t="s">
        <v>106</v>
      </c>
      <c r="I129" t="s">
        <v>75</v>
      </c>
      <c r="J129" t="s">
        <v>30</v>
      </c>
      <c r="K129" t="s">
        <v>32</v>
      </c>
      <c r="L129" t="s">
        <v>67</v>
      </c>
      <c r="M129">
        <v>452</v>
      </c>
      <c r="N129">
        <v>5</v>
      </c>
      <c r="O129">
        <v>0.2</v>
      </c>
      <c r="P129">
        <v>-107.3</v>
      </c>
      <c r="Q129">
        <v>57.75</v>
      </c>
      <c r="R129" t="s">
        <v>9</v>
      </c>
      <c r="S129">
        <f>Sheet1[[#This Row],[Ship_date]]-Sheet1[[#This Row],[Order_date]]</f>
        <v>1</v>
      </c>
      <c r="T129">
        <f>Sheet1[[#This Row],[Quantity]]*Sheet1[[#This Row],[Sales]]</f>
        <v>2260</v>
      </c>
      <c r="U129">
        <f>Sheet1[[#This Row],[Total Sales]]*Sheet1[[#This Row],[Discount]]</f>
        <v>452</v>
      </c>
      <c r="V129" s="4">
        <f>Sheet1[[#This Row],[Total Sales]]-Sheet1[[#This Row],[Total Sales]]*Sheet1[[#This Row],[Discount]]</f>
        <v>1808</v>
      </c>
      <c r="W129" s="4">
        <f>Sheet1[[#This Row],[Quantity]]*Sheet1[[#This Row],[Profit]]</f>
        <v>-536.5</v>
      </c>
      <c r="X129" s="5">
        <f>Sheet1[[#This Row],[Total Profit]]/Sheet1[[#This Row],[Sales After Discount]]</f>
        <v>-0.29673672566371684</v>
      </c>
      <c r="Y129" s="4">
        <f>Sheet1[[#This Row],[Shipping_cost]]*Sheet1[[#This Row],[Quantity]]</f>
        <v>288.75</v>
      </c>
      <c r="Z129" s="4">
        <f>Sheet1[[#This Row],[Total Profit]]-Sheet1[[#This Row],[Total Shipping Cost]]</f>
        <v>-825.25</v>
      </c>
      <c r="AA129" s="4" t="str">
        <f>IF(Sheet1[[#This Row],[Net Profit]]&gt;0,"Profit","Loss")</f>
        <v>Loss</v>
      </c>
    </row>
    <row r="130" spans="1:27" x14ac:dyDescent="0.25">
      <c r="A130" t="s">
        <v>269</v>
      </c>
      <c r="B130" s="1">
        <v>40554</v>
      </c>
      <c r="C130" s="1">
        <v>40561</v>
      </c>
      <c r="D130" t="s">
        <v>1</v>
      </c>
      <c r="E130" t="s">
        <v>270</v>
      </c>
      <c r="F130" t="s">
        <v>3</v>
      </c>
      <c r="G130" t="s">
        <v>271</v>
      </c>
      <c r="H130" t="s">
        <v>157</v>
      </c>
      <c r="I130" t="s">
        <v>14</v>
      </c>
      <c r="J130" t="s">
        <v>61</v>
      </c>
      <c r="K130" t="s">
        <v>38</v>
      </c>
      <c r="L130" t="s">
        <v>77</v>
      </c>
      <c r="M130">
        <v>554</v>
      </c>
      <c r="N130">
        <v>4</v>
      </c>
      <c r="O130">
        <v>0.17</v>
      </c>
      <c r="P130">
        <v>40.053600000000003</v>
      </c>
      <c r="Q130">
        <v>42.43</v>
      </c>
      <c r="R130" t="s">
        <v>9</v>
      </c>
      <c r="S130">
        <f>Sheet1[[#This Row],[Ship_date]]-Sheet1[[#This Row],[Order_date]]</f>
        <v>7</v>
      </c>
      <c r="T130">
        <f>Sheet1[[#This Row],[Quantity]]*Sheet1[[#This Row],[Sales]]</f>
        <v>2216</v>
      </c>
      <c r="U130">
        <f>Sheet1[[#This Row],[Total Sales]]*Sheet1[[#This Row],[Discount]]</f>
        <v>376.72</v>
      </c>
      <c r="V130" s="4">
        <f>Sheet1[[#This Row],[Total Sales]]-Sheet1[[#This Row],[Total Sales]]*Sheet1[[#This Row],[Discount]]</f>
        <v>1839.28</v>
      </c>
      <c r="W130" s="4">
        <f>Sheet1[[#This Row],[Quantity]]*Sheet1[[#This Row],[Profit]]</f>
        <v>160.21440000000001</v>
      </c>
      <c r="X130" s="5">
        <f>Sheet1[[#This Row],[Total Profit]]/Sheet1[[#This Row],[Sales After Discount]]</f>
        <v>8.7107128876516907E-2</v>
      </c>
      <c r="Y130" s="4">
        <f>Sheet1[[#This Row],[Shipping_cost]]*Sheet1[[#This Row],[Quantity]]</f>
        <v>169.72</v>
      </c>
      <c r="Z130" s="4">
        <f>Sheet1[[#This Row],[Total Profit]]-Sheet1[[#This Row],[Total Shipping Cost]]</f>
        <v>-9.5055999999999869</v>
      </c>
      <c r="AA130" s="4" t="str">
        <f>IF(Sheet1[[#This Row],[Net Profit]]&gt;0,"Profit","Loss")</f>
        <v>Loss</v>
      </c>
    </row>
    <row r="131" spans="1:27" x14ac:dyDescent="0.25">
      <c r="A131" t="s">
        <v>272</v>
      </c>
      <c r="B131" s="1">
        <v>40554</v>
      </c>
      <c r="C131" s="1">
        <v>40559</v>
      </c>
      <c r="D131" t="s">
        <v>1</v>
      </c>
      <c r="E131" t="s">
        <v>273</v>
      </c>
      <c r="F131" t="s">
        <v>26</v>
      </c>
      <c r="G131" t="s">
        <v>232</v>
      </c>
      <c r="H131" t="s">
        <v>60</v>
      </c>
      <c r="I131" t="s">
        <v>14</v>
      </c>
      <c r="J131" t="s">
        <v>61</v>
      </c>
      <c r="K131" t="s">
        <v>38</v>
      </c>
      <c r="L131" t="s">
        <v>50</v>
      </c>
      <c r="M131">
        <v>697</v>
      </c>
      <c r="N131">
        <v>3</v>
      </c>
      <c r="O131">
        <v>0.35</v>
      </c>
      <c r="P131">
        <v>-343.09800000000001</v>
      </c>
      <c r="Q131">
        <v>40.159999999999997</v>
      </c>
      <c r="R131" t="s">
        <v>9</v>
      </c>
      <c r="S131">
        <f>Sheet1[[#This Row],[Ship_date]]-Sheet1[[#This Row],[Order_date]]</f>
        <v>5</v>
      </c>
      <c r="T131">
        <f>Sheet1[[#This Row],[Quantity]]*Sheet1[[#This Row],[Sales]]</f>
        <v>2091</v>
      </c>
      <c r="U131">
        <f>Sheet1[[#This Row],[Total Sales]]*Sheet1[[#This Row],[Discount]]</f>
        <v>731.84999999999991</v>
      </c>
      <c r="V131" s="4">
        <f>Sheet1[[#This Row],[Total Sales]]-Sheet1[[#This Row],[Total Sales]]*Sheet1[[#This Row],[Discount]]</f>
        <v>1359.15</v>
      </c>
      <c r="W131" s="4">
        <f>Sheet1[[#This Row],[Quantity]]*Sheet1[[#This Row],[Profit]]</f>
        <v>-1029.2940000000001</v>
      </c>
      <c r="X131" s="5">
        <f>Sheet1[[#This Row],[Total Profit]]/Sheet1[[#This Row],[Sales After Discount]]</f>
        <v>-0.75730714049221948</v>
      </c>
      <c r="Y131" s="4">
        <f>Sheet1[[#This Row],[Shipping_cost]]*Sheet1[[#This Row],[Quantity]]</f>
        <v>120.47999999999999</v>
      </c>
      <c r="Z131" s="4">
        <f>Sheet1[[#This Row],[Total Profit]]-Sheet1[[#This Row],[Total Shipping Cost]]</f>
        <v>-1149.7740000000001</v>
      </c>
      <c r="AA131" s="4" t="str">
        <f>IF(Sheet1[[#This Row],[Net Profit]]&gt;0,"Profit","Loss")</f>
        <v>Loss</v>
      </c>
    </row>
    <row r="132" spans="1:27" x14ac:dyDescent="0.25">
      <c r="A132" t="s">
        <v>267</v>
      </c>
      <c r="B132" s="1">
        <v>40554</v>
      </c>
      <c r="C132" s="1">
        <v>40555</v>
      </c>
      <c r="D132" t="s">
        <v>142</v>
      </c>
      <c r="E132" t="s">
        <v>268</v>
      </c>
      <c r="F132" t="s">
        <v>3</v>
      </c>
      <c r="G132" t="s">
        <v>252</v>
      </c>
      <c r="H132" t="s">
        <v>106</v>
      </c>
      <c r="I132" t="s">
        <v>75</v>
      </c>
      <c r="J132" t="s">
        <v>30</v>
      </c>
      <c r="K132" t="s">
        <v>38</v>
      </c>
      <c r="L132" t="s">
        <v>77</v>
      </c>
      <c r="M132">
        <v>245</v>
      </c>
      <c r="N132">
        <v>5</v>
      </c>
      <c r="O132">
        <v>0</v>
      </c>
      <c r="P132">
        <v>88</v>
      </c>
      <c r="Q132">
        <v>39.11</v>
      </c>
      <c r="R132" t="s">
        <v>9</v>
      </c>
      <c r="S132">
        <f>Sheet1[[#This Row],[Ship_date]]-Sheet1[[#This Row],[Order_date]]</f>
        <v>1</v>
      </c>
      <c r="T132">
        <f>Sheet1[[#This Row],[Quantity]]*Sheet1[[#This Row],[Sales]]</f>
        <v>1225</v>
      </c>
      <c r="U132">
        <f>Sheet1[[#This Row],[Total Sales]]*Sheet1[[#This Row],[Discount]]</f>
        <v>0</v>
      </c>
      <c r="V132" s="4">
        <f>Sheet1[[#This Row],[Total Sales]]-Sheet1[[#This Row],[Total Sales]]*Sheet1[[#This Row],[Discount]]</f>
        <v>1225</v>
      </c>
      <c r="W132" s="4">
        <f>Sheet1[[#This Row],[Quantity]]*Sheet1[[#This Row],[Profit]]</f>
        <v>440</v>
      </c>
      <c r="X132" s="5">
        <f>Sheet1[[#This Row],[Total Profit]]/Sheet1[[#This Row],[Sales After Discount]]</f>
        <v>0.35918367346938773</v>
      </c>
      <c r="Y132" s="4">
        <f>Sheet1[[#This Row],[Shipping_cost]]*Sheet1[[#This Row],[Quantity]]</f>
        <v>195.55</v>
      </c>
      <c r="Z132" s="4">
        <f>Sheet1[[#This Row],[Total Profit]]-Sheet1[[#This Row],[Total Shipping Cost]]</f>
        <v>244.45</v>
      </c>
      <c r="AA132" s="4" t="str">
        <f>IF(Sheet1[[#This Row],[Net Profit]]&gt;0,"Profit","Loss")</f>
        <v>Profit</v>
      </c>
    </row>
    <row r="133" spans="1:27" x14ac:dyDescent="0.25">
      <c r="A133" t="s">
        <v>269</v>
      </c>
      <c r="B133" s="1">
        <v>40554</v>
      </c>
      <c r="C133" s="1">
        <v>40561</v>
      </c>
      <c r="D133" t="s">
        <v>1</v>
      </c>
      <c r="E133" t="s">
        <v>270</v>
      </c>
      <c r="F133" t="s">
        <v>3</v>
      </c>
      <c r="G133" t="s">
        <v>271</v>
      </c>
      <c r="H133" t="s">
        <v>157</v>
      </c>
      <c r="I133" t="s">
        <v>14</v>
      </c>
      <c r="J133" t="s">
        <v>61</v>
      </c>
      <c r="K133" t="s">
        <v>7</v>
      </c>
      <c r="L133" t="s">
        <v>91</v>
      </c>
      <c r="M133">
        <v>334</v>
      </c>
      <c r="N133">
        <v>9</v>
      </c>
      <c r="O133">
        <v>0.27</v>
      </c>
      <c r="P133">
        <v>13.4703</v>
      </c>
      <c r="Q133">
        <v>23.56</v>
      </c>
      <c r="R133" t="s">
        <v>9</v>
      </c>
      <c r="S133">
        <f>Sheet1[[#This Row],[Ship_date]]-Sheet1[[#This Row],[Order_date]]</f>
        <v>7</v>
      </c>
      <c r="T133">
        <f>Sheet1[[#This Row],[Quantity]]*Sheet1[[#This Row],[Sales]]</f>
        <v>3006</v>
      </c>
      <c r="U133">
        <f>Sheet1[[#This Row],[Total Sales]]*Sheet1[[#This Row],[Discount]]</f>
        <v>811.62</v>
      </c>
      <c r="V133" s="4">
        <f>Sheet1[[#This Row],[Total Sales]]-Sheet1[[#This Row],[Total Sales]]*Sheet1[[#This Row],[Discount]]</f>
        <v>2194.38</v>
      </c>
      <c r="W133" s="4">
        <f>Sheet1[[#This Row],[Quantity]]*Sheet1[[#This Row],[Profit]]</f>
        <v>121.23269999999999</v>
      </c>
      <c r="X133" s="5">
        <f>Sheet1[[#This Row],[Total Profit]]/Sheet1[[#This Row],[Sales After Discount]]</f>
        <v>5.5246903453367233E-2</v>
      </c>
      <c r="Y133" s="4">
        <f>Sheet1[[#This Row],[Shipping_cost]]*Sheet1[[#This Row],[Quantity]]</f>
        <v>212.04</v>
      </c>
      <c r="Z133" s="4">
        <f>Sheet1[[#This Row],[Total Profit]]-Sheet1[[#This Row],[Total Shipping Cost]]</f>
        <v>-90.807299999999998</v>
      </c>
      <c r="AA133" s="4" t="str">
        <f>IF(Sheet1[[#This Row],[Net Profit]]&gt;0,"Profit","Loss")</f>
        <v>Loss</v>
      </c>
    </row>
    <row r="134" spans="1:27" x14ac:dyDescent="0.25">
      <c r="A134" t="s">
        <v>274</v>
      </c>
      <c r="B134" s="1">
        <v>40554</v>
      </c>
      <c r="C134" s="1">
        <v>40558</v>
      </c>
      <c r="D134" t="s">
        <v>1</v>
      </c>
      <c r="E134" t="s">
        <v>64</v>
      </c>
      <c r="F134" t="s">
        <v>3</v>
      </c>
      <c r="G134" t="s">
        <v>275</v>
      </c>
      <c r="H134" t="s">
        <v>276</v>
      </c>
      <c r="I134" t="s">
        <v>29</v>
      </c>
      <c r="J134" t="s">
        <v>102</v>
      </c>
      <c r="K134" t="s">
        <v>32</v>
      </c>
      <c r="L134" t="s">
        <v>62</v>
      </c>
      <c r="M134">
        <v>268</v>
      </c>
      <c r="N134">
        <v>2</v>
      </c>
      <c r="O134">
        <v>0.6</v>
      </c>
      <c r="P134">
        <v>-341.73599999999999</v>
      </c>
      <c r="Q134">
        <v>21.49</v>
      </c>
      <c r="R134" t="s">
        <v>23</v>
      </c>
      <c r="S134">
        <f>Sheet1[[#This Row],[Ship_date]]-Sheet1[[#This Row],[Order_date]]</f>
        <v>4</v>
      </c>
      <c r="T134">
        <f>Sheet1[[#This Row],[Quantity]]*Sheet1[[#This Row],[Sales]]</f>
        <v>536</v>
      </c>
      <c r="U134">
        <f>Sheet1[[#This Row],[Total Sales]]*Sheet1[[#This Row],[Discount]]</f>
        <v>321.59999999999997</v>
      </c>
      <c r="V134" s="4">
        <f>Sheet1[[#This Row],[Total Sales]]-Sheet1[[#This Row],[Total Sales]]*Sheet1[[#This Row],[Discount]]</f>
        <v>214.40000000000003</v>
      </c>
      <c r="W134" s="4">
        <f>Sheet1[[#This Row],[Quantity]]*Sheet1[[#This Row],[Profit]]</f>
        <v>-683.47199999999998</v>
      </c>
      <c r="X134" s="5">
        <f>Sheet1[[#This Row],[Total Profit]]/Sheet1[[#This Row],[Sales After Discount]]</f>
        <v>-3.187835820895522</v>
      </c>
      <c r="Y134" s="4">
        <f>Sheet1[[#This Row],[Shipping_cost]]*Sheet1[[#This Row],[Quantity]]</f>
        <v>42.98</v>
      </c>
      <c r="Z134" s="4">
        <f>Sheet1[[#This Row],[Total Profit]]-Sheet1[[#This Row],[Total Shipping Cost]]</f>
        <v>-726.452</v>
      </c>
      <c r="AA134" s="4" t="str">
        <f>IF(Sheet1[[#This Row],[Net Profit]]&gt;0,"Profit","Loss")</f>
        <v>Loss</v>
      </c>
    </row>
    <row r="135" spans="1:27" x14ac:dyDescent="0.25">
      <c r="A135" t="s">
        <v>265</v>
      </c>
      <c r="B135" s="1">
        <v>40554</v>
      </c>
      <c r="C135" s="1">
        <v>40554</v>
      </c>
      <c r="D135" t="s">
        <v>41</v>
      </c>
      <c r="E135" t="s">
        <v>266</v>
      </c>
      <c r="F135" t="s">
        <v>3</v>
      </c>
      <c r="G135" t="s">
        <v>65</v>
      </c>
      <c r="H135" t="s">
        <v>66</v>
      </c>
      <c r="I135" t="s">
        <v>29</v>
      </c>
      <c r="J135" t="s">
        <v>30</v>
      </c>
      <c r="K135" t="s">
        <v>7</v>
      </c>
      <c r="L135" t="s">
        <v>91</v>
      </c>
      <c r="M135">
        <v>103</v>
      </c>
      <c r="N135">
        <v>2</v>
      </c>
      <c r="O135">
        <v>0</v>
      </c>
      <c r="P135">
        <v>19.5</v>
      </c>
      <c r="Q135">
        <v>20.54</v>
      </c>
      <c r="R135" t="s">
        <v>9</v>
      </c>
      <c r="S135">
        <f>Sheet1[[#This Row],[Ship_date]]-Sheet1[[#This Row],[Order_date]]</f>
        <v>0</v>
      </c>
      <c r="T135">
        <f>Sheet1[[#This Row],[Quantity]]*Sheet1[[#This Row],[Sales]]</f>
        <v>206</v>
      </c>
      <c r="U135">
        <f>Sheet1[[#This Row],[Total Sales]]*Sheet1[[#This Row],[Discount]]</f>
        <v>0</v>
      </c>
      <c r="V135" s="4">
        <f>Sheet1[[#This Row],[Total Sales]]-Sheet1[[#This Row],[Total Sales]]*Sheet1[[#This Row],[Discount]]</f>
        <v>206</v>
      </c>
      <c r="W135" s="4">
        <f>Sheet1[[#This Row],[Quantity]]*Sheet1[[#This Row],[Profit]]</f>
        <v>39</v>
      </c>
      <c r="X135" s="5">
        <f>Sheet1[[#This Row],[Total Profit]]/Sheet1[[#This Row],[Sales After Discount]]</f>
        <v>0.18932038834951456</v>
      </c>
      <c r="Y135" s="4">
        <f>Sheet1[[#This Row],[Shipping_cost]]*Sheet1[[#This Row],[Quantity]]</f>
        <v>41.08</v>
      </c>
      <c r="Z135" s="4">
        <f>Sheet1[[#This Row],[Total Profit]]-Sheet1[[#This Row],[Total Shipping Cost]]</f>
        <v>-2.0799999999999983</v>
      </c>
      <c r="AA135" s="4" t="str">
        <f>IF(Sheet1[[#This Row],[Net Profit]]&gt;0,"Profit","Loss")</f>
        <v>Loss</v>
      </c>
    </row>
    <row r="136" spans="1:27" x14ac:dyDescent="0.25">
      <c r="A136" t="s">
        <v>269</v>
      </c>
      <c r="B136" s="1">
        <v>40554</v>
      </c>
      <c r="C136" s="1">
        <v>40561</v>
      </c>
      <c r="D136" t="s">
        <v>1</v>
      </c>
      <c r="E136" t="s">
        <v>270</v>
      </c>
      <c r="F136" t="s">
        <v>3</v>
      </c>
      <c r="G136" t="s">
        <v>271</v>
      </c>
      <c r="H136" t="s">
        <v>157</v>
      </c>
      <c r="I136" t="s">
        <v>14</v>
      </c>
      <c r="J136" t="s">
        <v>61</v>
      </c>
      <c r="K136" t="s">
        <v>32</v>
      </c>
      <c r="L136" t="s">
        <v>33</v>
      </c>
      <c r="M136">
        <v>188</v>
      </c>
      <c r="N136">
        <v>5</v>
      </c>
      <c r="O136">
        <v>0.27</v>
      </c>
      <c r="P136">
        <v>2.4735</v>
      </c>
      <c r="Q136">
        <v>15.77</v>
      </c>
      <c r="R136" t="s">
        <v>9</v>
      </c>
      <c r="S136">
        <f>Sheet1[[#This Row],[Ship_date]]-Sheet1[[#This Row],[Order_date]]</f>
        <v>7</v>
      </c>
      <c r="T136">
        <f>Sheet1[[#This Row],[Quantity]]*Sheet1[[#This Row],[Sales]]</f>
        <v>940</v>
      </c>
      <c r="U136">
        <f>Sheet1[[#This Row],[Total Sales]]*Sheet1[[#This Row],[Discount]]</f>
        <v>253.8</v>
      </c>
      <c r="V136" s="4">
        <f>Sheet1[[#This Row],[Total Sales]]-Sheet1[[#This Row],[Total Sales]]*Sheet1[[#This Row],[Discount]]</f>
        <v>686.2</v>
      </c>
      <c r="W136" s="4">
        <f>Sheet1[[#This Row],[Quantity]]*Sheet1[[#This Row],[Profit]]</f>
        <v>12.3675</v>
      </c>
      <c r="X136" s="5">
        <f>Sheet1[[#This Row],[Total Profit]]/Sheet1[[#This Row],[Sales After Discount]]</f>
        <v>1.8023171087146603E-2</v>
      </c>
      <c r="Y136" s="4">
        <f>Sheet1[[#This Row],[Shipping_cost]]*Sheet1[[#This Row],[Quantity]]</f>
        <v>78.849999999999994</v>
      </c>
      <c r="Z136" s="4">
        <f>Sheet1[[#This Row],[Total Profit]]-Sheet1[[#This Row],[Total Shipping Cost]]</f>
        <v>-66.482499999999987</v>
      </c>
      <c r="AA136" s="4" t="str">
        <f>IF(Sheet1[[#This Row],[Net Profit]]&gt;0,"Profit","Loss")</f>
        <v>Loss</v>
      </c>
    </row>
    <row r="137" spans="1:27" x14ac:dyDescent="0.25">
      <c r="A137" t="s">
        <v>277</v>
      </c>
      <c r="B137" s="1">
        <v>40554</v>
      </c>
      <c r="C137" s="1">
        <v>40558</v>
      </c>
      <c r="D137" t="s">
        <v>1</v>
      </c>
      <c r="E137" t="s">
        <v>278</v>
      </c>
      <c r="F137" t="s">
        <v>3</v>
      </c>
      <c r="G137" t="s">
        <v>279</v>
      </c>
      <c r="H137" t="s">
        <v>280</v>
      </c>
      <c r="I137" t="s">
        <v>14</v>
      </c>
      <c r="J137" t="s">
        <v>281</v>
      </c>
      <c r="K137" t="s">
        <v>32</v>
      </c>
      <c r="L137" t="s">
        <v>33</v>
      </c>
      <c r="M137">
        <v>142</v>
      </c>
      <c r="N137">
        <v>3</v>
      </c>
      <c r="O137">
        <v>0</v>
      </c>
      <c r="P137">
        <v>52.38</v>
      </c>
      <c r="Q137">
        <v>15.62</v>
      </c>
      <c r="R137" t="s">
        <v>23</v>
      </c>
      <c r="S137">
        <f>Sheet1[[#This Row],[Ship_date]]-Sheet1[[#This Row],[Order_date]]</f>
        <v>4</v>
      </c>
      <c r="T137">
        <f>Sheet1[[#This Row],[Quantity]]*Sheet1[[#This Row],[Sales]]</f>
        <v>426</v>
      </c>
      <c r="U137">
        <f>Sheet1[[#This Row],[Total Sales]]*Sheet1[[#This Row],[Discount]]</f>
        <v>0</v>
      </c>
      <c r="V137" s="4">
        <f>Sheet1[[#This Row],[Total Sales]]-Sheet1[[#This Row],[Total Sales]]*Sheet1[[#This Row],[Discount]]</f>
        <v>426</v>
      </c>
      <c r="W137" s="4">
        <f>Sheet1[[#This Row],[Quantity]]*Sheet1[[#This Row],[Profit]]</f>
        <v>157.14000000000001</v>
      </c>
      <c r="X137" s="5">
        <f>Sheet1[[#This Row],[Total Profit]]/Sheet1[[#This Row],[Sales After Discount]]</f>
        <v>0.36887323943661976</v>
      </c>
      <c r="Y137" s="4">
        <f>Sheet1[[#This Row],[Shipping_cost]]*Sheet1[[#This Row],[Quantity]]</f>
        <v>46.86</v>
      </c>
      <c r="Z137" s="4">
        <f>Sheet1[[#This Row],[Total Profit]]-Sheet1[[#This Row],[Total Shipping Cost]]</f>
        <v>110.28000000000002</v>
      </c>
      <c r="AA137" s="4" t="str">
        <f>IF(Sheet1[[#This Row],[Net Profit]]&gt;0,"Profit","Loss")</f>
        <v>Profit</v>
      </c>
    </row>
    <row r="138" spans="1:27" x14ac:dyDescent="0.25">
      <c r="A138" t="s">
        <v>282</v>
      </c>
      <c r="B138" s="1">
        <v>40554</v>
      </c>
      <c r="C138" s="1">
        <v>40558</v>
      </c>
      <c r="D138" t="s">
        <v>1</v>
      </c>
      <c r="E138" t="s">
        <v>283</v>
      </c>
      <c r="F138" t="s">
        <v>3</v>
      </c>
      <c r="G138" t="s">
        <v>284</v>
      </c>
      <c r="H138" t="s">
        <v>285</v>
      </c>
      <c r="I138" t="s">
        <v>22</v>
      </c>
      <c r="J138" t="s">
        <v>22</v>
      </c>
      <c r="K138" t="s">
        <v>32</v>
      </c>
      <c r="L138" t="s">
        <v>67</v>
      </c>
      <c r="M138">
        <v>157</v>
      </c>
      <c r="N138">
        <v>2</v>
      </c>
      <c r="O138">
        <v>0.6</v>
      </c>
      <c r="P138">
        <v>-117.72</v>
      </c>
      <c r="Q138">
        <v>12.45</v>
      </c>
      <c r="R138" t="s">
        <v>23</v>
      </c>
      <c r="S138">
        <f>Sheet1[[#This Row],[Ship_date]]-Sheet1[[#This Row],[Order_date]]</f>
        <v>4</v>
      </c>
      <c r="T138">
        <f>Sheet1[[#This Row],[Quantity]]*Sheet1[[#This Row],[Sales]]</f>
        <v>314</v>
      </c>
      <c r="U138">
        <f>Sheet1[[#This Row],[Total Sales]]*Sheet1[[#This Row],[Discount]]</f>
        <v>188.4</v>
      </c>
      <c r="V138" s="4">
        <f>Sheet1[[#This Row],[Total Sales]]-Sheet1[[#This Row],[Total Sales]]*Sheet1[[#This Row],[Discount]]</f>
        <v>125.6</v>
      </c>
      <c r="W138" s="4">
        <f>Sheet1[[#This Row],[Quantity]]*Sheet1[[#This Row],[Profit]]</f>
        <v>-235.44</v>
      </c>
      <c r="X138" s="5">
        <f>Sheet1[[#This Row],[Total Profit]]/Sheet1[[#This Row],[Sales After Discount]]</f>
        <v>-1.8745222929936307</v>
      </c>
      <c r="Y138" s="4">
        <f>Sheet1[[#This Row],[Shipping_cost]]*Sheet1[[#This Row],[Quantity]]</f>
        <v>24.9</v>
      </c>
      <c r="Z138" s="4">
        <f>Sheet1[[#This Row],[Total Profit]]-Sheet1[[#This Row],[Total Shipping Cost]]</f>
        <v>-260.33999999999997</v>
      </c>
      <c r="AA138" s="4" t="str">
        <f>IF(Sheet1[[#This Row],[Net Profit]]&gt;0,"Profit","Loss")</f>
        <v>Loss</v>
      </c>
    </row>
    <row r="139" spans="1:27" x14ac:dyDescent="0.25">
      <c r="A139" t="s">
        <v>286</v>
      </c>
      <c r="B139" s="1">
        <v>40554</v>
      </c>
      <c r="C139" s="1">
        <v>40558</v>
      </c>
      <c r="D139" t="s">
        <v>1</v>
      </c>
      <c r="E139" t="s">
        <v>287</v>
      </c>
      <c r="F139" t="s">
        <v>26</v>
      </c>
      <c r="G139" t="s">
        <v>288</v>
      </c>
      <c r="H139" t="s">
        <v>49</v>
      </c>
      <c r="I139" t="s">
        <v>14</v>
      </c>
      <c r="J139" t="s">
        <v>15</v>
      </c>
      <c r="K139" t="s">
        <v>7</v>
      </c>
      <c r="L139" t="s">
        <v>96</v>
      </c>
      <c r="M139">
        <v>115</v>
      </c>
      <c r="N139">
        <v>4</v>
      </c>
      <c r="O139">
        <v>0.4</v>
      </c>
      <c r="P139">
        <v>-47.832000000000001</v>
      </c>
      <c r="Q139">
        <v>10.52</v>
      </c>
      <c r="R139" t="s">
        <v>9</v>
      </c>
      <c r="S139">
        <f>Sheet1[[#This Row],[Ship_date]]-Sheet1[[#This Row],[Order_date]]</f>
        <v>4</v>
      </c>
      <c r="T139">
        <f>Sheet1[[#This Row],[Quantity]]*Sheet1[[#This Row],[Sales]]</f>
        <v>460</v>
      </c>
      <c r="U139">
        <f>Sheet1[[#This Row],[Total Sales]]*Sheet1[[#This Row],[Discount]]</f>
        <v>184</v>
      </c>
      <c r="V139" s="4">
        <f>Sheet1[[#This Row],[Total Sales]]-Sheet1[[#This Row],[Total Sales]]*Sheet1[[#This Row],[Discount]]</f>
        <v>276</v>
      </c>
      <c r="W139" s="4">
        <f>Sheet1[[#This Row],[Quantity]]*Sheet1[[#This Row],[Profit]]</f>
        <v>-191.328</v>
      </c>
      <c r="X139" s="5">
        <f>Sheet1[[#This Row],[Total Profit]]/Sheet1[[#This Row],[Sales After Discount]]</f>
        <v>-0.69321739130434779</v>
      </c>
      <c r="Y139" s="4">
        <f>Sheet1[[#This Row],[Shipping_cost]]*Sheet1[[#This Row],[Quantity]]</f>
        <v>42.08</v>
      </c>
      <c r="Z139" s="4">
        <f>Sheet1[[#This Row],[Total Profit]]-Sheet1[[#This Row],[Total Shipping Cost]]</f>
        <v>-233.40800000000002</v>
      </c>
      <c r="AA139" s="4" t="str">
        <f>IF(Sheet1[[#This Row],[Net Profit]]&gt;0,"Profit","Loss")</f>
        <v>Loss</v>
      </c>
    </row>
    <row r="140" spans="1:27" x14ac:dyDescent="0.25">
      <c r="A140" t="s">
        <v>289</v>
      </c>
      <c r="B140" s="1">
        <v>40554</v>
      </c>
      <c r="C140" s="1">
        <v>40558</v>
      </c>
      <c r="D140" t="s">
        <v>1</v>
      </c>
      <c r="E140" t="s">
        <v>171</v>
      </c>
      <c r="F140" t="s">
        <v>3</v>
      </c>
      <c r="G140" t="s">
        <v>290</v>
      </c>
      <c r="H140" t="s">
        <v>291</v>
      </c>
      <c r="I140" t="s">
        <v>29</v>
      </c>
      <c r="J140" t="s">
        <v>76</v>
      </c>
      <c r="K140" t="s">
        <v>7</v>
      </c>
      <c r="L140" t="s">
        <v>8</v>
      </c>
      <c r="M140">
        <v>97</v>
      </c>
      <c r="N140">
        <v>2</v>
      </c>
      <c r="O140">
        <v>0</v>
      </c>
      <c r="P140">
        <v>31.02</v>
      </c>
      <c r="Q140">
        <v>7.99</v>
      </c>
      <c r="R140" t="s">
        <v>23</v>
      </c>
      <c r="S140">
        <f>Sheet1[[#This Row],[Ship_date]]-Sheet1[[#This Row],[Order_date]]</f>
        <v>4</v>
      </c>
      <c r="T140">
        <f>Sheet1[[#This Row],[Quantity]]*Sheet1[[#This Row],[Sales]]</f>
        <v>194</v>
      </c>
      <c r="U140">
        <f>Sheet1[[#This Row],[Total Sales]]*Sheet1[[#This Row],[Discount]]</f>
        <v>0</v>
      </c>
      <c r="V140" s="4">
        <f>Sheet1[[#This Row],[Total Sales]]-Sheet1[[#This Row],[Total Sales]]*Sheet1[[#This Row],[Discount]]</f>
        <v>194</v>
      </c>
      <c r="W140" s="4">
        <f>Sheet1[[#This Row],[Quantity]]*Sheet1[[#This Row],[Profit]]</f>
        <v>62.04</v>
      </c>
      <c r="X140" s="5">
        <f>Sheet1[[#This Row],[Total Profit]]/Sheet1[[#This Row],[Sales After Discount]]</f>
        <v>0.31979381443298971</v>
      </c>
      <c r="Y140" s="4">
        <f>Sheet1[[#This Row],[Shipping_cost]]*Sheet1[[#This Row],[Quantity]]</f>
        <v>15.98</v>
      </c>
      <c r="Z140" s="4">
        <f>Sheet1[[#This Row],[Total Profit]]-Sheet1[[#This Row],[Total Shipping Cost]]</f>
        <v>46.06</v>
      </c>
      <c r="AA140" s="4" t="str">
        <f>IF(Sheet1[[#This Row],[Net Profit]]&gt;0,"Profit","Loss")</f>
        <v>Profit</v>
      </c>
    </row>
    <row r="141" spans="1:27" x14ac:dyDescent="0.25">
      <c r="A141" t="s">
        <v>272</v>
      </c>
      <c r="B141" s="1">
        <v>40554</v>
      </c>
      <c r="C141" s="1">
        <v>40559</v>
      </c>
      <c r="D141" t="s">
        <v>1</v>
      </c>
      <c r="E141" t="s">
        <v>273</v>
      </c>
      <c r="F141" t="s">
        <v>26</v>
      </c>
      <c r="G141" t="s">
        <v>232</v>
      </c>
      <c r="H141" t="s">
        <v>60</v>
      </c>
      <c r="I141" t="s">
        <v>14</v>
      </c>
      <c r="J141" t="s">
        <v>61</v>
      </c>
      <c r="K141" t="s">
        <v>32</v>
      </c>
      <c r="L141" t="s">
        <v>33</v>
      </c>
      <c r="M141">
        <v>78</v>
      </c>
      <c r="N141">
        <v>2</v>
      </c>
      <c r="O141">
        <v>0.25</v>
      </c>
      <c r="P141">
        <v>23.774999999999999</v>
      </c>
      <c r="Q141">
        <v>7.09</v>
      </c>
      <c r="R141" t="s">
        <v>9</v>
      </c>
      <c r="S141">
        <f>Sheet1[[#This Row],[Ship_date]]-Sheet1[[#This Row],[Order_date]]</f>
        <v>5</v>
      </c>
      <c r="T141">
        <f>Sheet1[[#This Row],[Quantity]]*Sheet1[[#This Row],[Sales]]</f>
        <v>156</v>
      </c>
      <c r="U141">
        <f>Sheet1[[#This Row],[Total Sales]]*Sheet1[[#This Row],[Discount]]</f>
        <v>39</v>
      </c>
      <c r="V141" s="4">
        <f>Sheet1[[#This Row],[Total Sales]]-Sheet1[[#This Row],[Total Sales]]*Sheet1[[#This Row],[Discount]]</f>
        <v>117</v>
      </c>
      <c r="W141" s="4">
        <f>Sheet1[[#This Row],[Quantity]]*Sheet1[[#This Row],[Profit]]</f>
        <v>47.55</v>
      </c>
      <c r="X141" s="5">
        <f>Sheet1[[#This Row],[Total Profit]]/Sheet1[[#This Row],[Sales After Discount]]</f>
        <v>0.40641025641025641</v>
      </c>
      <c r="Y141" s="4">
        <f>Sheet1[[#This Row],[Shipping_cost]]*Sheet1[[#This Row],[Quantity]]</f>
        <v>14.18</v>
      </c>
      <c r="Z141" s="4">
        <f>Sheet1[[#This Row],[Total Profit]]-Sheet1[[#This Row],[Total Shipping Cost]]</f>
        <v>33.369999999999997</v>
      </c>
      <c r="AA141" s="4" t="str">
        <f>IF(Sheet1[[#This Row],[Net Profit]]&gt;0,"Profit","Loss")</f>
        <v>Profit</v>
      </c>
    </row>
    <row r="142" spans="1:27" x14ac:dyDescent="0.25">
      <c r="A142" t="s">
        <v>267</v>
      </c>
      <c r="B142" s="1">
        <v>40554</v>
      </c>
      <c r="C142" s="1">
        <v>40555</v>
      </c>
      <c r="D142" t="s">
        <v>142</v>
      </c>
      <c r="E142" t="s">
        <v>268</v>
      </c>
      <c r="F142" t="s">
        <v>3</v>
      </c>
      <c r="G142" t="s">
        <v>252</v>
      </c>
      <c r="H142" t="s">
        <v>106</v>
      </c>
      <c r="I142" t="s">
        <v>75</v>
      </c>
      <c r="J142" t="s">
        <v>30</v>
      </c>
      <c r="K142" t="s">
        <v>7</v>
      </c>
      <c r="L142" t="s">
        <v>44</v>
      </c>
      <c r="M142">
        <v>140</v>
      </c>
      <c r="N142">
        <v>3</v>
      </c>
      <c r="O142">
        <v>0</v>
      </c>
      <c r="P142">
        <v>32.1</v>
      </c>
      <c r="Q142">
        <v>6.47</v>
      </c>
      <c r="R142" t="s">
        <v>9</v>
      </c>
      <c r="S142">
        <f>Sheet1[[#This Row],[Ship_date]]-Sheet1[[#This Row],[Order_date]]</f>
        <v>1</v>
      </c>
      <c r="T142">
        <f>Sheet1[[#This Row],[Quantity]]*Sheet1[[#This Row],[Sales]]</f>
        <v>420</v>
      </c>
      <c r="U142">
        <f>Sheet1[[#This Row],[Total Sales]]*Sheet1[[#This Row],[Discount]]</f>
        <v>0</v>
      </c>
      <c r="V142" s="4">
        <f>Sheet1[[#This Row],[Total Sales]]-Sheet1[[#This Row],[Total Sales]]*Sheet1[[#This Row],[Discount]]</f>
        <v>420</v>
      </c>
      <c r="W142" s="4">
        <f>Sheet1[[#This Row],[Quantity]]*Sheet1[[#This Row],[Profit]]</f>
        <v>96.300000000000011</v>
      </c>
      <c r="X142" s="5">
        <f>Sheet1[[#This Row],[Total Profit]]/Sheet1[[#This Row],[Sales After Discount]]</f>
        <v>0.22928571428571431</v>
      </c>
      <c r="Y142" s="4">
        <f>Sheet1[[#This Row],[Shipping_cost]]*Sheet1[[#This Row],[Quantity]]</f>
        <v>19.41</v>
      </c>
      <c r="Z142" s="4">
        <f>Sheet1[[#This Row],[Total Profit]]-Sheet1[[#This Row],[Total Shipping Cost]]</f>
        <v>76.890000000000015</v>
      </c>
      <c r="AA142" s="4" t="str">
        <f>IF(Sheet1[[#This Row],[Net Profit]]&gt;0,"Profit","Loss")</f>
        <v>Profit</v>
      </c>
    </row>
    <row r="143" spans="1:27" x14ac:dyDescent="0.25">
      <c r="A143" t="s">
        <v>289</v>
      </c>
      <c r="B143" s="1">
        <v>40554</v>
      </c>
      <c r="C143" s="1">
        <v>40558</v>
      </c>
      <c r="D143" t="s">
        <v>1</v>
      </c>
      <c r="E143" t="s">
        <v>171</v>
      </c>
      <c r="F143" t="s">
        <v>3</v>
      </c>
      <c r="G143" t="s">
        <v>290</v>
      </c>
      <c r="H143" t="s">
        <v>291</v>
      </c>
      <c r="I143" t="s">
        <v>29</v>
      </c>
      <c r="J143" t="s">
        <v>76</v>
      </c>
      <c r="K143" t="s">
        <v>7</v>
      </c>
      <c r="L143" t="s">
        <v>91</v>
      </c>
      <c r="M143">
        <v>55</v>
      </c>
      <c r="N143">
        <v>1</v>
      </c>
      <c r="O143">
        <v>0</v>
      </c>
      <c r="P143">
        <v>9.8699999999999992</v>
      </c>
      <c r="Q143">
        <v>5.83</v>
      </c>
      <c r="R143" t="s">
        <v>23</v>
      </c>
      <c r="S143">
        <f>Sheet1[[#This Row],[Ship_date]]-Sheet1[[#This Row],[Order_date]]</f>
        <v>4</v>
      </c>
      <c r="T143">
        <f>Sheet1[[#This Row],[Quantity]]*Sheet1[[#This Row],[Sales]]</f>
        <v>55</v>
      </c>
      <c r="U143">
        <f>Sheet1[[#This Row],[Total Sales]]*Sheet1[[#This Row],[Discount]]</f>
        <v>0</v>
      </c>
      <c r="V143" s="4">
        <f>Sheet1[[#This Row],[Total Sales]]-Sheet1[[#This Row],[Total Sales]]*Sheet1[[#This Row],[Discount]]</f>
        <v>55</v>
      </c>
      <c r="W143" s="4">
        <f>Sheet1[[#This Row],[Quantity]]*Sheet1[[#This Row],[Profit]]</f>
        <v>9.8699999999999992</v>
      </c>
      <c r="X143" s="5">
        <f>Sheet1[[#This Row],[Total Profit]]/Sheet1[[#This Row],[Sales After Discount]]</f>
        <v>0.17945454545454545</v>
      </c>
      <c r="Y143" s="4">
        <f>Sheet1[[#This Row],[Shipping_cost]]*Sheet1[[#This Row],[Quantity]]</f>
        <v>5.83</v>
      </c>
      <c r="Z143" s="4">
        <f>Sheet1[[#This Row],[Total Profit]]-Sheet1[[#This Row],[Total Shipping Cost]]</f>
        <v>4.0399999999999991</v>
      </c>
      <c r="AA143" s="4" t="str">
        <f>IF(Sheet1[[#This Row],[Net Profit]]&gt;0,"Profit","Loss")</f>
        <v>Profit</v>
      </c>
    </row>
    <row r="144" spans="1:27" x14ac:dyDescent="0.25">
      <c r="A144" t="s">
        <v>292</v>
      </c>
      <c r="B144" s="1">
        <v>40554</v>
      </c>
      <c r="C144" s="1">
        <v>40559</v>
      </c>
      <c r="D144" t="s">
        <v>1</v>
      </c>
      <c r="E144" t="s">
        <v>293</v>
      </c>
      <c r="F144" t="s">
        <v>43</v>
      </c>
      <c r="G144" t="s">
        <v>294</v>
      </c>
      <c r="H144" t="s">
        <v>126</v>
      </c>
      <c r="I144" t="s">
        <v>127</v>
      </c>
      <c r="J144" t="s">
        <v>102</v>
      </c>
      <c r="K144" t="s">
        <v>32</v>
      </c>
      <c r="L144" t="s">
        <v>33</v>
      </c>
      <c r="M144">
        <v>52</v>
      </c>
      <c r="N144">
        <v>1</v>
      </c>
      <c r="O144">
        <v>0</v>
      </c>
      <c r="P144">
        <v>21.295400000000001</v>
      </c>
      <c r="Q144">
        <v>3.52</v>
      </c>
      <c r="R144" t="s">
        <v>9</v>
      </c>
      <c r="S144">
        <f>Sheet1[[#This Row],[Ship_date]]-Sheet1[[#This Row],[Order_date]]</f>
        <v>5</v>
      </c>
      <c r="T144">
        <f>Sheet1[[#This Row],[Quantity]]*Sheet1[[#This Row],[Sales]]</f>
        <v>52</v>
      </c>
      <c r="U144">
        <f>Sheet1[[#This Row],[Total Sales]]*Sheet1[[#This Row],[Discount]]</f>
        <v>0</v>
      </c>
      <c r="V144" s="4">
        <f>Sheet1[[#This Row],[Total Sales]]-Sheet1[[#This Row],[Total Sales]]*Sheet1[[#This Row],[Discount]]</f>
        <v>52</v>
      </c>
      <c r="W144" s="4">
        <f>Sheet1[[#This Row],[Quantity]]*Sheet1[[#This Row],[Profit]]</f>
        <v>21.295400000000001</v>
      </c>
      <c r="X144" s="5">
        <f>Sheet1[[#This Row],[Total Profit]]/Sheet1[[#This Row],[Sales After Discount]]</f>
        <v>0.40952692307692307</v>
      </c>
      <c r="Y144" s="4">
        <f>Sheet1[[#This Row],[Shipping_cost]]*Sheet1[[#This Row],[Quantity]]</f>
        <v>3.52</v>
      </c>
      <c r="Z144" s="4">
        <f>Sheet1[[#This Row],[Total Profit]]-Sheet1[[#This Row],[Total Shipping Cost]]</f>
        <v>17.775400000000001</v>
      </c>
      <c r="AA144" s="4" t="str">
        <f>IF(Sheet1[[#This Row],[Net Profit]]&gt;0,"Profit","Loss")</f>
        <v>Profit</v>
      </c>
    </row>
    <row r="145" spans="1:27" x14ac:dyDescent="0.25">
      <c r="A145" t="s">
        <v>274</v>
      </c>
      <c r="B145" s="1">
        <v>40554</v>
      </c>
      <c r="C145" s="1">
        <v>40558</v>
      </c>
      <c r="D145" t="s">
        <v>1</v>
      </c>
      <c r="E145" t="s">
        <v>64</v>
      </c>
      <c r="F145" t="s">
        <v>3</v>
      </c>
      <c r="G145" t="s">
        <v>275</v>
      </c>
      <c r="H145" t="s">
        <v>276</v>
      </c>
      <c r="I145" t="s">
        <v>29</v>
      </c>
      <c r="J145" t="s">
        <v>102</v>
      </c>
      <c r="K145" t="s">
        <v>7</v>
      </c>
      <c r="L145" t="s">
        <v>87</v>
      </c>
      <c r="M145">
        <v>40</v>
      </c>
      <c r="N145">
        <v>5</v>
      </c>
      <c r="O145">
        <v>0</v>
      </c>
      <c r="P145">
        <v>5.55</v>
      </c>
      <c r="Q145">
        <v>2.57</v>
      </c>
      <c r="R145" t="s">
        <v>23</v>
      </c>
      <c r="S145">
        <f>Sheet1[[#This Row],[Ship_date]]-Sheet1[[#This Row],[Order_date]]</f>
        <v>4</v>
      </c>
      <c r="T145">
        <f>Sheet1[[#This Row],[Quantity]]*Sheet1[[#This Row],[Sales]]</f>
        <v>200</v>
      </c>
      <c r="U145">
        <f>Sheet1[[#This Row],[Total Sales]]*Sheet1[[#This Row],[Discount]]</f>
        <v>0</v>
      </c>
      <c r="V145" s="4">
        <f>Sheet1[[#This Row],[Total Sales]]-Sheet1[[#This Row],[Total Sales]]*Sheet1[[#This Row],[Discount]]</f>
        <v>200</v>
      </c>
      <c r="W145" s="4">
        <f>Sheet1[[#This Row],[Quantity]]*Sheet1[[#This Row],[Profit]]</f>
        <v>27.75</v>
      </c>
      <c r="X145" s="5">
        <f>Sheet1[[#This Row],[Total Profit]]/Sheet1[[#This Row],[Sales After Discount]]</f>
        <v>0.13875000000000001</v>
      </c>
      <c r="Y145" s="4">
        <f>Sheet1[[#This Row],[Shipping_cost]]*Sheet1[[#This Row],[Quantity]]</f>
        <v>12.85</v>
      </c>
      <c r="Z145" s="4">
        <f>Sheet1[[#This Row],[Total Profit]]-Sheet1[[#This Row],[Total Shipping Cost]]</f>
        <v>14.9</v>
      </c>
      <c r="AA145" s="4" t="str">
        <f>IF(Sheet1[[#This Row],[Net Profit]]&gt;0,"Profit","Loss")</f>
        <v>Profit</v>
      </c>
    </row>
    <row r="146" spans="1:27" x14ac:dyDescent="0.25">
      <c r="A146" t="s">
        <v>295</v>
      </c>
      <c r="B146" s="1">
        <v>40554</v>
      </c>
      <c r="C146" s="1">
        <v>40559</v>
      </c>
      <c r="D146" t="s">
        <v>1</v>
      </c>
      <c r="E146" t="s">
        <v>296</v>
      </c>
      <c r="F146" t="s">
        <v>3</v>
      </c>
      <c r="G146" t="s">
        <v>297</v>
      </c>
      <c r="H146" t="s">
        <v>298</v>
      </c>
      <c r="I146" t="s">
        <v>29</v>
      </c>
      <c r="J146" t="s">
        <v>102</v>
      </c>
      <c r="K146" t="s">
        <v>7</v>
      </c>
      <c r="L146" t="s">
        <v>137</v>
      </c>
      <c r="M146">
        <v>22</v>
      </c>
      <c r="N146">
        <v>3</v>
      </c>
      <c r="O146">
        <v>0</v>
      </c>
      <c r="P146">
        <v>6.75</v>
      </c>
      <c r="Q146">
        <v>1.0900000000000001</v>
      </c>
      <c r="R146" t="s">
        <v>9</v>
      </c>
      <c r="S146">
        <f>Sheet1[[#This Row],[Ship_date]]-Sheet1[[#This Row],[Order_date]]</f>
        <v>5</v>
      </c>
      <c r="T146">
        <f>Sheet1[[#This Row],[Quantity]]*Sheet1[[#This Row],[Sales]]</f>
        <v>66</v>
      </c>
      <c r="U146">
        <f>Sheet1[[#This Row],[Total Sales]]*Sheet1[[#This Row],[Discount]]</f>
        <v>0</v>
      </c>
      <c r="V146" s="4">
        <f>Sheet1[[#This Row],[Total Sales]]-Sheet1[[#This Row],[Total Sales]]*Sheet1[[#This Row],[Discount]]</f>
        <v>66</v>
      </c>
      <c r="W146" s="4">
        <f>Sheet1[[#This Row],[Quantity]]*Sheet1[[#This Row],[Profit]]</f>
        <v>20.25</v>
      </c>
      <c r="X146" s="5">
        <f>Sheet1[[#This Row],[Total Profit]]/Sheet1[[#This Row],[Sales After Discount]]</f>
        <v>0.30681818181818182</v>
      </c>
      <c r="Y146" s="4">
        <f>Sheet1[[#This Row],[Shipping_cost]]*Sheet1[[#This Row],[Quantity]]</f>
        <v>3.2700000000000005</v>
      </c>
      <c r="Z146" s="4">
        <f>Sheet1[[#This Row],[Total Profit]]-Sheet1[[#This Row],[Total Shipping Cost]]</f>
        <v>16.98</v>
      </c>
      <c r="AA146" s="4" t="str">
        <f>IF(Sheet1[[#This Row],[Net Profit]]&gt;0,"Profit","Loss")</f>
        <v>Profit</v>
      </c>
    </row>
    <row r="147" spans="1:27" x14ac:dyDescent="0.25">
      <c r="A147" t="s">
        <v>269</v>
      </c>
      <c r="B147" s="1">
        <v>40554</v>
      </c>
      <c r="C147" s="1">
        <v>40561</v>
      </c>
      <c r="D147" t="s">
        <v>1</v>
      </c>
      <c r="E147" t="s">
        <v>270</v>
      </c>
      <c r="F147" t="s">
        <v>3</v>
      </c>
      <c r="G147" t="s">
        <v>271</v>
      </c>
      <c r="H147" t="s">
        <v>157</v>
      </c>
      <c r="I147" t="s">
        <v>14</v>
      </c>
      <c r="J147" t="s">
        <v>61</v>
      </c>
      <c r="K147" t="s">
        <v>7</v>
      </c>
      <c r="L147" t="s">
        <v>137</v>
      </c>
      <c r="M147">
        <v>5</v>
      </c>
      <c r="N147">
        <v>1</v>
      </c>
      <c r="O147">
        <v>0.17</v>
      </c>
      <c r="P147">
        <v>-1.47E-2</v>
      </c>
      <c r="Q147">
        <v>0.3</v>
      </c>
      <c r="R147" t="s">
        <v>9</v>
      </c>
      <c r="S147">
        <f>Sheet1[[#This Row],[Ship_date]]-Sheet1[[#This Row],[Order_date]]</f>
        <v>7</v>
      </c>
      <c r="T147">
        <f>Sheet1[[#This Row],[Quantity]]*Sheet1[[#This Row],[Sales]]</f>
        <v>5</v>
      </c>
      <c r="U147">
        <f>Sheet1[[#This Row],[Total Sales]]*Sheet1[[#This Row],[Discount]]</f>
        <v>0.85000000000000009</v>
      </c>
      <c r="V147" s="4">
        <f>Sheet1[[#This Row],[Total Sales]]-Sheet1[[#This Row],[Total Sales]]*Sheet1[[#This Row],[Discount]]</f>
        <v>4.1500000000000004</v>
      </c>
      <c r="W147" s="4">
        <f>Sheet1[[#This Row],[Quantity]]*Sheet1[[#This Row],[Profit]]</f>
        <v>-1.47E-2</v>
      </c>
      <c r="X147" s="5">
        <f>Sheet1[[#This Row],[Total Profit]]/Sheet1[[#This Row],[Sales After Discount]]</f>
        <v>-3.5421686746987947E-3</v>
      </c>
      <c r="Y147" s="4">
        <f>Sheet1[[#This Row],[Shipping_cost]]*Sheet1[[#This Row],[Quantity]]</f>
        <v>0.3</v>
      </c>
      <c r="Z147" s="4">
        <f>Sheet1[[#This Row],[Total Profit]]-Sheet1[[#This Row],[Total Shipping Cost]]</f>
        <v>-0.31469999999999998</v>
      </c>
      <c r="AA147" s="4" t="str">
        <f>IF(Sheet1[[#This Row],[Net Profit]]&gt;0,"Profit","Loss")</f>
        <v>Loss</v>
      </c>
    </row>
    <row r="148" spans="1:27" x14ac:dyDescent="0.25">
      <c r="A148" t="s">
        <v>292</v>
      </c>
      <c r="B148" s="1">
        <v>40554</v>
      </c>
      <c r="C148" s="1">
        <v>40559</v>
      </c>
      <c r="D148" t="s">
        <v>1</v>
      </c>
      <c r="E148" t="s">
        <v>293</v>
      </c>
      <c r="F148" t="s">
        <v>43</v>
      </c>
      <c r="G148" t="s">
        <v>294</v>
      </c>
      <c r="H148" t="s">
        <v>126</v>
      </c>
      <c r="I148" t="s">
        <v>127</v>
      </c>
      <c r="J148" t="s">
        <v>102</v>
      </c>
      <c r="K148" t="s">
        <v>7</v>
      </c>
      <c r="L148" t="s">
        <v>87</v>
      </c>
      <c r="M148">
        <v>3</v>
      </c>
      <c r="N148">
        <v>1</v>
      </c>
      <c r="O148">
        <v>0</v>
      </c>
      <c r="P148">
        <v>1.3583000000000001</v>
      </c>
      <c r="Q148">
        <v>0.22</v>
      </c>
      <c r="R148" t="s">
        <v>9</v>
      </c>
      <c r="S148">
        <f>Sheet1[[#This Row],[Ship_date]]-Sheet1[[#This Row],[Order_date]]</f>
        <v>5</v>
      </c>
      <c r="T148">
        <f>Sheet1[[#This Row],[Quantity]]*Sheet1[[#This Row],[Sales]]</f>
        <v>3</v>
      </c>
      <c r="U148">
        <f>Sheet1[[#This Row],[Total Sales]]*Sheet1[[#This Row],[Discount]]</f>
        <v>0</v>
      </c>
      <c r="V148" s="4">
        <f>Sheet1[[#This Row],[Total Sales]]-Sheet1[[#This Row],[Total Sales]]*Sheet1[[#This Row],[Discount]]</f>
        <v>3</v>
      </c>
      <c r="W148" s="4">
        <f>Sheet1[[#This Row],[Quantity]]*Sheet1[[#This Row],[Profit]]</f>
        <v>1.3583000000000001</v>
      </c>
      <c r="X148" s="5">
        <f>Sheet1[[#This Row],[Total Profit]]/Sheet1[[#This Row],[Sales After Discount]]</f>
        <v>0.45276666666666671</v>
      </c>
      <c r="Y148" s="4">
        <f>Sheet1[[#This Row],[Shipping_cost]]*Sheet1[[#This Row],[Quantity]]</f>
        <v>0.22</v>
      </c>
      <c r="Z148" s="4">
        <f>Sheet1[[#This Row],[Total Profit]]-Sheet1[[#This Row],[Total Shipping Cost]]</f>
        <v>1.1383000000000001</v>
      </c>
      <c r="AA148" s="4" t="str">
        <f>IF(Sheet1[[#This Row],[Net Profit]]&gt;0,"Profit","Loss")</f>
        <v>Profit</v>
      </c>
    </row>
    <row r="149" spans="1:27" x14ac:dyDescent="0.25">
      <c r="A149" t="s">
        <v>299</v>
      </c>
      <c r="B149" s="1">
        <v>40555</v>
      </c>
      <c r="C149" s="1">
        <v>40560</v>
      </c>
      <c r="D149" t="s">
        <v>1</v>
      </c>
      <c r="E149" t="s">
        <v>300</v>
      </c>
      <c r="F149" t="s">
        <v>43</v>
      </c>
      <c r="G149" t="s">
        <v>301</v>
      </c>
      <c r="H149" t="s">
        <v>106</v>
      </c>
      <c r="I149" t="s">
        <v>75</v>
      </c>
      <c r="J149" t="s">
        <v>30</v>
      </c>
      <c r="K149" t="s">
        <v>38</v>
      </c>
      <c r="L149" t="s">
        <v>82</v>
      </c>
      <c r="M149">
        <v>495</v>
      </c>
      <c r="N149">
        <v>3</v>
      </c>
      <c r="O149">
        <v>0</v>
      </c>
      <c r="P149">
        <v>178.2</v>
      </c>
      <c r="Q149">
        <v>54.55</v>
      </c>
      <c r="R149" t="s">
        <v>9</v>
      </c>
      <c r="S149">
        <f>Sheet1[[#This Row],[Ship_date]]-Sheet1[[#This Row],[Order_date]]</f>
        <v>5</v>
      </c>
      <c r="T149">
        <f>Sheet1[[#This Row],[Quantity]]*Sheet1[[#This Row],[Sales]]</f>
        <v>1485</v>
      </c>
      <c r="U149">
        <f>Sheet1[[#This Row],[Total Sales]]*Sheet1[[#This Row],[Discount]]</f>
        <v>0</v>
      </c>
      <c r="V149" s="4">
        <f>Sheet1[[#This Row],[Total Sales]]-Sheet1[[#This Row],[Total Sales]]*Sheet1[[#This Row],[Discount]]</f>
        <v>1485</v>
      </c>
      <c r="W149" s="4">
        <f>Sheet1[[#This Row],[Quantity]]*Sheet1[[#This Row],[Profit]]</f>
        <v>534.59999999999991</v>
      </c>
      <c r="X149" s="5">
        <f>Sheet1[[#This Row],[Total Profit]]/Sheet1[[#This Row],[Sales After Discount]]</f>
        <v>0.35999999999999993</v>
      </c>
      <c r="Y149" s="4">
        <f>Sheet1[[#This Row],[Shipping_cost]]*Sheet1[[#This Row],[Quantity]]</f>
        <v>163.64999999999998</v>
      </c>
      <c r="Z149" s="4">
        <f>Sheet1[[#This Row],[Total Profit]]-Sheet1[[#This Row],[Total Shipping Cost]]</f>
        <v>370.94999999999993</v>
      </c>
      <c r="AA149" s="4" t="str">
        <f>IF(Sheet1[[#This Row],[Net Profit]]&gt;0,"Profit","Loss")</f>
        <v>Profit</v>
      </c>
    </row>
    <row r="150" spans="1:27" x14ac:dyDescent="0.25">
      <c r="A150" t="s">
        <v>299</v>
      </c>
      <c r="B150" s="1">
        <v>40555</v>
      </c>
      <c r="C150" s="1">
        <v>40560</v>
      </c>
      <c r="D150" t="s">
        <v>1</v>
      </c>
      <c r="E150" t="s">
        <v>300</v>
      </c>
      <c r="F150" t="s">
        <v>43</v>
      </c>
      <c r="G150" t="s">
        <v>301</v>
      </c>
      <c r="H150" t="s">
        <v>106</v>
      </c>
      <c r="I150" t="s">
        <v>75</v>
      </c>
      <c r="J150" t="s">
        <v>30</v>
      </c>
      <c r="K150" t="s">
        <v>38</v>
      </c>
      <c r="L150" t="s">
        <v>50</v>
      </c>
      <c r="M150">
        <v>385</v>
      </c>
      <c r="N150">
        <v>3</v>
      </c>
      <c r="O150">
        <v>2E-3</v>
      </c>
      <c r="P150">
        <v>68.648520000000005</v>
      </c>
      <c r="Q150">
        <v>38.19</v>
      </c>
      <c r="R150" t="s">
        <v>9</v>
      </c>
      <c r="S150">
        <f>Sheet1[[#This Row],[Ship_date]]-Sheet1[[#This Row],[Order_date]]</f>
        <v>5</v>
      </c>
      <c r="T150">
        <f>Sheet1[[#This Row],[Quantity]]*Sheet1[[#This Row],[Sales]]</f>
        <v>1155</v>
      </c>
      <c r="U150">
        <f>Sheet1[[#This Row],[Total Sales]]*Sheet1[[#This Row],[Discount]]</f>
        <v>2.31</v>
      </c>
      <c r="V150" s="4">
        <f>Sheet1[[#This Row],[Total Sales]]-Sheet1[[#This Row],[Total Sales]]*Sheet1[[#This Row],[Discount]]</f>
        <v>1152.69</v>
      </c>
      <c r="W150" s="4">
        <f>Sheet1[[#This Row],[Quantity]]*Sheet1[[#This Row],[Profit]]</f>
        <v>205.94556</v>
      </c>
      <c r="X150" s="5">
        <f>Sheet1[[#This Row],[Total Profit]]/Sheet1[[#This Row],[Sales After Discount]]</f>
        <v>0.17866517450485386</v>
      </c>
      <c r="Y150" s="4">
        <f>Sheet1[[#This Row],[Shipping_cost]]*Sheet1[[#This Row],[Quantity]]</f>
        <v>114.57</v>
      </c>
      <c r="Z150" s="4">
        <f>Sheet1[[#This Row],[Total Profit]]-Sheet1[[#This Row],[Total Shipping Cost]]</f>
        <v>91.375560000000007</v>
      </c>
      <c r="AA150" s="4" t="str">
        <f>IF(Sheet1[[#This Row],[Net Profit]]&gt;0,"Profit","Loss")</f>
        <v>Profit</v>
      </c>
    </row>
    <row r="151" spans="1:27" x14ac:dyDescent="0.25">
      <c r="A151" t="s">
        <v>302</v>
      </c>
      <c r="B151" s="1">
        <v>40555</v>
      </c>
      <c r="C151" s="1">
        <v>40562</v>
      </c>
      <c r="D151" t="s">
        <v>1</v>
      </c>
      <c r="E151" t="s">
        <v>303</v>
      </c>
      <c r="F151" t="s">
        <v>43</v>
      </c>
      <c r="G151" t="s">
        <v>304</v>
      </c>
      <c r="H151" t="s">
        <v>305</v>
      </c>
      <c r="I151" t="s">
        <v>29</v>
      </c>
      <c r="J151" t="s">
        <v>76</v>
      </c>
      <c r="K151" t="s">
        <v>32</v>
      </c>
      <c r="L151" t="s">
        <v>67</v>
      </c>
      <c r="M151">
        <v>552</v>
      </c>
      <c r="N151">
        <v>5</v>
      </c>
      <c r="O151">
        <v>0.1</v>
      </c>
      <c r="P151">
        <v>165.36</v>
      </c>
      <c r="Q151">
        <v>35.979999999999997</v>
      </c>
      <c r="R151" t="s">
        <v>9</v>
      </c>
      <c r="S151">
        <f>Sheet1[[#This Row],[Ship_date]]-Sheet1[[#This Row],[Order_date]]</f>
        <v>7</v>
      </c>
      <c r="T151">
        <f>Sheet1[[#This Row],[Quantity]]*Sheet1[[#This Row],[Sales]]</f>
        <v>2760</v>
      </c>
      <c r="U151">
        <f>Sheet1[[#This Row],[Total Sales]]*Sheet1[[#This Row],[Discount]]</f>
        <v>276</v>
      </c>
      <c r="V151" s="4">
        <f>Sheet1[[#This Row],[Total Sales]]-Sheet1[[#This Row],[Total Sales]]*Sheet1[[#This Row],[Discount]]</f>
        <v>2484</v>
      </c>
      <c r="W151" s="4">
        <f>Sheet1[[#This Row],[Quantity]]*Sheet1[[#This Row],[Profit]]</f>
        <v>826.80000000000007</v>
      </c>
      <c r="X151" s="5">
        <f>Sheet1[[#This Row],[Total Profit]]/Sheet1[[#This Row],[Sales After Discount]]</f>
        <v>0.33285024154589377</v>
      </c>
      <c r="Y151" s="4">
        <f>Sheet1[[#This Row],[Shipping_cost]]*Sheet1[[#This Row],[Quantity]]</f>
        <v>179.89999999999998</v>
      </c>
      <c r="Z151" s="4">
        <f>Sheet1[[#This Row],[Total Profit]]-Sheet1[[#This Row],[Total Shipping Cost]]</f>
        <v>646.90000000000009</v>
      </c>
      <c r="AA151" s="4" t="str">
        <f>IF(Sheet1[[#This Row],[Net Profit]]&gt;0,"Profit","Loss")</f>
        <v>Profit</v>
      </c>
    </row>
    <row r="152" spans="1:27" x14ac:dyDescent="0.25">
      <c r="A152" t="s">
        <v>302</v>
      </c>
      <c r="B152" s="1">
        <v>40555</v>
      </c>
      <c r="C152" s="1">
        <v>40562</v>
      </c>
      <c r="D152" t="s">
        <v>1</v>
      </c>
      <c r="E152" t="s">
        <v>303</v>
      </c>
      <c r="F152" t="s">
        <v>43</v>
      </c>
      <c r="G152" t="s">
        <v>304</v>
      </c>
      <c r="H152" t="s">
        <v>305</v>
      </c>
      <c r="I152" t="s">
        <v>29</v>
      </c>
      <c r="J152" t="s">
        <v>76</v>
      </c>
      <c r="K152" t="s">
        <v>38</v>
      </c>
      <c r="L152" t="s">
        <v>39</v>
      </c>
      <c r="M152">
        <v>522</v>
      </c>
      <c r="N152">
        <v>2</v>
      </c>
      <c r="O152">
        <v>0</v>
      </c>
      <c r="P152">
        <v>20.88</v>
      </c>
      <c r="Q152">
        <v>28.92</v>
      </c>
      <c r="R152" t="s">
        <v>9</v>
      </c>
      <c r="S152">
        <f>Sheet1[[#This Row],[Ship_date]]-Sheet1[[#This Row],[Order_date]]</f>
        <v>7</v>
      </c>
      <c r="T152">
        <f>Sheet1[[#This Row],[Quantity]]*Sheet1[[#This Row],[Sales]]</f>
        <v>1044</v>
      </c>
      <c r="U152">
        <f>Sheet1[[#This Row],[Total Sales]]*Sheet1[[#This Row],[Discount]]</f>
        <v>0</v>
      </c>
      <c r="V152" s="4">
        <f>Sheet1[[#This Row],[Total Sales]]-Sheet1[[#This Row],[Total Sales]]*Sheet1[[#This Row],[Discount]]</f>
        <v>1044</v>
      </c>
      <c r="W152" s="4">
        <f>Sheet1[[#This Row],[Quantity]]*Sheet1[[#This Row],[Profit]]</f>
        <v>41.76</v>
      </c>
      <c r="X152" s="5">
        <f>Sheet1[[#This Row],[Total Profit]]/Sheet1[[#This Row],[Sales After Discount]]</f>
        <v>0.04</v>
      </c>
      <c r="Y152" s="4">
        <f>Sheet1[[#This Row],[Shipping_cost]]*Sheet1[[#This Row],[Quantity]]</f>
        <v>57.84</v>
      </c>
      <c r="Z152" s="4">
        <f>Sheet1[[#This Row],[Total Profit]]-Sheet1[[#This Row],[Total Shipping Cost]]</f>
        <v>-16.080000000000005</v>
      </c>
      <c r="AA152" s="4" t="str">
        <f>IF(Sheet1[[#This Row],[Net Profit]]&gt;0,"Profit","Loss")</f>
        <v>Loss</v>
      </c>
    </row>
    <row r="153" spans="1:27" x14ac:dyDescent="0.25">
      <c r="A153" t="s">
        <v>306</v>
      </c>
      <c r="B153" s="1">
        <v>40555</v>
      </c>
      <c r="C153" s="1">
        <v>40560</v>
      </c>
      <c r="D153" t="s">
        <v>1</v>
      </c>
      <c r="E153" t="s">
        <v>307</v>
      </c>
      <c r="F153" t="s">
        <v>26</v>
      </c>
      <c r="G153" t="s">
        <v>65</v>
      </c>
      <c r="H153" t="s">
        <v>66</v>
      </c>
      <c r="I153" t="s">
        <v>29</v>
      </c>
      <c r="J153" t="s">
        <v>30</v>
      </c>
      <c r="K153" t="s">
        <v>32</v>
      </c>
      <c r="L153" t="s">
        <v>56</v>
      </c>
      <c r="M153">
        <v>290</v>
      </c>
      <c r="N153">
        <v>5</v>
      </c>
      <c r="O153">
        <v>0</v>
      </c>
      <c r="P153">
        <v>69.599999999999994</v>
      </c>
      <c r="Q153">
        <v>18.63</v>
      </c>
      <c r="R153" t="s">
        <v>9</v>
      </c>
      <c r="S153">
        <f>Sheet1[[#This Row],[Ship_date]]-Sheet1[[#This Row],[Order_date]]</f>
        <v>5</v>
      </c>
      <c r="T153">
        <f>Sheet1[[#This Row],[Quantity]]*Sheet1[[#This Row],[Sales]]</f>
        <v>1450</v>
      </c>
      <c r="U153">
        <f>Sheet1[[#This Row],[Total Sales]]*Sheet1[[#This Row],[Discount]]</f>
        <v>0</v>
      </c>
      <c r="V153" s="4">
        <f>Sheet1[[#This Row],[Total Sales]]-Sheet1[[#This Row],[Total Sales]]*Sheet1[[#This Row],[Discount]]</f>
        <v>1450</v>
      </c>
      <c r="W153" s="4">
        <f>Sheet1[[#This Row],[Quantity]]*Sheet1[[#This Row],[Profit]]</f>
        <v>348</v>
      </c>
      <c r="X153" s="5">
        <f>Sheet1[[#This Row],[Total Profit]]/Sheet1[[#This Row],[Sales After Discount]]</f>
        <v>0.24</v>
      </c>
      <c r="Y153" s="4">
        <f>Sheet1[[#This Row],[Shipping_cost]]*Sheet1[[#This Row],[Quantity]]</f>
        <v>93.149999999999991</v>
      </c>
      <c r="Z153" s="4">
        <f>Sheet1[[#This Row],[Total Profit]]-Sheet1[[#This Row],[Total Shipping Cost]]</f>
        <v>254.85000000000002</v>
      </c>
      <c r="AA153" s="4" t="str">
        <f>IF(Sheet1[[#This Row],[Net Profit]]&gt;0,"Profit","Loss")</f>
        <v>Profit</v>
      </c>
    </row>
    <row r="154" spans="1:27" x14ac:dyDescent="0.25">
      <c r="A154" t="s">
        <v>308</v>
      </c>
      <c r="B154" s="1">
        <v>40555</v>
      </c>
      <c r="C154" s="1">
        <v>40558</v>
      </c>
      <c r="D154" t="s">
        <v>142</v>
      </c>
      <c r="E154" t="s">
        <v>309</v>
      </c>
      <c r="F154" t="s">
        <v>3</v>
      </c>
      <c r="G154" t="s">
        <v>65</v>
      </c>
      <c r="H154" t="s">
        <v>66</v>
      </c>
      <c r="I154" t="s">
        <v>29</v>
      </c>
      <c r="J154" t="s">
        <v>30</v>
      </c>
      <c r="K154" t="s">
        <v>7</v>
      </c>
      <c r="L154" t="s">
        <v>31</v>
      </c>
      <c r="M154">
        <v>34</v>
      </c>
      <c r="N154">
        <v>2</v>
      </c>
      <c r="O154">
        <v>0.5</v>
      </c>
      <c r="P154">
        <v>-6.15</v>
      </c>
      <c r="Q154">
        <v>7.31</v>
      </c>
      <c r="R154" t="s">
        <v>9</v>
      </c>
      <c r="S154">
        <f>Sheet1[[#This Row],[Ship_date]]-Sheet1[[#This Row],[Order_date]]</f>
        <v>3</v>
      </c>
      <c r="T154">
        <f>Sheet1[[#This Row],[Quantity]]*Sheet1[[#This Row],[Sales]]</f>
        <v>68</v>
      </c>
      <c r="U154">
        <f>Sheet1[[#This Row],[Total Sales]]*Sheet1[[#This Row],[Discount]]</f>
        <v>34</v>
      </c>
      <c r="V154" s="4">
        <f>Sheet1[[#This Row],[Total Sales]]-Sheet1[[#This Row],[Total Sales]]*Sheet1[[#This Row],[Discount]]</f>
        <v>34</v>
      </c>
      <c r="W154" s="4">
        <f>Sheet1[[#This Row],[Quantity]]*Sheet1[[#This Row],[Profit]]</f>
        <v>-12.3</v>
      </c>
      <c r="X154" s="5">
        <f>Sheet1[[#This Row],[Total Profit]]/Sheet1[[#This Row],[Sales After Discount]]</f>
        <v>-0.36176470588235299</v>
      </c>
      <c r="Y154" s="4">
        <f>Sheet1[[#This Row],[Shipping_cost]]*Sheet1[[#This Row],[Quantity]]</f>
        <v>14.62</v>
      </c>
      <c r="Z154" s="4">
        <f>Sheet1[[#This Row],[Total Profit]]-Sheet1[[#This Row],[Total Shipping Cost]]</f>
        <v>-26.92</v>
      </c>
      <c r="AA154" s="4" t="str">
        <f>IF(Sheet1[[#This Row],[Net Profit]]&gt;0,"Profit","Loss")</f>
        <v>Loss</v>
      </c>
    </row>
    <row r="155" spans="1:27" x14ac:dyDescent="0.25">
      <c r="A155" t="s">
        <v>302</v>
      </c>
      <c r="B155" s="1">
        <v>40555</v>
      </c>
      <c r="C155" s="1">
        <v>40562</v>
      </c>
      <c r="D155" t="s">
        <v>1</v>
      </c>
      <c r="E155" t="s">
        <v>303</v>
      </c>
      <c r="F155" t="s">
        <v>43</v>
      </c>
      <c r="G155" t="s">
        <v>304</v>
      </c>
      <c r="H155" t="s">
        <v>305</v>
      </c>
      <c r="I155" t="s">
        <v>29</v>
      </c>
      <c r="J155" t="s">
        <v>76</v>
      </c>
      <c r="K155" t="s">
        <v>7</v>
      </c>
      <c r="L155" t="s">
        <v>91</v>
      </c>
      <c r="M155">
        <v>257</v>
      </c>
      <c r="N155">
        <v>5</v>
      </c>
      <c r="O155">
        <v>0</v>
      </c>
      <c r="P155">
        <v>48.75</v>
      </c>
      <c r="Q155">
        <v>7.28</v>
      </c>
      <c r="R155" t="s">
        <v>9</v>
      </c>
      <c r="S155">
        <f>Sheet1[[#This Row],[Ship_date]]-Sheet1[[#This Row],[Order_date]]</f>
        <v>7</v>
      </c>
      <c r="T155">
        <f>Sheet1[[#This Row],[Quantity]]*Sheet1[[#This Row],[Sales]]</f>
        <v>1285</v>
      </c>
      <c r="U155">
        <f>Sheet1[[#This Row],[Total Sales]]*Sheet1[[#This Row],[Discount]]</f>
        <v>0</v>
      </c>
      <c r="V155" s="4">
        <f>Sheet1[[#This Row],[Total Sales]]-Sheet1[[#This Row],[Total Sales]]*Sheet1[[#This Row],[Discount]]</f>
        <v>1285</v>
      </c>
      <c r="W155" s="4">
        <f>Sheet1[[#This Row],[Quantity]]*Sheet1[[#This Row],[Profit]]</f>
        <v>243.75</v>
      </c>
      <c r="X155" s="5">
        <f>Sheet1[[#This Row],[Total Profit]]/Sheet1[[#This Row],[Sales After Discount]]</f>
        <v>0.18968871595330739</v>
      </c>
      <c r="Y155" s="4">
        <f>Sheet1[[#This Row],[Shipping_cost]]*Sheet1[[#This Row],[Quantity]]</f>
        <v>36.4</v>
      </c>
      <c r="Z155" s="4">
        <f>Sheet1[[#This Row],[Total Profit]]-Sheet1[[#This Row],[Total Shipping Cost]]</f>
        <v>207.35</v>
      </c>
      <c r="AA155" s="4" t="str">
        <f>IF(Sheet1[[#This Row],[Net Profit]]&gt;0,"Profit","Loss")</f>
        <v>Profit</v>
      </c>
    </row>
    <row r="156" spans="1:27" x14ac:dyDescent="0.25">
      <c r="A156" t="s">
        <v>310</v>
      </c>
      <c r="B156" s="1">
        <v>40555</v>
      </c>
      <c r="C156" s="1">
        <v>40558</v>
      </c>
      <c r="D156" t="s">
        <v>142</v>
      </c>
      <c r="E156" t="s">
        <v>311</v>
      </c>
      <c r="F156" t="s">
        <v>3</v>
      </c>
      <c r="G156" t="s">
        <v>312</v>
      </c>
      <c r="H156" t="s">
        <v>126</v>
      </c>
      <c r="I156" t="s">
        <v>127</v>
      </c>
      <c r="J156" t="s">
        <v>173</v>
      </c>
      <c r="K156" t="s">
        <v>32</v>
      </c>
      <c r="L156" t="s">
        <v>33</v>
      </c>
      <c r="M156">
        <v>10</v>
      </c>
      <c r="N156">
        <v>2</v>
      </c>
      <c r="O156">
        <v>0</v>
      </c>
      <c r="P156">
        <v>3.0813999999999999</v>
      </c>
      <c r="Q156">
        <v>2.69</v>
      </c>
      <c r="R156" t="s">
        <v>45</v>
      </c>
      <c r="S156">
        <f>Sheet1[[#This Row],[Ship_date]]-Sheet1[[#This Row],[Order_date]]</f>
        <v>3</v>
      </c>
      <c r="T156">
        <f>Sheet1[[#This Row],[Quantity]]*Sheet1[[#This Row],[Sales]]</f>
        <v>20</v>
      </c>
      <c r="U156">
        <f>Sheet1[[#This Row],[Total Sales]]*Sheet1[[#This Row],[Discount]]</f>
        <v>0</v>
      </c>
      <c r="V156" s="4">
        <f>Sheet1[[#This Row],[Total Sales]]-Sheet1[[#This Row],[Total Sales]]*Sheet1[[#This Row],[Discount]]</f>
        <v>20</v>
      </c>
      <c r="W156" s="4">
        <f>Sheet1[[#This Row],[Quantity]]*Sheet1[[#This Row],[Profit]]</f>
        <v>6.1627999999999998</v>
      </c>
      <c r="X156" s="5">
        <f>Sheet1[[#This Row],[Total Profit]]/Sheet1[[#This Row],[Sales After Discount]]</f>
        <v>0.30813999999999997</v>
      </c>
      <c r="Y156" s="4">
        <f>Sheet1[[#This Row],[Shipping_cost]]*Sheet1[[#This Row],[Quantity]]</f>
        <v>5.38</v>
      </c>
      <c r="Z156" s="4">
        <f>Sheet1[[#This Row],[Total Profit]]-Sheet1[[#This Row],[Total Shipping Cost]]</f>
        <v>0.78279999999999994</v>
      </c>
      <c r="AA156" s="4" t="str">
        <f>IF(Sheet1[[#This Row],[Net Profit]]&gt;0,"Profit","Loss")</f>
        <v>Profit</v>
      </c>
    </row>
    <row r="157" spans="1:27" x14ac:dyDescent="0.25">
      <c r="A157" t="s">
        <v>302</v>
      </c>
      <c r="B157" s="1">
        <v>40555</v>
      </c>
      <c r="C157" s="1">
        <v>40562</v>
      </c>
      <c r="D157" t="s">
        <v>1</v>
      </c>
      <c r="E157" t="s">
        <v>303</v>
      </c>
      <c r="F157" t="s">
        <v>43</v>
      </c>
      <c r="G157" t="s">
        <v>304</v>
      </c>
      <c r="H157" t="s">
        <v>305</v>
      </c>
      <c r="I157" t="s">
        <v>29</v>
      </c>
      <c r="J157" t="s">
        <v>76</v>
      </c>
      <c r="K157" t="s">
        <v>7</v>
      </c>
      <c r="L157" t="s">
        <v>137</v>
      </c>
      <c r="M157">
        <v>17</v>
      </c>
      <c r="N157">
        <v>2</v>
      </c>
      <c r="O157">
        <v>0</v>
      </c>
      <c r="P157">
        <v>6.18</v>
      </c>
      <c r="Q157">
        <v>2.08</v>
      </c>
      <c r="R157" t="s">
        <v>9</v>
      </c>
      <c r="S157">
        <f>Sheet1[[#This Row],[Ship_date]]-Sheet1[[#This Row],[Order_date]]</f>
        <v>7</v>
      </c>
      <c r="T157">
        <f>Sheet1[[#This Row],[Quantity]]*Sheet1[[#This Row],[Sales]]</f>
        <v>34</v>
      </c>
      <c r="U157">
        <f>Sheet1[[#This Row],[Total Sales]]*Sheet1[[#This Row],[Discount]]</f>
        <v>0</v>
      </c>
      <c r="V157" s="4">
        <f>Sheet1[[#This Row],[Total Sales]]-Sheet1[[#This Row],[Total Sales]]*Sheet1[[#This Row],[Discount]]</f>
        <v>34</v>
      </c>
      <c r="W157" s="4">
        <f>Sheet1[[#This Row],[Quantity]]*Sheet1[[#This Row],[Profit]]</f>
        <v>12.36</v>
      </c>
      <c r="X157" s="5">
        <f>Sheet1[[#This Row],[Total Profit]]/Sheet1[[#This Row],[Sales After Discount]]</f>
        <v>0.36352941176470588</v>
      </c>
      <c r="Y157" s="4">
        <f>Sheet1[[#This Row],[Shipping_cost]]*Sheet1[[#This Row],[Quantity]]</f>
        <v>4.16</v>
      </c>
      <c r="Z157" s="4">
        <f>Sheet1[[#This Row],[Total Profit]]-Sheet1[[#This Row],[Total Shipping Cost]]</f>
        <v>8.1999999999999993</v>
      </c>
      <c r="AA157" s="4" t="str">
        <f>IF(Sheet1[[#This Row],[Net Profit]]&gt;0,"Profit","Loss")</f>
        <v>Profit</v>
      </c>
    </row>
    <row r="158" spans="1:27" x14ac:dyDescent="0.25">
      <c r="A158" t="s">
        <v>313</v>
      </c>
      <c r="B158" s="1">
        <v>40555</v>
      </c>
      <c r="C158" s="1">
        <v>40559</v>
      </c>
      <c r="D158" t="s">
        <v>1</v>
      </c>
      <c r="E158" t="s">
        <v>314</v>
      </c>
      <c r="F158" t="s">
        <v>43</v>
      </c>
      <c r="G158" t="s">
        <v>222</v>
      </c>
      <c r="H158" t="s">
        <v>223</v>
      </c>
      <c r="I158" t="s">
        <v>6</v>
      </c>
      <c r="J158" t="s">
        <v>6</v>
      </c>
      <c r="K158" t="s">
        <v>7</v>
      </c>
      <c r="L158" t="s">
        <v>8</v>
      </c>
      <c r="M158">
        <v>15</v>
      </c>
      <c r="N158">
        <v>2</v>
      </c>
      <c r="O158">
        <v>0.7</v>
      </c>
      <c r="P158">
        <v>-22.457999999999998</v>
      </c>
      <c r="Q158">
        <v>1.27</v>
      </c>
      <c r="R158" t="s">
        <v>9</v>
      </c>
      <c r="S158">
        <f>Sheet1[[#This Row],[Ship_date]]-Sheet1[[#This Row],[Order_date]]</f>
        <v>4</v>
      </c>
      <c r="T158">
        <f>Sheet1[[#This Row],[Quantity]]*Sheet1[[#This Row],[Sales]]</f>
        <v>30</v>
      </c>
      <c r="U158">
        <f>Sheet1[[#This Row],[Total Sales]]*Sheet1[[#This Row],[Discount]]</f>
        <v>21</v>
      </c>
      <c r="V158" s="4">
        <f>Sheet1[[#This Row],[Total Sales]]-Sheet1[[#This Row],[Total Sales]]*Sheet1[[#This Row],[Discount]]</f>
        <v>9</v>
      </c>
      <c r="W158" s="4">
        <f>Sheet1[[#This Row],[Quantity]]*Sheet1[[#This Row],[Profit]]</f>
        <v>-44.915999999999997</v>
      </c>
      <c r="X158" s="5">
        <f>Sheet1[[#This Row],[Total Profit]]/Sheet1[[#This Row],[Sales After Discount]]</f>
        <v>-4.9906666666666659</v>
      </c>
      <c r="Y158" s="4">
        <f>Sheet1[[#This Row],[Shipping_cost]]*Sheet1[[#This Row],[Quantity]]</f>
        <v>2.54</v>
      </c>
      <c r="Z158" s="4">
        <f>Sheet1[[#This Row],[Total Profit]]-Sheet1[[#This Row],[Total Shipping Cost]]</f>
        <v>-47.455999999999996</v>
      </c>
      <c r="AA158" s="4" t="str">
        <f>IF(Sheet1[[#This Row],[Net Profit]]&gt;0,"Profit","Loss")</f>
        <v>Loss</v>
      </c>
    </row>
    <row r="159" spans="1:27" x14ac:dyDescent="0.25">
      <c r="A159" t="s">
        <v>313</v>
      </c>
      <c r="B159" s="1">
        <v>40555</v>
      </c>
      <c r="C159" s="1">
        <v>40559</v>
      </c>
      <c r="D159" t="s">
        <v>1</v>
      </c>
      <c r="E159" t="s">
        <v>314</v>
      </c>
      <c r="F159" t="s">
        <v>43</v>
      </c>
      <c r="G159" t="s">
        <v>222</v>
      </c>
      <c r="H159" t="s">
        <v>223</v>
      </c>
      <c r="I159" t="s">
        <v>6</v>
      </c>
      <c r="J159" t="s">
        <v>6</v>
      </c>
      <c r="K159" t="s">
        <v>7</v>
      </c>
      <c r="L159" t="s">
        <v>91</v>
      </c>
      <c r="M159">
        <v>16</v>
      </c>
      <c r="N159">
        <v>1</v>
      </c>
      <c r="O159">
        <v>0.7</v>
      </c>
      <c r="P159">
        <v>-28.518000000000001</v>
      </c>
      <c r="Q159">
        <v>1.27</v>
      </c>
      <c r="R159" t="s">
        <v>9</v>
      </c>
      <c r="S159">
        <f>Sheet1[[#This Row],[Ship_date]]-Sheet1[[#This Row],[Order_date]]</f>
        <v>4</v>
      </c>
      <c r="T159">
        <f>Sheet1[[#This Row],[Quantity]]*Sheet1[[#This Row],[Sales]]</f>
        <v>16</v>
      </c>
      <c r="U159">
        <f>Sheet1[[#This Row],[Total Sales]]*Sheet1[[#This Row],[Discount]]</f>
        <v>11.2</v>
      </c>
      <c r="V159" s="4">
        <f>Sheet1[[#This Row],[Total Sales]]-Sheet1[[#This Row],[Total Sales]]*Sheet1[[#This Row],[Discount]]</f>
        <v>4.8000000000000007</v>
      </c>
      <c r="W159" s="4">
        <f>Sheet1[[#This Row],[Quantity]]*Sheet1[[#This Row],[Profit]]</f>
        <v>-28.518000000000001</v>
      </c>
      <c r="X159" s="5">
        <f>Sheet1[[#This Row],[Total Profit]]/Sheet1[[#This Row],[Sales After Discount]]</f>
        <v>-5.9412499999999993</v>
      </c>
      <c r="Y159" s="4">
        <f>Sheet1[[#This Row],[Shipping_cost]]*Sheet1[[#This Row],[Quantity]]</f>
        <v>1.27</v>
      </c>
      <c r="Z159" s="4">
        <f>Sheet1[[#This Row],[Total Profit]]-Sheet1[[#This Row],[Total Shipping Cost]]</f>
        <v>-29.788</v>
      </c>
      <c r="AA159" s="4" t="str">
        <f>IF(Sheet1[[#This Row],[Net Profit]]&gt;0,"Profit","Loss")</f>
        <v>Loss</v>
      </c>
    </row>
    <row r="160" spans="1:27" x14ac:dyDescent="0.25">
      <c r="A160" t="s">
        <v>313</v>
      </c>
      <c r="B160" s="1">
        <v>40555</v>
      </c>
      <c r="C160" s="1">
        <v>40559</v>
      </c>
      <c r="D160" t="s">
        <v>1</v>
      </c>
      <c r="E160" t="s">
        <v>314</v>
      </c>
      <c r="F160" t="s">
        <v>43</v>
      </c>
      <c r="G160" t="s">
        <v>222</v>
      </c>
      <c r="H160" t="s">
        <v>223</v>
      </c>
      <c r="I160" t="s">
        <v>6</v>
      </c>
      <c r="J160" t="s">
        <v>6</v>
      </c>
      <c r="K160" t="s">
        <v>7</v>
      </c>
      <c r="L160" t="s">
        <v>87</v>
      </c>
      <c r="M160">
        <v>13</v>
      </c>
      <c r="N160">
        <v>4</v>
      </c>
      <c r="O160">
        <v>0.7</v>
      </c>
      <c r="P160">
        <v>-21.648</v>
      </c>
      <c r="Q160">
        <v>0.62</v>
      </c>
      <c r="R160" t="s">
        <v>9</v>
      </c>
      <c r="S160">
        <f>Sheet1[[#This Row],[Ship_date]]-Sheet1[[#This Row],[Order_date]]</f>
        <v>4</v>
      </c>
      <c r="T160">
        <f>Sheet1[[#This Row],[Quantity]]*Sheet1[[#This Row],[Sales]]</f>
        <v>52</v>
      </c>
      <c r="U160">
        <f>Sheet1[[#This Row],[Total Sales]]*Sheet1[[#This Row],[Discount]]</f>
        <v>36.4</v>
      </c>
      <c r="V160" s="4">
        <f>Sheet1[[#This Row],[Total Sales]]-Sheet1[[#This Row],[Total Sales]]*Sheet1[[#This Row],[Discount]]</f>
        <v>15.600000000000001</v>
      </c>
      <c r="W160" s="4">
        <f>Sheet1[[#This Row],[Quantity]]*Sheet1[[#This Row],[Profit]]</f>
        <v>-86.591999999999999</v>
      </c>
      <c r="X160" s="5">
        <f>Sheet1[[#This Row],[Total Profit]]/Sheet1[[#This Row],[Sales After Discount]]</f>
        <v>-5.5507692307692302</v>
      </c>
      <c r="Y160" s="4">
        <f>Sheet1[[#This Row],[Shipping_cost]]*Sheet1[[#This Row],[Quantity]]</f>
        <v>2.48</v>
      </c>
      <c r="Z160" s="4">
        <f>Sheet1[[#This Row],[Total Profit]]-Sheet1[[#This Row],[Total Shipping Cost]]</f>
        <v>-89.072000000000003</v>
      </c>
      <c r="AA160" s="4" t="str">
        <f>IF(Sheet1[[#This Row],[Net Profit]]&gt;0,"Profit","Loss")</f>
        <v>Loss</v>
      </c>
    </row>
    <row r="161" spans="1:27" x14ac:dyDescent="0.25">
      <c r="A161" t="s">
        <v>313</v>
      </c>
      <c r="B161" s="1">
        <v>40555</v>
      </c>
      <c r="C161" s="1">
        <v>40559</v>
      </c>
      <c r="D161" t="s">
        <v>1</v>
      </c>
      <c r="E161" t="s">
        <v>314</v>
      </c>
      <c r="F161" t="s">
        <v>43</v>
      </c>
      <c r="G161" t="s">
        <v>222</v>
      </c>
      <c r="H161" t="s">
        <v>223</v>
      </c>
      <c r="I161" t="s">
        <v>6</v>
      </c>
      <c r="J161" t="s">
        <v>6</v>
      </c>
      <c r="K161" t="s">
        <v>7</v>
      </c>
      <c r="L161" t="s">
        <v>16</v>
      </c>
      <c r="M161">
        <v>5</v>
      </c>
      <c r="N161">
        <v>1</v>
      </c>
      <c r="O161">
        <v>0.7</v>
      </c>
      <c r="P161">
        <v>-10.326000000000001</v>
      </c>
      <c r="Q161">
        <v>0.43</v>
      </c>
      <c r="R161" t="s">
        <v>9</v>
      </c>
      <c r="S161">
        <f>Sheet1[[#This Row],[Ship_date]]-Sheet1[[#This Row],[Order_date]]</f>
        <v>4</v>
      </c>
      <c r="T161">
        <f>Sheet1[[#This Row],[Quantity]]*Sheet1[[#This Row],[Sales]]</f>
        <v>5</v>
      </c>
      <c r="U161">
        <f>Sheet1[[#This Row],[Total Sales]]*Sheet1[[#This Row],[Discount]]</f>
        <v>3.5</v>
      </c>
      <c r="V161" s="4">
        <f>Sheet1[[#This Row],[Total Sales]]-Sheet1[[#This Row],[Total Sales]]*Sheet1[[#This Row],[Discount]]</f>
        <v>1.5</v>
      </c>
      <c r="W161" s="4">
        <f>Sheet1[[#This Row],[Quantity]]*Sheet1[[#This Row],[Profit]]</f>
        <v>-10.326000000000001</v>
      </c>
      <c r="X161" s="5">
        <f>Sheet1[[#This Row],[Total Profit]]/Sheet1[[#This Row],[Sales After Discount]]</f>
        <v>-6.8840000000000003</v>
      </c>
      <c r="Y161" s="4">
        <f>Sheet1[[#This Row],[Shipping_cost]]*Sheet1[[#This Row],[Quantity]]</f>
        <v>0.43</v>
      </c>
      <c r="Z161" s="4">
        <f>Sheet1[[#This Row],[Total Profit]]-Sheet1[[#This Row],[Total Shipping Cost]]</f>
        <v>-10.756</v>
      </c>
      <c r="AA161" s="4" t="str">
        <f>IF(Sheet1[[#This Row],[Net Profit]]&gt;0,"Profit","Loss")</f>
        <v>Loss</v>
      </c>
    </row>
    <row r="162" spans="1:27" x14ac:dyDescent="0.25">
      <c r="A162" t="s">
        <v>313</v>
      </c>
      <c r="B162" s="1">
        <v>40555</v>
      </c>
      <c r="C162" s="1">
        <v>40559</v>
      </c>
      <c r="D162" t="s">
        <v>1</v>
      </c>
      <c r="E162" t="s">
        <v>314</v>
      </c>
      <c r="F162" t="s">
        <v>43</v>
      </c>
      <c r="G162" t="s">
        <v>222</v>
      </c>
      <c r="H162" t="s">
        <v>223</v>
      </c>
      <c r="I162" t="s">
        <v>6</v>
      </c>
      <c r="J162" t="s">
        <v>6</v>
      </c>
      <c r="K162" t="s">
        <v>7</v>
      </c>
      <c r="L162" t="s">
        <v>97</v>
      </c>
      <c r="M162">
        <v>3</v>
      </c>
      <c r="N162">
        <v>1</v>
      </c>
      <c r="O162">
        <v>0.7</v>
      </c>
      <c r="P162">
        <v>-6.4829999999999997</v>
      </c>
      <c r="Q162">
        <v>0.25</v>
      </c>
      <c r="R162" t="s">
        <v>9</v>
      </c>
      <c r="S162">
        <f>Sheet1[[#This Row],[Ship_date]]-Sheet1[[#This Row],[Order_date]]</f>
        <v>4</v>
      </c>
      <c r="T162">
        <f>Sheet1[[#This Row],[Quantity]]*Sheet1[[#This Row],[Sales]]</f>
        <v>3</v>
      </c>
      <c r="U162">
        <f>Sheet1[[#This Row],[Total Sales]]*Sheet1[[#This Row],[Discount]]</f>
        <v>2.0999999999999996</v>
      </c>
      <c r="V162" s="4">
        <f>Sheet1[[#This Row],[Total Sales]]-Sheet1[[#This Row],[Total Sales]]*Sheet1[[#This Row],[Discount]]</f>
        <v>0.90000000000000036</v>
      </c>
      <c r="W162" s="4">
        <f>Sheet1[[#This Row],[Quantity]]*Sheet1[[#This Row],[Profit]]</f>
        <v>-6.4829999999999997</v>
      </c>
      <c r="X162" s="5">
        <f>Sheet1[[#This Row],[Total Profit]]/Sheet1[[#This Row],[Sales After Discount]]</f>
        <v>-7.2033333333333305</v>
      </c>
      <c r="Y162" s="4">
        <f>Sheet1[[#This Row],[Shipping_cost]]*Sheet1[[#This Row],[Quantity]]</f>
        <v>0.25</v>
      </c>
      <c r="Z162" s="4">
        <f>Sheet1[[#This Row],[Total Profit]]-Sheet1[[#This Row],[Total Shipping Cost]]</f>
        <v>-6.7329999999999997</v>
      </c>
      <c r="AA162" s="4" t="str">
        <f>IF(Sheet1[[#This Row],[Net Profit]]&gt;0,"Profit","Loss")</f>
        <v>Loss</v>
      </c>
    </row>
    <row r="163" spans="1:27" x14ac:dyDescent="0.25">
      <c r="A163" t="s">
        <v>313</v>
      </c>
      <c r="B163" s="1">
        <v>40555</v>
      </c>
      <c r="C163" s="1">
        <v>40559</v>
      </c>
      <c r="D163" t="s">
        <v>1</v>
      </c>
      <c r="E163" t="s">
        <v>314</v>
      </c>
      <c r="F163" t="s">
        <v>43</v>
      </c>
      <c r="G163" t="s">
        <v>222</v>
      </c>
      <c r="H163" t="s">
        <v>223</v>
      </c>
      <c r="I163" t="s">
        <v>6</v>
      </c>
      <c r="J163" t="s">
        <v>6</v>
      </c>
      <c r="K163" t="s">
        <v>7</v>
      </c>
      <c r="L163" t="s">
        <v>8</v>
      </c>
      <c r="M163">
        <v>17</v>
      </c>
      <c r="N163">
        <v>1</v>
      </c>
      <c r="O163">
        <v>0.7</v>
      </c>
      <c r="P163">
        <v>-26.649000000000001</v>
      </c>
      <c r="Q163">
        <v>0.24</v>
      </c>
      <c r="R163" t="s">
        <v>9</v>
      </c>
      <c r="S163">
        <f>Sheet1[[#This Row],[Ship_date]]-Sheet1[[#This Row],[Order_date]]</f>
        <v>4</v>
      </c>
      <c r="T163">
        <f>Sheet1[[#This Row],[Quantity]]*Sheet1[[#This Row],[Sales]]</f>
        <v>17</v>
      </c>
      <c r="U163">
        <f>Sheet1[[#This Row],[Total Sales]]*Sheet1[[#This Row],[Discount]]</f>
        <v>11.899999999999999</v>
      </c>
      <c r="V163" s="4">
        <f>Sheet1[[#This Row],[Total Sales]]-Sheet1[[#This Row],[Total Sales]]*Sheet1[[#This Row],[Discount]]</f>
        <v>5.1000000000000014</v>
      </c>
      <c r="W163" s="4">
        <f>Sheet1[[#This Row],[Quantity]]*Sheet1[[#This Row],[Profit]]</f>
        <v>-26.649000000000001</v>
      </c>
      <c r="X163" s="5">
        <f>Sheet1[[#This Row],[Total Profit]]/Sheet1[[#This Row],[Sales After Discount]]</f>
        <v>-5.2252941176470573</v>
      </c>
      <c r="Y163" s="4">
        <f>Sheet1[[#This Row],[Shipping_cost]]*Sheet1[[#This Row],[Quantity]]</f>
        <v>0.24</v>
      </c>
      <c r="Z163" s="4">
        <f>Sheet1[[#This Row],[Total Profit]]-Sheet1[[#This Row],[Total Shipping Cost]]</f>
        <v>-26.888999999999999</v>
      </c>
      <c r="AA163" s="4" t="str">
        <f>IF(Sheet1[[#This Row],[Net Profit]]&gt;0,"Profit","Loss")</f>
        <v>Loss</v>
      </c>
    </row>
    <row r="164" spans="1:27" x14ac:dyDescent="0.25">
      <c r="A164" t="s">
        <v>315</v>
      </c>
      <c r="B164" s="1">
        <v>40556</v>
      </c>
      <c r="C164" s="1">
        <v>40561</v>
      </c>
      <c r="D164" t="s">
        <v>1</v>
      </c>
      <c r="E164" t="s">
        <v>316</v>
      </c>
      <c r="F164" t="s">
        <v>3</v>
      </c>
      <c r="G164" t="s">
        <v>317</v>
      </c>
      <c r="H164" t="s">
        <v>241</v>
      </c>
      <c r="I164" t="s">
        <v>6</v>
      </c>
      <c r="J164" t="s">
        <v>6</v>
      </c>
      <c r="K164" t="s">
        <v>7</v>
      </c>
      <c r="L164" t="s">
        <v>8</v>
      </c>
      <c r="M164">
        <v>794</v>
      </c>
      <c r="N164">
        <v>4</v>
      </c>
      <c r="O164">
        <v>0</v>
      </c>
      <c r="P164">
        <v>134.88</v>
      </c>
      <c r="Q164">
        <v>76.599999999999994</v>
      </c>
      <c r="R164" t="s">
        <v>9</v>
      </c>
      <c r="S164">
        <f>Sheet1[[#This Row],[Ship_date]]-Sheet1[[#This Row],[Order_date]]</f>
        <v>5</v>
      </c>
      <c r="T164">
        <f>Sheet1[[#This Row],[Quantity]]*Sheet1[[#This Row],[Sales]]</f>
        <v>3176</v>
      </c>
      <c r="U164">
        <f>Sheet1[[#This Row],[Total Sales]]*Sheet1[[#This Row],[Discount]]</f>
        <v>0</v>
      </c>
      <c r="V164" s="4">
        <f>Sheet1[[#This Row],[Total Sales]]-Sheet1[[#This Row],[Total Sales]]*Sheet1[[#This Row],[Discount]]</f>
        <v>3176</v>
      </c>
      <c r="W164" s="4">
        <f>Sheet1[[#This Row],[Quantity]]*Sheet1[[#This Row],[Profit]]</f>
        <v>539.52</v>
      </c>
      <c r="X164" s="5">
        <f>Sheet1[[#This Row],[Total Profit]]/Sheet1[[#This Row],[Sales After Discount]]</f>
        <v>0.16987405541561712</v>
      </c>
      <c r="Y164" s="4">
        <f>Sheet1[[#This Row],[Shipping_cost]]*Sheet1[[#This Row],[Quantity]]</f>
        <v>306.39999999999998</v>
      </c>
      <c r="Z164" s="4">
        <f>Sheet1[[#This Row],[Total Profit]]-Sheet1[[#This Row],[Total Shipping Cost]]</f>
        <v>233.12</v>
      </c>
      <c r="AA164" s="4" t="str">
        <f>IF(Sheet1[[#This Row],[Net Profit]]&gt;0,"Profit","Loss")</f>
        <v>Profit</v>
      </c>
    </row>
    <row r="165" spans="1:27" x14ac:dyDescent="0.25">
      <c r="A165" t="s">
        <v>315</v>
      </c>
      <c r="B165" s="1">
        <v>40556</v>
      </c>
      <c r="C165" s="1">
        <v>40561</v>
      </c>
      <c r="D165" t="s">
        <v>1</v>
      </c>
      <c r="E165" t="s">
        <v>316</v>
      </c>
      <c r="F165" t="s">
        <v>3</v>
      </c>
      <c r="G165" t="s">
        <v>317</v>
      </c>
      <c r="H165" t="s">
        <v>241</v>
      </c>
      <c r="I165" t="s">
        <v>6</v>
      </c>
      <c r="J165" t="s">
        <v>6</v>
      </c>
      <c r="K165" t="s">
        <v>38</v>
      </c>
      <c r="L165" t="s">
        <v>50</v>
      </c>
      <c r="M165">
        <v>1200</v>
      </c>
      <c r="N165">
        <v>4</v>
      </c>
      <c r="O165">
        <v>0</v>
      </c>
      <c r="P165">
        <v>479.88</v>
      </c>
      <c r="Q165">
        <v>55.62</v>
      </c>
      <c r="R165" t="s">
        <v>9</v>
      </c>
      <c r="S165">
        <f>Sheet1[[#This Row],[Ship_date]]-Sheet1[[#This Row],[Order_date]]</f>
        <v>5</v>
      </c>
      <c r="T165">
        <f>Sheet1[[#This Row],[Quantity]]*Sheet1[[#This Row],[Sales]]</f>
        <v>4800</v>
      </c>
      <c r="U165">
        <f>Sheet1[[#This Row],[Total Sales]]*Sheet1[[#This Row],[Discount]]</f>
        <v>0</v>
      </c>
      <c r="V165" s="4">
        <f>Sheet1[[#This Row],[Total Sales]]-Sheet1[[#This Row],[Total Sales]]*Sheet1[[#This Row],[Discount]]</f>
        <v>4800</v>
      </c>
      <c r="W165" s="4">
        <f>Sheet1[[#This Row],[Quantity]]*Sheet1[[#This Row],[Profit]]</f>
        <v>1919.52</v>
      </c>
      <c r="X165" s="5">
        <f>Sheet1[[#This Row],[Total Profit]]/Sheet1[[#This Row],[Sales After Discount]]</f>
        <v>0.39989999999999998</v>
      </c>
      <c r="Y165" s="4">
        <f>Sheet1[[#This Row],[Shipping_cost]]*Sheet1[[#This Row],[Quantity]]</f>
        <v>222.48</v>
      </c>
      <c r="Z165" s="4">
        <f>Sheet1[[#This Row],[Total Profit]]-Sheet1[[#This Row],[Total Shipping Cost]]</f>
        <v>1697.04</v>
      </c>
      <c r="AA165" s="4" t="str">
        <f>IF(Sheet1[[#This Row],[Net Profit]]&gt;0,"Profit","Loss")</f>
        <v>Profit</v>
      </c>
    </row>
    <row r="166" spans="1:27" x14ac:dyDescent="0.25">
      <c r="A166" t="s">
        <v>318</v>
      </c>
      <c r="B166" s="1">
        <v>40556</v>
      </c>
      <c r="C166" s="1">
        <v>40560</v>
      </c>
      <c r="D166" t="s">
        <v>1</v>
      </c>
      <c r="E166" t="s">
        <v>319</v>
      </c>
      <c r="F166" t="s">
        <v>3</v>
      </c>
      <c r="G166" t="s">
        <v>320</v>
      </c>
      <c r="H166" t="s">
        <v>106</v>
      </c>
      <c r="I166" t="s">
        <v>75</v>
      </c>
      <c r="J166" t="s">
        <v>30</v>
      </c>
      <c r="K166" t="s">
        <v>38</v>
      </c>
      <c r="L166" t="s">
        <v>39</v>
      </c>
      <c r="M166">
        <v>201</v>
      </c>
      <c r="N166">
        <v>1</v>
      </c>
      <c r="O166">
        <v>0</v>
      </c>
      <c r="P166">
        <v>100.62</v>
      </c>
      <c r="Q166">
        <v>31.78</v>
      </c>
      <c r="R166" t="s">
        <v>23</v>
      </c>
      <c r="S166">
        <f>Sheet1[[#This Row],[Ship_date]]-Sheet1[[#This Row],[Order_date]]</f>
        <v>4</v>
      </c>
      <c r="T166">
        <f>Sheet1[[#This Row],[Quantity]]*Sheet1[[#This Row],[Sales]]</f>
        <v>201</v>
      </c>
      <c r="U166">
        <f>Sheet1[[#This Row],[Total Sales]]*Sheet1[[#This Row],[Discount]]</f>
        <v>0</v>
      </c>
      <c r="V166" s="4">
        <f>Sheet1[[#This Row],[Total Sales]]-Sheet1[[#This Row],[Total Sales]]*Sheet1[[#This Row],[Discount]]</f>
        <v>201</v>
      </c>
      <c r="W166" s="4">
        <f>Sheet1[[#This Row],[Quantity]]*Sheet1[[#This Row],[Profit]]</f>
        <v>100.62</v>
      </c>
      <c r="X166" s="5">
        <f>Sheet1[[#This Row],[Total Profit]]/Sheet1[[#This Row],[Sales After Discount]]</f>
        <v>0.50059701492537312</v>
      </c>
      <c r="Y166" s="4">
        <f>Sheet1[[#This Row],[Shipping_cost]]*Sheet1[[#This Row],[Quantity]]</f>
        <v>31.78</v>
      </c>
      <c r="Z166" s="4">
        <f>Sheet1[[#This Row],[Total Profit]]-Sheet1[[#This Row],[Total Shipping Cost]]</f>
        <v>68.84</v>
      </c>
      <c r="AA166" s="4" t="str">
        <f>IF(Sheet1[[#This Row],[Net Profit]]&gt;0,"Profit","Loss")</f>
        <v>Profit</v>
      </c>
    </row>
    <row r="167" spans="1:27" x14ac:dyDescent="0.25">
      <c r="A167" t="s">
        <v>321</v>
      </c>
      <c r="B167" s="1">
        <v>40556</v>
      </c>
      <c r="C167" s="1">
        <v>40562</v>
      </c>
      <c r="D167" t="s">
        <v>1</v>
      </c>
      <c r="E167" t="s">
        <v>322</v>
      </c>
      <c r="F167" t="s">
        <v>3</v>
      </c>
      <c r="G167" t="s">
        <v>323</v>
      </c>
      <c r="H167" t="s">
        <v>207</v>
      </c>
      <c r="I167" t="s">
        <v>29</v>
      </c>
      <c r="J167" t="s">
        <v>76</v>
      </c>
      <c r="K167" t="s">
        <v>7</v>
      </c>
      <c r="L167" t="s">
        <v>8</v>
      </c>
      <c r="M167">
        <v>198</v>
      </c>
      <c r="N167">
        <v>2</v>
      </c>
      <c r="O167">
        <v>0.5</v>
      </c>
      <c r="P167">
        <v>-130.97999999999999</v>
      </c>
      <c r="Q167">
        <v>14.53</v>
      </c>
      <c r="R167" t="s">
        <v>9</v>
      </c>
      <c r="S167">
        <f>Sheet1[[#This Row],[Ship_date]]-Sheet1[[#This Row],[Order_date]]</f>
        <v>6</v>
      </c>
      <c r="T167">
        <f>Sheet1[[#This Row],[Quantity]]*Sheet1[[#This Row],[Sales]]</f>
        <v>396</v>
      </c>
      <c r="U167">
        <f>Sheet1[[#This Row],[Total Sales]]*Sheet1[[#This Row],[Discount]]</f>
        <v>198</v>
      </c>
      <c r="V167" s="4">
        <f>Sheet1[[#This Row],[Total Sales]]-Sheet1[[#This Row],[Total Sales]]*Sheet1[[#This Row],[Discount]]</f>
        <v>198</v>
      </c>
      <c r="W167" s="4">
        <f>Sheet1[[#This Row],[Quantity]]*Sheet1[[#This Row],[Profit]]</f>
        <v>-261.95999999999998</v>
      </c>
      <c r="X167" s="5">
        <f>Sheet1[[#This Row],[Total Profit]]/Sheet1[[#This Row],[Sales After Discount]]</f>
        <v>-1.323030303030303</v>
      </c>
      <c r="Y167" s="4">
        <f>Sheet1[[#This Row],[Shipping_cost]]*Sheet1[[#This Row],[Quantity]]</f>
        <v>29.06</v>
      </c>
      <c r="Z167" s="4">
        <f>Sheet1[[#This Row],[Total Profit]]-Sheet1[[#This Row],[Total Shipping Cost]]</f>
        <v>-291.02</v>
      </c>
      <c r="AA167" s="4" t="str">
        <f>IF(Sheet1[[#This Row],[Net Profit]]&gt;0,"Profit","Loss")</f>
        <v>Loss</v>
      </c>
    </row>
    <row r="168" spans="1:27" x14ac:dyDescent="0.25">
      <c r="A168" t="s">
        <v>315</v>
      </c>
      <c r="B168" s="1">
        <v>40556</v>
      </c>
      <c r="C168" s="1">
        <v>40561</v>
      </c>
      <c r="D168" t="s">
        <v>1</v>
      </c>
      <c r="E168" t="s">
        <v>316</v>
      </c>
      <c r="F168" t="s">
        <v>3</v>
      </c>
      <c r="G168" t="s">
        <v>317</v>
      </c>
      <c r="H168" t="s">
        <v>241</v>
      </c>
      <c r="I168" t="s">
        <v>6</v>
      </c>
      <c r="J168" t="s">
        <v>6</v>
      </c>
      <c r="K168" t="s">
        <v>7</v>
      </c>
      <c r="L168" t="s">
        <v>8</v>
      </c>
      <c r="M168">
        <v>38</v>
      </c>
      <c r="N168">
        <v>2</v>
      </c>
      <c r="O168">
        <v>0</v>
      </c>
      <c r="P168">
        <v>17.22</v>
      </c>
      <c r="Q168">
        <v>2.66</v>
      </c>
      <c r="R168" t="s">
        <v>9</v>
      </c>
      <c r="S168">
        <f>Sheet1[[#This Row],[Ship_date]]-Sheet1[[#This Row],[Order_date]]</f>
        <v>5</v>
      </c>
      <c r="T168">
        <f>Sheet1[[#This Row],[Quantity]]*Sheet1[[#This Row],[Sales]]</f>
        <v>76</v>
      </c>
      <c r="U168">
        <f>Sheet1[[#This Row],[Total Sales]]*Sheet1[[#This Row],[Discount]]</f>
        <v>0</v>
      </c>
      <c r="V168" s="4">
        <f>Sheet1[[#This Row],[Total Sales]]-Sheet1[[#This Row],[Total Sales]]*Sheet1[[#This Row],[Discount]]</f>
        <v>76</v>
      </c>
      <c r="W168" s="4">
        <f>Sheet1[[#This Row],[Quantity]]*Sheet1[[#This Row],[Profit]]</f>
        <v>34.44</v>
      </c>
      <c r="X168" s="5">
        <f>Sheet1[[#This Row],[Total Profit]]/Sheet1[[#This Row],[Sales After Discount]]</f>
        <v>0.45315789473684209</v>
      </c>
      <c r="Y168" s="4">
        <f>Sheet1[[#This Row],[Shipping_cost]]*Sheet1[[#This Row],[Quantity]]</f>
        <v>5.32</v>
      </c>
      <c r="Z168" s="4">
        <f>Sheet1[[#This Row],[Total Profit]]-Sheet1[[#This Row],[Total Shipping Cost]]</f>
        <v>29.119999999999997</v>
      </c>
      <c r="AA168" s="4" t="str">
        <f>IF(Sheet1[[#This Row],[Net Profit]]&gt;0,"Profit","Loss")</f>
        <v>Profit</v>
      </c>
    </row>
    <row r="169" spans="1:27" x14ac:dyDescent="0.25">
      <c r="A169" t="s">
        <v>324</v>
      </c>
      <c r="B169" s="1">
        <v>40556</v>
      </c>
      <c r="C169" s="1">
        <v>40560</v>
      </c>
      <c r="D169" t="s">
        <v>1</v>
      </c>
      <c r="E169" t="s">
        <v>325</v>
      </c>
      <c r="F169" t="s">
        <v>26</v>
      </c>
      <c r="G169" t="s">
        <v>326</v>
      </c>
      <c r="H169" t="s">
        <v>247</v>
      </c>
      <c r="I169" t="s">
        <v>75</v>
      </c>
      <c r="J169" t="s">
        <v>102</v>
      </c>
      <c r="K169" t="s">
        <v>7</v>
      </c>
      <c r="L169" t="s">
        <v>16</v>
      </c>
      <c r="M169">
        <v>26</v>
      </c>
      <c r="N169">
        <v>5</v>
      </c>
      <c r="O169">
        <v>0.4</v>
      </c>
      <c r="P169">
        <v>-8</v>
      </c>
      <c r="Q169">
        <v>2.2000000000000002</v>
      </c>
      <c r="R169" t="s">
        <v>23</v>
      </c>
      <c r="S169">
        <f>Sheet1[[#This Row],[Ship_date]]-Sheet1[[#This Row],[Order_date]]</f>
        <v>4</v>
      </c>
      <c r="T169">
        <f>Sheet1[[#This Row],[Quantity]]*Sheet1[[#This Row],[Sales]]</f>
        <v>130</v>
      </c>
      <c r="U169">
        <f>Sheet1[[#This Row],[Total Sales]]*Sheet1[[#This Row],[Discount]]</f>
        <v>52</v>
      </c>
      <c r="V169" s="4">
        <f>Sheet1[[#This Row],[Total Sales]]-Sheet1[[#This Row],[Total Sales]]*Sheet1[[#This Row],[Discount]]</f>
        <v>78</v>
      </c>
      <c r="W169" s="4">
        <f>Sheet1[[#This Row],[Quantity]]*Sheet1[[#This Row],[Profit]]</f>
        <v>-40</v>
      </c>
      <c r="X169" s="5">
        <f>Sheet1[[#This Row],[Total Profit]]/Sheet1[[#This Row],[Sales After Discount]]</f>
        <v>-0.51282051282051277</v>
      </c>
      <c r="Y169" s="4">
        <f>Sheet1[[#This Row],[Shipping_cost]]*Sheet1[[#This Row],[Quantity]]</f>
        <v>11</v>
      </c>
      <c r="Z169" s="4">
        <f>Sheet1[[#This Row],[Total Profit]]-Sheet1[[#This Row],[Total Shipping Cost]]</f>
        <v>-51</v>
      </c>
      <c r="AA169" s="4" t="str">
        <f>IF(Sheet1[[#This Row],[Net Profit]]&gt;0,"Profit","Loss")</f>
        <v>Loss</v>
      </c>
    </row>
    <row r="170" spans="1:27" x14ac:dyDescent="0.25">
      <c r="A170" t="s">
        <v>327</v>
      </c>
      <c r="B170" s="1">
        <v>40556</v>
      </c>
      <c r="C170" s="1">
        <v>40563</v>
      </c>
      <c r="D170" t="s">
        <v>1</v>
      </c>
      <c r="E170" t="s">
        <v>328</v>
      </c>
      <c r="F170" t="s">
        <v>3</v>
      </c>
      <c r="G170" t="s">
        <v>329</v>
      </c>
      <c r="H170" t="s">
        <v>28</v>
      </c>
      <c r="I170" t="s">
        <v>29</v>
      </c>
      <c r="J170" t="s">
        <v>30</v>
      </c>
      <c r="K170" t="s">
        <v>7</v>
      </c>
      <c r="L170" t="s">
        <v>91</v>
      </c>
      <c r="M170">
        <v>31</v>
      </c>
      <c r="N170">
        <v>5</v>
      </c>
      <c r="O170">
        <v>0.5</v>
      </c>
      <c r="P170">
        <v>-13.65</v>
      </c>
      <c r="Q170">
        <v>2.16</v>
      </c>
      <c r="R170" t="s">
        <v>9</v>
      </c>
      <c r="S170">
        <f>Sheet1[[#This Row],[Ship_date]]-Sheet1[[#This Row],[Order_date]]</f>
        <v>7</v>
      </c>
      <c r="T170">
        <f>Sheet1[[#This Row],[Quantity]]*Sheet1[[#This Row],[Sales]]</f>
        <v>155</v>
      </c>
      <c r="U170">
        <f>Sheet1[[#This Row],[Total Sales]]*Sheet1[[#This Row],[Discount]]</f>
        <v>77.5</v>
      </c>
      <c r="V170" s="4">
        <f>Sheet1[[#This Row],[Total Sales]]-Sheet1[[#This Row],[Total Sales]]*Sheet1[[#This Row],[Discount]]</f>
        <v>77.5</v>
      </c>
      <c r="W170" s="4">
        <f>Sheet1[[#This Row],[Quantity]]*Sheet1[[#This Row],[Profit]]</f>
        <v>-68.25</v>
      </c>
      <c r="X170" s="5">
        <f>Sheet1[[#This Row],[Total Profit]]/Sheet1[[#This Row],[Sales After Discount]]</f>
        <v>-0.88064516129032255</v>
      </c>
      <c r="Y170" s="4">
        <f>Sheet1[[#This Row],[Shipping_cost]]*Sheet1[[#This Row],[Quantity]]</f>
        <v>10.8</v>
      </c>
      <c r="Z170" s="4">
        <f>Sheet1[[#This Row],[Total Profit]]-Sheet1[[#This Row],[Total Shipping Cost]]</f>
        <v>-79.05</v>
      </c>
      <c r="AA170" s="4" t="str">
        <f>IF(Sheet1[[#This Row],[Net Profit]]&gt;0,"Profit","Loss")</f>
        <v>Loss</v>
      </c>
    </row>
    <row r="171" spans="1:27" x14ac:dyDescent="0.25">
      <c r="A171" t="s">
        <v>321</v>
      </c>
      <c r="B171" s="1">
        <v>40556</v>
      </c>
      <c r="C171" s="1">
        <v>40562</v>
      </c>
      <c r="D171" t="s">
        <v>1</v>
      </c>
      <c r="E171" t="s">
        <v>322</v>
      </c>
      <c r="F171" t="s">
        <v>3</v>
      </c>
      <c r="G171" t="s">
        <v>323</v>
      </c>
      <c r="H171" t="s">
        <v>207</v>
      </c>
      <c r="I171" t="s">
        <v>29</v>
      </c>
      <c r="J171" t="s">
        <v>76</v>
      </c>
      <c r="K171" t="s">
        <v>7</v>
      </c>
      <c r="L171" t="s">
        <v>31</v>
      </c>
      <c r="M171">
        <v>50</v>
      </c>
      <c r="N171">
        <v>2</v>
      </c>
      <c r="O171">
        <v>0.5</v>
      </c>
      <c r="P171">
        <v>-37.86</v>
      </c>
      <c r="Q171">
        <v>1.51</v>
      </c>
      <c r="R171" t="s">
        <v>9</v>
      </c>
      <c r="S171">
        <f>Sheet1[[#This Row],[Ship_date]]-Sheet1[[#This Row],[Order_date]]</f>
        <v>6</v>
      </c>
      <c r="T171">
        <f>Sheet1[[#This Row],[Quantity]]*Sheet1[[#This Row],[Sales]]</f>
        <v>100</v>
      </c>
      <c r="U171">
        <f>Sheet1[[#This Row],[Total Sales]]*Sheet1[[#This Row],[Discount]]</f>
        <v>50</v>
      </c>
      <c r="V171" s="4">
        <f>Sheet1[[#This Row],[Total Sales]]-Sheet1[[#This Row],[Total Sales]]*Sheet1[[#This Row],[Discount]]</f>
        <v>50</v>
      </c>
      <c r="W171" s="4">
        <f>Sheet1[[#This Row],[Quantity]]*Sheet1[[#This Row],[Profit]]</f>
        <v>-75.72</v>
      </c>
      <c r="X171" s="5">
        <f>Sheet1[[#This Row],[Total Profit]]/Sheet1[[#This Row],[Sales After Discount]]</f>
        <v>-1.5144</v>
      </c>
      <c r="Y171" s="4">
        <f>Sheet1[[#This Row],[Shipping_cost]]*Sheet1[[#This Row],[Quantity]]</f>
        <v>3.02</v>
      </c>
      <c r="Z171" s="4">
        <f>Sheet1[[#This Row],[Total Profit]]-Sheet1[[#This Row],[Total Shipping Cost]]</f>
        <v>-78.739999999999995</v>
      </c>
      <c r="AA171" s="4" t="str">
        <f>IF(Sheet1[[#This Row],[Net Profit]]&gt;0,"Profit","Loss")</f>
        <v>Loss</v>
      </c>
    </row>
    <row r="172" spans="1:27" x14ac:dyDescent="0.25">
      <c r="A172" t="s">
        <v>321</v>
      </c>
      <c r="B172" s="1">
        <v>40556</v>
      </c>
      <c r="C172" s="1">
        <v>40562</v>
      </c>
      <c r="D172" t="s">
        <v>1</v>
      </c>
      <c r="E172" t="s">
        <v>322</v>
      </c>
      <c r="F172" t="s">
        <v>3</v>
      </c>
      <c r="G172" t="s">
        <v>323</v>
      </c>
      <c r="H172" t="s">
        <v>207</v>
      </c>
      <c r="I172" t="s">
        <v>29</v>
      </c>
      <c r="J172" t="s">
        <v>76</v>
      </c>
      <c r="K172" t="s">
        <v>7</v>
      </c>
      <c r="L172" t="s">
        <v>87</v>
      </c>
      <c r="M172">
        <v>22</v>
      </c>
      <c r="N172">
        <v>4</v>
      </c>
      <c r="O172">
        <v>0.5</v>
      </c>
      <c r="P172">
        <v>-12.3</v>
      </c>
      <c r="Q172">
        <v>1.29</v>
      </c>
      <c r="R172" t="s">
        <v>9</v>
      </c>
      <c r="S172">
        <f>Sheet1[[#This Row],[Ship_date]]-Sheet1[[#This Row],[Order_date]]</f>
        <v>6</v>
      </c>
      <c r="T172">
        <f>Sheet1[[#This Row],[Quantity]]*Sheet1[[#This Row],[Sales]]</f>
        <v>88</v>
      </c>
      <c r="U172">
        <f>Sheet1[[#This Row],[Total Sales]]*Sheet1[[#This Row],[Discount]]</f>
        <v>44</v>
      </c>
      <c r="V172" s="4">
        <f>Sheet1[[#This Row],[Total Sales]]-Sheet1[[#This Row],[Total Sales]]*Sheet1[[#This Row],[Discount]]</f>
        <v>44</v>
      </c>
      <c r="W172" s="4">
        <f>Sheet1[[#This Row],[Quantity]]*Sheet1[[#This Row],[Profit]]</f>
        <v>-49.2</v>
      </c>
      <c r="X172" s="5">
        <f>Sheet1[[#This Row],[Total Profit]]/Sheet1[[#This Row],[Sales After Discount]]</f>
        <v>-1.1181818181818182</v>
      </c>
      <c r="Y172" s="4">
        <f>Sheet1[[#This Row],[Shipping_cost]]*Sheet1[[#This Row],[Quantity]]</f>
        <v>5.16</v>
      </c>
      <c r="Z172" s="4">
        <f>Sheet1[[#This Row],[Total Profit]]-Sheet1[[#This Row],[Total Shipping Cost]]</f>
        <v>-54.36</v>
      </c>
      <c r="AA172" s="4" t="str">
        <f>IF(Sheet1[[#This Row],[Net Profit]]&gt;0,"Profit","Loss")</f>
        <v>Loss</v>
      </c>
    </row>
    <row r="173" spans="1:27" x14ac:dyDescent="0.25">
      <c r="A173" t="s">
        <v>330</v>
      </c>
      <c r="B173" s="1">
        <v>40556</v>
      </c>
      <c r="C173" s="1">
        <v>40560</v>
      </c>
      <c r="D173" t="s">
        <v>1</v>
      </c>
      <c r="E173" t="s">
        <v>331</v>
      </c>
      <c r="F173" t="s">
        <v>43</v>
      </c>
      <c r="G173" t="s">
        <v>332</v>
      </c>
      <c r="H173" t="s">
        <v>13</v>
      </c>
      <c r="I173" t="s">
        <v>14</v>
      </c>
      <c r="J173" t="s">
        <v>15</v>
      </c>
      <c r="K173" t="s">
        <v>7</v>
      </c>
      <c r="L173" t="s">
        <v>87</v>
      </c>
      <c r="M173">
        <v>16</v>
      </c>
      <c r="N173">
        <v>2</v>
      </c>
      <c r="O173">
        <v>0.1</v>
      </c>
      <c r="P173">
        <v>0.33</v>
      </c>
      <c r="Q173">
        <v>0.72</v>
      </c>
      <c r="R173" t="s">
        <v>9</v>
      </c>
      <c r="S173">
        <f>Sheet1[[#This Row],[Ship_date]]-Sheet1[[#This Row],[Order_date]]</f>
        <v>4</v>
      </c>
      <c r="T173">
        <f>Sheet1[[#This Row],[Quantity]]*Sheet1[[#This Row],[Sales]]</f>
        <v>32</v>
      </c>
      <c r="U173">
        <f>Sheet1[[#This Row],[Total Sales]]*Sheet1[[#This Row],[Discount]]</f>
        <v>3.2</v>
      </c>
      <c r="V173" s="4">
        <f>Sheet1[[#This Row],[Total Sales]]-Sheet1[[#This Row],[Total Sales]]*Sheet1[[#This Row],[Discount]]</f>
        <v>28.8</v>
      </c>
      <c r="W173" s="4">
        <f>Sheet1[[#This Row],[Quantity]]*Sheet1[[#This Row],[Profit]]</f>
        <v>0.66</v>
      </c>
      <c r="X173" s="5">
        <f>Sheet1[[#This Row],[Total Profit]]/Sheet1[[#This Row],[Sales After Discount]]</f>
        <v>2.2916666666666669E-2</v>
      </c>
      <c r="Y173" s="4">
        <f>Sheet1[[#This Row],[Shipping_cost]]*Sheet1[[#This Row],[Quantity]]</f>
        <v>1.44</v>
      </c>
      <c r="Z173" s="4">
        <f>Sheet1[[#This Row],[Total Profit]]-Sheet1[[#This Row],[Total Shipping Cost]]</f>
        <v>-0.77999999999999992</v>
      </c>
      <c r="AA173" s="4" t="str">
        <f>IF(Sheet1[[#This Row],[Net Profit]]&gt;0,"Profit","Loss")</f>
        <v>Loss</v>
      </c>
    </row>
    <row r="174" spans="1:27" x14ac:dyDescent="0.25">
      <c r="A174" t="s">
        <v>321</v>
      </c>
      <c r="B174" s="1">
        <v>40556</v>
      </c>
      <c r="C174" s="1">
        <v>40562</v>
      </c>
      <c r="D174" t="s">
        <v>1</v>
      </c>
      <c r="E174" t="s">
        <v>322</v>
      </c>
      <c r="F174" t="s">
        <v>3</v>
      </c>
      <c r="G174" t="s">
        <v>323</v>
      </c>
      <c r="H174" t="s">
        <v>207</v>
      </c>
      <c r="I174" t="s">
        <v>29</v>
      </c>
      <c r="J174" t="s">
        <v>76</v>
      </c>
      <c r="K174" t="s">
        <v>7</v>
      </c>
      <c r="L174" t="s">
        <v>137</v>
      </c>
      <c r="M174">
        <v>9</v>
      </c>
      <c r="N174">
        <v>3</v>
      </c>
      <c r="O174">
        <v>0.5</v>
      </c>
      <c r="P174">
        <v>-3.4649999999999999</v>
      </c>
      <c r="Q174">
        <v>0.43</v>
      </c>
      <c r="R174" t="s">
        <v>9</v>
      </c>
      <c r="S174">
        <f>Sheet1[[#This Row],[Ship_date]]-Sheet1[[#This Row],[Order_date]]</f>
        <v>6</v>
      </c>
      <c r="T174">
        <f>Sheet1[[#This Row],[Quantity]]*Sheet1[[#This Row],[Sales]]</f>
        <v>27</v>
      </c>
      <c r="U174">
        <f>Sheet1[[#This Row],[Total Sales]]*Sheet1[[#This Row],[Discount]]</f>
        <v>13.5</v>
      </c>
      <c r="V174" s="4">
        <f>Sheet1[[#This Row],[Total Sales]]-Sheet1[[#This Row],[Total Sales]]*Sheet1[[#This Row],[Discount]]</f>
        <v>13.5</v>
      </c>
      <c r="W174" s="4">
        <f>Sheet1[[#This Row],[Quantity]]*Sheet1[[#This Row],[Profit]]</f>
        <v>-10.395</v>
      </c>
      <c r="X174" s="5">
        <f>Sheet1[[#This Row],[Total Profit]]/Sheet1[[#This Row],[Sales After Discount]]</f>
        <v>-0.77</v>
      </c>
      <c r="Y174" s="4">
        <f>Sheet1[[#This Row],[Shipping_cost]]*Sheet1[[#This Row],[Quantity]]</f>
        <v>1.29</v>
      </c>
      <c r="Z174" s="4">
        <f>Sheet1[[#This Row],[Total Profit]]-Sheet1[[#This Row],[Total Shipping Cost]]</f>
        <v>-11.684999999999999</v>
      </c>
      <c r="AA174" s="4" t="str">
        <f>IF(Sheet1[[#This Row],[Net Profit]]&gt;0,"Profit","Loss")</f>
        <v>Loss</v>
      </c>
    </row>
    <row r="175" spans="1:27" x14ac:dyDescent="0.25">
      <c r="A175" t="s">
        <v>333</v>
      </c>
      <c r="B175" s="1">
        <v>40557</v>
      </c>
      <c r="C175" s="1">
        <v>40562</v>
      </c>
      <c r="D175" t="s">
        <v>1</v>
      </c>
      <c r="E175" t="s">
        <v>263</v>
      </c>
      <c r="F175" t="s">
        <v>3</v>
      </c>
      <c r="G175" t="s">
        <v>191</v>
      </c>
      <c r="H175" t="s">
        <v>126</v>
      </c>
      <c r="I175" t="s">
        <v>127</v>
      </c>
      <c r="J175" t="s">
        <v>192</v>
      </c>
      <c r="K175" t="s">
        <v>7</v>
      </c>
      <c r="L175" t="s">
        <v>8</v>
      </c>
      <c r="M175">
        <v>1326</v>
      </c>
      <c r="N175">
        <v>5</v>
      </c>
      <c r="O175">
        <v>0</v>
      </c>
      <c r="P175">
        <v>238.65299999999999</v>
      </c>
      <c r="Q175">
        <v>187.65</v>
      </c>
      <c r="R175" t="s">
        <v>23</v>
      </c>
      <c r="S175">
        <f>Sheet1[[#This Row],[Ship_date]]-Sheet1[[#This Row],[Order_date]]</f>
        <v>5</v>
      </c>
      <c r="T175">
        <f>Sheet1[[#This Row],[Quantity]]*Sheet1[[#This Row],[Sales]]</f>
        <v>6630</v>
      </c>
      <c r="U175">
        <f>Sheet1[[#This Row],[Total Sales]]*Sheet1[[#This Row],[Discount]]</f>
        <v>0</v>
      </c>
      <c r="V175" s="4">
        <f>Sheet1[[#This Row],[Total Sales]]-Sheet1[[#This Row],[Total Sales]]*Sheet1[[#This Row],[Discount]]</f>
        <v>6630</v>
      </c>
      <c r="W175" s="4">
        <f>Sheet1[[#This Row],[Quantity]]*Sheet1[[#This Row],[Profit]]</f>
        <v>1193.2649999999999</v>
      </c>
      <c r="X175" s="5">
        <f>Sheet1[[#This Row],[Total Profit]]/Sheet1[[#This Row],[Sales After Discount]]</f>
        <v>0.17997963800904976</v>
      </c>
      <c r="Y175" s="4">
        <f>Sheet1[[#This Row],[Shipping_cost]]*Sheet1[[#This Row],[Quantity]]</f>
        <v>938.25</v>
      </c>
      <c r="Z175" s="4">
        <f>Sheet1[[#This Row],[Total Profit]]-Sheet1[[#This Row],[Total Shipping Cost]]</f>
        <v>255.01499999999987</v>
      </c>
      <c r="AA175" s="4" t="str">
        <f>IF(Sheet1[[#This Row],[Net Profit]]&gt;0,"Profit","Loss")</f>
        <v>Profit</v>
      </c>
    </row>
    <row r="176" spans="1:27" x14ac:dyDescent="0.25">
      <c r="A176" t="s">
        <v>334</v>
      </c>
      <c r="B176" s="1">
        <v>40557</v>
      </c>
      <c r="C176" s="1">
        <v>40559</v>
      </c>
      <c r="D176" t="s">
        <v>18</v>
      </c>
      <c r="E176" t="s">
        <v>335</v>
      </c>
      <c r="F176" t="s">
        <v>43</v>
      </c>
      <c r="G176" t="s">
        <v>336</v>
      </c>
      <c r="H176" t="s">
        <v>126</v>
      </c>
      <c r="I176" t="s">
        <v>127</v>
      </c>
      <c r="J176" t="s">
        <v>102</v>
      </c>
      <c r="K176" t="s">
        <v>7</v>
      </c>
      <c r="L176" t="s">
        <v>8</v>
      </c>
      <c r="M176">
        <v>573</v>
      </c>
      <c r="N176">
        <v>6</v>
      </c>
      <c r="O176">
        <v>0</v>
      </c>
      <c r="P176">
        <v>34.354799999999997</v>
      </c>
      <c r="Q176">
        <v>146.29</v>
      </c>
      <c r="R176" t="s">
        <v>45</v>
      </c>
      <c r="S176">
        <f>Sheet1[[#This Row],[Ship_date]]-Sheet1[[#This Row],[Order_date]]</f>
        <v>2</v>
      </c>
      <c r="T176">
        <f>Sheet1[[#This Row],[Quantity]]*Sheet1[[#This Row],[Sales]]</f>
        <v>3438</v>
      </c>
      <c r="U176">
        <f>Sheet1[[#This Row],[Total Sales]]*Sheet1[[#This Row],[Discount]]</f>
        <v>0</v>
      </c>
      <c r="V176" s="4">
        <f>Sheet1[[#This Row],[Total Sales]]-Sheet1[[#This Row],[Total Sales]]*Sheet1[[#This Row],[Discount]]</f>
        <v>3438</v>
      </c>
      <c r="W176" s="4">
        <f>Sheet1[[#This Row],[Quantity]]*Sheet1[[#This Row],[Profit]]</f>
        <v>206.12879999999998</v>
      </c>
      <c r="X176" s="5">
        <f>Sheet1[[#This Row],[Total Profit]]/Sheet1[[#This Row],[Sales After Discount]]</f>
        <v>5.9956020942408372E-2</v>
      </c>
      <c r="Y176" s="4">
        <f>Sheet1[[#This Row],[Shipping_cost]]*Sheet1[[#This Row],[Quantity]]</f>
        <v>877.74</v>
      </c>
      <c r="Z176" s="4">
        <f>Sheet1[[#This Row],[Total Profit]]-Sheet1[[#This Row],[Total Shipping Cost]]</f>
        <v>-671.61120000000005</v>
      </c>
      <c r="AA176" s="4" t="str">
        <f>IF(Sheet1[[#This Row],[Net Profit]]&gt;0,"Profit","Loss")</f>
        <v>Loss</v>
      </c>
    </row>
    <row r="177" spans="1:27" x14ac:dyDescent="0.25">
      <c r="A177" t="s">
        <v>334</v>
      </c>
      <c r="B177" s="1">
        <v>40557</v>
      </c>
      <c r="C177" s="1">
        <v>40559</v>
      </c>
      <c r="D177" t="s">
        <v>18</v>
      </c>
      <c r="E177" t="s">
        <v>335</v>
      </c>
      <c r="F177" t="s">
        <v>43</v>
      </c>
      <c r="G177" t="s">
        <v>336</v>
      </c>
      <c r="H177" t="s">
        <v>126</v>
      </c>
      <c r="I177" t="s">
        <v>127</v>
      </c>
      <c r="J177" t="s">
        <v>102</v>
      </c>
      <c r="K177" t="s">
        <v>38</v>
      </c>
      <c r="L177" t="s">
        <v>82</v>
      </c>
      <c r="M177">
        <v>647</v>
      </c>
      <c r="N177">
        <v>6</v>
      </c>
      <c r="O177">
        <v>0</v>
      </c>
      <c r="P177">
        <v>258.69600000000003</v>
      </c>
      <c r="Q177">
        <v>141.35</v>
      </c>
      <c r="R177" t="s">
        <v>45</v>
      </c>
      <c r="S177">
        <f>Sheet1[[#This Row],[Ship_date]]-Sheet1[[#This Row],[Order_date]]</f>
        <v>2</v>
      </c>
      <c r="T177">
        <f>Sheet1[[#This Row],[Quantity]]*Sheet1[[#This Row],[Sales]]</f>
        <v>3882</v>
      </c>
      <c r="U177">
        <f>Sheet1[[#This Row],[Total Sales]]*Sheet1[[#This Row],[Discount]]</f>
        <v>0</v>
      </c>
      <c r="V177" s="4">
        <f>Sheet1[[#This Row],[Total Sales]]-Sheet1[[#This Row],[Total Sales]]*Sheet1[[#This Row],[Discount]]</f>
        <v>3882</v>
      </c>
      <c r="W177" s="4">
        <f>Sheet1[[#This Row],[Quantity]]*Sheet1[[#This Row],[Profit]]</f>
        <v>1552.1760000000002</v>
      </c>
      <c r="X177" s="5">
        <f>Sheet1[[#This Row],[Total Profit]]/Sheet1[[#This Row],[Sales After Discount]]</f>
        <v>0.3998392581143741</v>
      </c>
      <c r="Y177" s="4">
        <f>Sheet1[[#This Row],[Shipping_cost]]*Sheet1[[#This Row],[Quantity]]</f>
        <v>848.09999999999991</v>
      </c>
      <c r="Z177" s="4">
        <f>Sheet1[[#This Row],[Total Profit]]-Sheet1[[#This Row],[Total Shipping Cost]]</f>
        <v>704.07600000000025</v>
      </c>
      <c r="AA177" s="4" t="str">
        <f>IF(Sheet1[[#This Row],[Net Profit]]&gt;0,"Profit","Loss")</f>
        <v>Profit</v>
      </c>
    </row>
    <row r="178" spans="1:27" x14ac:dyDescent="0.25">
      <c r="A178" t="s">
        <v>337</v>
      </c>
      <c r="B178" s="1">
        <v>40557</v>
      </c>
      <c r="C178" s="1">
        <v>40562</v>
      </c>
      <c r="D178" t="s">
        <v>1</v>
      </c>
      <c r="E178" t="s">
        <v>338</v>
      </c>
      <c r="F178" t="s">
        <v>26</v>
      </c>
      <c r="G178" t="s">
        <v>290</v>
      </c>
      <c r="H178" t="s">
        <v>291</v>
      </c>
      <c r="I178" t="s">
        <v>29</v>
      </c>
      <c r="J178" t="s">
        <v>76</v>
      </c>
      <c r="K178" t="s">
        <v>38</v>
      </c>
      <c r="L178" t="s">
        <v>39</v>
      </c>
      <c r="M178">
        <v>486</v>
      </c>
      <c r="N178">
        <v>3</v>
      </c>
      <c r="O178">
        <v>0</v>
      </c>
      <c r="P178">
        <v>77.67</v>
      </c>
      <c r="Q178">
        <v>53.02</v>
      </c>
      <c r="R178" t="s">
        <v>23</v>
      </c>
      <c r="S178">
        <f>Sheet1[[#This Row],[Ship_date]]-Sheet1[[#This Row],[Order_date]]</f>
        <v>5</v>
      </c>
      <c r="T178">
        <f>Sheet1[[#This Row],[Quantity]]*Sheet1[[#This Row],[Sales]]</f>
        <v>1458</v>
      </c>
      <c r="U178">
        <f>Sheet1[[#This Row],[Total Sales]]*Sheet1[[#This Row],[Discount]]</f>
        <v>0</v>
      </c>
      <c r="V178" s="4">
        <f>Sheet1[[#This Row],[Total Sales]]-Sheet1[[#This Row],[Total Sales]]*Sheet1[[#This Row],[Discount]]</f>
        <v>1458</v>
      </c>
      <c r="W178" s="4">
        <f>Sheet1[[#This Row],[Quantity]]*Sheet1[[#This Row],[Profit]]</f>
        <v>233.01</v>
      </c>
      <c r="X178" s="5">
        <f>Sheet1[[#This Row],[Total Profit]]/Sheet1[[#This Row],[Sales After Discount]]</f>
        <v>0.1598148148148148</v>
      </c>
      <c r="Y178" s="4">
        <f>Sheet1[[#This Row],[Shipping_cost]]*Sheet1[[#This Row],[Quantity]]</f>
        <v>159.06</v>
      </c>
      <c r="Z178" s="4">
        <f>Sheet1[[#This Row],[Total Profit]]-Sheet1[[#This Row],[Total Shipping Cost]]</f>
        <v>73.949999999999989</v>
      </c>
      <c r="AA178" s="4" t="str">
        <f>IF(Sheet1[[#This Row],[Net Profit]]&gt;0,"Profit","Loss")</f>
        <v>Profit</v>
      </c>
    </row>
    <row r="179" spans="1:27" x14ac:dyDescent="0.25">
      <c r="A179" t="s">
        <v>339</v>
      </c>
      <c r="B179" s="1">
        <v>40557</v>
      </c>
      <c r="C179" s="1">
        <v>40560</v>
      </c>
      <c r="D179" t="s">
        <v>18</v>
      </c>
      <c r="E179" t="s">
        <v>340</v>
      </c>
      <c r="F179" t="s">
        <v>3</v>
      </c>
      <c r="G179" t="s">
        <v>341</v>
      </c>
      <c r="H179" t="s">
        <v>126</v>
      </c>
      <c r="I179" t="s">
        <v>127</v>
      </c>
      <c r="J179" t="s">
        <v>102</v>
      </c>
      <c r="K179" t="s">
        <v>32</v>
      </c>
      <c r="L179" t="s">
        <v>56</v>
      </c>
      <c r="M179">
        <v>546</v>
      </c>
      <c r="N179">
        <v>6</v>
      </c>
      <c r="O179">
        <v>0</v>
      </c>
      <c r="P179">
        <v>87.350399999999993</v>
      </c>
      <c r="Q179">
        <v>52.32</v>
      </c>
      <c r="R179" t="s">
        <v>9</v>
      </c>
      <c r="S179">
        <f>Sheet1[[#This Row],[Ship_date]]-Sheet1[[#This Row],[Order_date]]</f>
        <v>3</v>
      </c>
      <c r="T179">
        <f>Sheet1[[#This Row],[Quantity]]*Sheet1[[#This Row],[Sales]]</f>
        <v>3276</v>
      </c>
      <c r="U179">
        <f>Sheet1[[#This Row],[Total Sales]]*Sheet1[[#This Row],[Discount]]</f>
        <v>0</v>
      </c>
      <c r="V179" s="4">
        <f>Sheet1[[#This Row],[Total Sales]]-Sheet1[[#This Row],[Total Sales]]*Sheet1[[#This Row],[Discount]]</f>
        <v>3276</v>
      </c>
      <c r="W179" s="4">
        <f>Sheet1[[#This Row],[Quantity]]*Sheet1[[#This Row],[Profit]]</f>
        <v>524.10239999999999</v>
      </c>
      <c r="X179" s="5">
        <f>Sheet1[[#This Row],[Total Profit]]/Sheet1[[#This Row],[Sales After Discount]]</f>
        <v>0.15998241758241757</v>
      </c>
      <c r="Y179" s="4">
        <f>Sheet1[[#This Row],[Shipping_cost]]*Sheet1[[#This Row],[Quantity]]</f>
        <v>313.92</v>
      </c>
      <c r="Z179" s="4">
        <f>Sheet1[[#This Row],[Total Profit]]-Sheet1[[#This Row],[Total Shipping Cost]]</f>
        <v>210.18239999999997</v>
      </c>
      <c r="AA179" s="4" t="str">
        <f>IF(Sheet1[[#This Row],[Net Profit]]&gt;0,"Profit","Loss")</f>
        <v>Profit</v>
      </c>
    </row>
    <row r="180" spans="1:27" x14ac:dyDescent="0.25">
      <c r="A180" t="s">
        <v>337</v>
      </c>
      <c r="B180" s="1">
        <v>40557</v>
      </c>
      <c r="C180" s="1">
        <v>40562</v>
      </c>
      <c r="D180" t="s">
        <v>1</v>
      </c>
      <c r="E180" t="s">
        <v>338</v>
      </c>
      <c r="F180" t="s">
        <v>26</v>
      </c>
      <c r="G180" t="s">
        <v>290</v>
      </c>
      <c r="H180" t="s">
        <v>291</v>
      </c>
      <c r="I180" t="s">
        <v>29</v>
      </c>
      <c r="J180" t="s">
        <v>76</v>
      </c>
      <c r="K180" t="s">
        <v>38</v>
      </c>
      <c r="L180" t="s">
        <v>77</v>
      </c>
      <c r="M180">
        <v>440</v>
      </c>
      <c r="N180">
        <v>6</v>
      </c>
      <c r="O180">
        <v>0</v>
      </c>
      <c r="P180">
        <v>65.88</v>
      </c>
      <c r="Q180">
        <v>49.92</v>
      </c>
      <c r="R180" t="s">
        <v>23</v>
      </c>
      <c r="S180">
        <f>Sheet1[[#This Row],[Ship_date]]-Sheet1[[#This Row],[Order_date]]</f>
        <v>5</v>
      </c>
      <c r="T180">
        <f>Sheet1[[#This Row],[Quantity]]*Sheet1[[#This Row],[Sales]]</f>
        <v>2640</v>
      </c>
      <c r="U180">
        <f>Sheet1[[#This Row],[Total Sales]]*Sheet1[[#This Row],[Discount]]</f>
        <v>0</v>
      </c>
      <c r="V180" s="4">
        <f>Sheet1[[#This Row],[Total Sales]]-Sheet1[[#This Row],[Total Sales]]*Sheet1[[#This Row],[Discount]]</f>
        <v>2640</v>
      </c>
      <c r="W180" s="4">
        <f>Sheet1[[#This Row],[Quantity]]*Sheet1[[#This Row],[Profit]]</f>
        <v>395.28</v>
      </c>
      <c r="X180" s="5">
        <f>Sheet1[[#This Row],[Total Profit]]/Sheet1[[#This Row],[Sales After Discount]]</f>
        <v>0.14972727272727271</v>
      </c>
      <c r="Y180" s="4">
        <f>Sheet1[[#This Row],[Shipping_cost]]*Sheet1[[#This Row],[Quantity]]</f>
        <v>299.52</v>
      </c>
      <c r="Z180" s="4">
        <f>Sheet1[[#This Row],[Total Profit]]-Sheet1[[#This Row],[Total Shipping Cost]]</f>
        <v>95.759999999999991</v>
      </c>
      <c r="AA180" s="4" t="str">
        <f>IF(Sheet1[[#This Row],[Net Profit]]&gt;0,"Profit","Loss")</f>
        <v>Profit</v>
      </c>
    </row>
    <row r="181" spans="1:27" x14ac:dyDescent="0.25">
      <c r="A181" t="s">
        <v>333</v>
      </c>
      <c r="B181" s="1">
        <v>40557</v>
      </c>
      <c r="C181" s="1">
        <v>40562</v>
      </c>
      <c r="D181" t="s">
        <v>1</v>
      </c>
      <c r="E181" t="s">
        <v>263</v>
      </c>
      <c r="F181" t="s">
        <v>3</v>
      </c>
      <c r="G181" t="s">
        <v>191</v>
      </c>
      <c r="H181" t="s">
        <v>126</v>
      </c>
      <c r="I181" t="s">
        <v>127</v>
      </c>
      <c r="J181" t="s">
        <v>192</v>
      </c>
      <c r="K181" t="s">
        <v>32</v>
      </c>
      <c r="L181" t="s">
        <v>67</v>
      </c>
      <c r="M181">
        <v>334</v>
      </c>
      <c r="N181">
        <v>3</v>
      </c>
      <c r="O181">
        <v>0.15</v>
      </c>
      <c r="P181">
        <v>3.9293999999999998</v>
      </c>
      <c r="Q181">
        <v>40.44</v>
      </c>
      <c r="R181" t="s">
        <v>23</v>
      </c>
      <c r="S181">
        <f>Sheet1[[#This Row],[Ship_date]]-Sheet1[[#This Row],[Order_date]]</f>
        <v>5</v>
      </c>
      <c r="T181">
        <f>Sheet1[[#This Row],[Quantity]]*Sheet1[[#This Row],[Sales]]</f>
        <v>1002</v>
      </c>
      <c r="U181">
        <f>Sheet1[[#This Row],[Total Sales]]*Sheet1[[#This Row],[Discount]]</f>
        <v>150.29999999999998</v>
      </c>
      <c r="V181" s="4">
        <f>Sheet1[[#This Row],[Total Sales]]-Sheet1[[#This Row],[Total Sales]]*Sheet1[[#This Row],[Discount]]</f>
        <v>851.7</v>
      </c>
      <c r="W181" s="4">
        <f>Sheet1[[#This Row],[Quantity]]*Sheet1[[#This Row],[Profit]]</f>
        <v>11.7882</v>
      </c>
      <c r="X181" s="5">
        <f>Sheet1[[#This Row],[Total Profit]]/Sheet1[[#This Row],[Sales After Discount]]</f>
        <v>1.3840789010214863E-2</v>
      </c>
      <c r="Y181" s="4">
        <f>Sheet1[[#This Row],[Shipping_cost]]*Sheet1[[#This Row],[Quantity]]</f>
        <v>121.32</v>
      </c>
      <c r="Z181" s="4">
        <f>Sheet1[[#This Row],[Total Profit]]-Sheet1[[#This Row],[Total Shipping Cost]]</f>
        <v>-109.53179999999999</v>
      </c>
      <c r="AA181" s="4" t="str">
        <f>IF(Sheet1[[#This Row],[Net Profit]]&gt;0,"Profit","Loss")</f>
        <v>Loss</v>
      </c>
    </row>
    <row r="182" spans="1:27" x14ac:dyDescent="0.25">
      <c r="A182" t="s">
        <v>337</v>
      </c>
      <c r="B182" s="1">
        <v>40557</v>
      </c>
      <c r="C182" s="1">
        <v>40562</v>
      </c>
      <c r="D182" t="s">
        <v>1</v>
      </c>
      <c r="E182" t="s">
        <v>338</v>
      </c>
      <c r="F182" t="s">
        <v>26</v>
      </c>
      <c r="G182" t="s">
        <v>290</v>
      </c>
      <c r="H182" t="s">
        <v>291</v>
      </c>
      <c r="I182" t="s">
        <v>29</v>
      </c>
      <c r="J182" t="s">
        <v>76</v>
      </c>
      <c r="K182" t="s">
        <v>7</v>
      </c>
      <c r="L182" t="s">
        <v>31</v>
      </c>
      <c r="M182">
        <v>224</v>
      </c>
      <c r="N182">
        <v>11</v>
      </c>
      <c r="O182">
        <v>0</v>
      </c>
      <c r="P182">
        <v>102.96</v>
      </c>
      <c r="Q182">
        <v>30.34</v>
      </c>
      <c r="R182" t="s">
        <v>23</v>
      </c>
      <c r="S182">
        <f>Sheet1[[#This Row],[Ship_date]]-Sheet1[[#This Row],[Order_date]]</f>
        <v>5</v>
      </c>
      <c r="T182">
        <f>Sheet1[[#This Row],[Quantity]]*Sheet1[[#This Row],[Sales]]</f>
        <v>2464</v>
      </c>
      <c r="U182">
        <f>Sheet1[[#This Row],[Total Sales]]*Sheet1[[#This Row],[Discount]]</f>
        <v>0</v>
      </c>
      <c r="V182" s="4">
        <f>Sheet1[[#This Row],[Total Sales]]-Sheet1[[#This Row],[Total Sales]]*Sheet1[[#This Row],[Discount]]</f>
        <v>2464</v>
      </c>
      <c r="W182" s="4">
        <f>Sheet1[[#This Row],[Quantity]]*Sheet1[[#This Row],[Profit]]</f>
        <v>1132.56</v>
      </c>
      <c r="X182" s="5">
        <f>Sheet1[[#This Row],[Total Profit]]/Sheet1[[#This Row],[Sales After Discount]]</f>
        <v>0.45964285714285713</v>
      </c>
      <c r="Y182" s="4">
        <f>Sheet1[[#This Row],[Shipping_cost]]*Sheet1[[#This Row],[Quantity]]</f>
        <v>333.74</v>
      </c>
      <c r="Z182" s="4">
        <f>Sheet1[[#This Row],[Total Profit]]-Sheet1[[#This Row],[Total Shipping Cost]]</f>
        <v>798.81999999999994</v>
      </c>
      <c r="AA182" s="4" t="str">
        <f>IF(Sheet1[[#This Row],[Net Profit]]&gt;0,"Profit","Loss")</f>
        <v>Profit</v>
      </c>
    </row>
    <row r="183" spans="1:27" x14ac:dyDescent="0.25">
      <c r="A183" t="s">
        <v>342</v>
      </c>
      <c r="B183" s="1">
        <v>40557</v>
      </c>
      <c r="C183" s="1">
        <v>40563</v>
      </c>
      <c r="D183" t="s">
        <v>1</v>
      </c>
      <c r="E183" t="s">
        <v>343</v>
      </c>
      <c r="F183" t="s">
        <v>43</v>
      </c>
      <c r="G183" t="s">
        <v>344</v>
      </c>
      <c r="H183" t="s">
        <v>345</v>
      </c>
      <c r="I183" t="s">
        <v>75</v>
      </c>
      <c r="J183" t="s">
        <v>76</v>
      </c>
      <c r="K183" t="s">
        <v>32</v>
      </c>
      <c r="L183" t="s">
        <v>67</v>
      </c>
      <c r="M183">
        <v>393</v>
      </c>
      <c r="N183">
        <v>3</v>
      </c>
      <c r="O183">
        <v>0</v>
      </c>
      <c r="P183">
        <v>180.96</v>
      </c>
      <c r="Q183">
        <v>27.67</v>
      </c>
      <c r="R183" t="s">
        <v>9</v>
      </c>
      <c r="S183">
        <f>Sheet1[[#This Row],[Ship_date]]-Sheet1[[#This Row],[Order_date]]</f>
        <v>6</v>
      </c>
      <c r="T183">
        <f>Sheet1[[#This Row],[Quantity]]*Sheet1[[#This Row],[Sales]]</f>
        <v>1179</v>
      </c>
      <c r="U183">
        <f>Sheet1[[#This Row],[Total Sales]]*Sheet1[[#This Row],[Discount]]</f>
        <v>0</v>
      </c>
      <c r="V183" s="4">
        <f>Sheet1[[#This Row],[Total Sales]]-Sheet1[[#This Row],[Total Sales]]*Sheet1[[#This Row],[Discount]]</f>
        <v>1179</v>
      </c>
      <c r="W183" s="4">
        <f>Sheet1[[#This Row],[Quantity]]*Sheet1[[#This Row],[Profit]]</f>
        <v>542.88</v>
      </c>
      <c r="X183" s="5">
        <f>Sheet1[[#This Row],[Total Profit]]/Sheet1[[#This Row],[Sales After Discount]]</f>
        <v>0.46045801526717556</v>
      </c>
      <c r="Y183" s="4">
        <f>Sheet1[[#This Row],[Shipping_cost]]*Sheet1[[#This Row],[Quantity]]</f>
        <v>83.01</v>
      </c>
      <c r="Z183" s="4">
        <f>Sheet1[[#This Row],[Total Profit]]-Sheet1[[#This Row],[Total Shipping Cost]]</f>
        <v>459.87</v>
      </c>
      <c r="AA183" s="4" t="str">
        <f>IF(Sheet1[[#This Row],[Net Profit]]&gt;0,"Profit","Loss")</f>
        <v>Profit</v>
      </c>
    </row>
    <row r="184" spans="1:27" x14ac:dyDescent="0.25">
      <c r="A184" t="s">
        <v>346</v>
      </c>
      <c r="B184" s="1">
        <v>40557</v>
      </c>
      <c r="C184" s="1">
        <v>40558</v>
      </c>
      <c r="D184" t="s">
        <v>142</v>
      </c>
      <c r="E184" t="s">
        <v>347</v>
      </c>
      <c r="F184" t="s">
        <v>3</v>
      </c>
      <c r="G184" t="s">
        <v>348</v>
      </c>
      <c r="H184" t="s">
        <v>106</v>
      </c>
      <c r="I184" t="s">
        <v>75</v>
      </c>
      <c r="J184" t="s">
        <v>30</v>
      </c>
      <c r="K184" t="s">
        <v>7</v>
      </c>
      <c r="L184" t="s">
        <v>96</v>
      </c>
      <c r="M184">
        <v>106</v>
      </c>
      <c r="N184">
        <v>4</v>
      </c>
      <c r="O184">
        <v>0</v>
      </c>
      <c r="P184">
        <v>18.96</v>
      </c>
      <c r="Q184">
        <v>26.23</v>
      </c>
      <c r="R184" t="s">
        <v>23</v>
      </c>
      <c r="S184">
        <f>Sheet1[[#This Row],[Ship_date]]-Sheet1[[#This Row],[Order_date]]</f>
        <v>1</v>
      </c>
      <c r="T184">
        <f>Sheet1[[#This Row],[Quantity]]*Sheet1[[#This Row],[Sales]]</f>
        <v>424</v>
      </c>
      <c r="U184">
        <f>Sheet1[[#This Row],[Total Sales]]*Sheet1[[#This Row],[Discount]]</f>
        <v>0</v>
      </c>
      <c r="V184" s="4">
        <f>Sheet1[[#This Row],[Total Sales]]-Sheet1[[#This Row],[Total Sales]]*Sheet1[[#This Row],[Discount]]</f>
        <v>424</v>
      </c>
      <c r="W184" s="4">
        <f>Sheet1[[#This Row],[Quantity]]*Sheet1[[#This Row],[Profit]]</f>
        <v>75.84</v>
      </c>
      <c r="X184" s="5">
        <f>Sheet1[[#This Row],[Total Profit]]/Sheet1[[#This Row],[Sales After Discount]]</f>
        <v>0.17886792452830189</v>
      </c>
      <c r="Y184" s="4">
        <f>Sheet1[[#This Row],[Shipping_cost]]*Sheet1[[#This Row],[Quantity]]</f>
        <v>104.92</v>
      </c>
      <c r="Z184" s="4">
        <f>Sheet1[[#This Row],[Total Profit]]-Sheet1[[#This Row],[Total Shipping Cost]]</f>
        <v>-29.08</v>
      </c>
      <c r="AA184" s="4" t="str">
        <f>IF(Sheet1[[#This Row],[Net Profit]]&gt;0,"Profit","Loss")</f>
        <v>Loss</v>
      </c>
    </row>
    <row r="185" spans="1:27" x14ac:dyDescent="0.25">
      <c r="A185" t="s">
        <v>349</v>
      </c>
      <c r="B185" s="1">
        <v>40557</v>
      </c>
      <c r="C185" s="1">
        <v>40564</v>
      </c>
      <c r="D185" t="s">
        <v>1</v>
      </c>
      <c r="E185" t="s">
        <v>350</v>
      </c>
      <c r="F185" t="s">
        <v>26</v>
      </c>
      <c r="G185" t="s">
        <v>351</v>
      </c>
      <c r="H185" t="s">
        <v>259</v>
      </c>
      <c r="I185" t="s">
        <v>6</v>
      </c>
      <c r="J185" t="s">
        <v>6</v>
      </c>
      <c r="K185" t="s">
        <v>7</v>
      </c>
      <c r="L185" t="s">
        <v>91</v>
      </c>
      <c r="M185">
        <v>136</v>
      </c>
      <c r="N185">
        <v>12</v>
      </c>
      <c r="O185">
        <v>0</v>
      </c>
      <c r="P185">
        <v>31.32</v>
      </c>
      <c r="Q185">
        <v>23.89</v>
      </c>
      <c r="R185" t="s">
        <v>51</v>
      </c>
      <c r="S185">
        <f>Sheet1[[#This Row],[Ship_date]]-Sheet1[[#This Row],[Order_date]]</f>
        <v>7</v>
      </c>
      <c r="T185">
        <f>Sheet1[[#This Row],[Quantity]]*Sheet1[[#This Row],[Sales]]</f>
        <v>1632</v>
      </c>
      <c r="U185">
        <f>Sheet1[[#This Row],[Total Sales]]*Sheet1[[#This Row],[Discount]]</f>
        <v>0</v>
      </c>
      <c r="V185" s="4">
        <f>Sheet1[[#This Row],[Total Sales]]-Sheet1[[#This Row],[Total Sales]]*Sheet1[[#This Row],[Discount]]</f>
        <v>1632</v>
      </c>
      <c r="W185" s="4">
        <f>Sheet1[[#This Row],[Quantity]]*Sheet1[[#This Row],[Profit]]</f>
        <v>375.84000000000003</v>
      </c>
      <c r="X185" s="5">
        <f>Sheet1[[#This Row],[Total Profit]]/Sheet1[[#This Row],[Sales After Discount]]</f>
        <v>0.23029411764705884</v>
      </c>
      <c r="Y185" s="4">
        <f>Sheet1[[#This Row],[Shipping_cost]]*Sheet1[[#This Row],[Quantity]]</f>
        <v>286.68</v>
      </c>
      <c r="Z185" s="4">
        <f>Sheet1[[#This Row],[Total Profit]]-Sheet1[[#This Row],[Total Shipping Cost]]</f>
        <v>89.160000000000025</v>
      </c>
      <c r="AA185" s="4" t="str">
        <f>IF(Sheet1[[#This Row],[Net Profit]]&gt;0,"Profit","Loss")</f>
        <v>Profit</v>
      </c>
    </row>
    <row r="186" spans="1:27" x14ac:dyDescent="0.25">
      <c r="A186" t="s">
        <v>334</v>
      </c>
      <c r="B186" s="1">
        <v>40557</v>
      </c>
      <c r="C186" s="1">
        <v>40559</v>
      </c>
      <c r="D186" t="s">
        <v>18</v>
      </c>
      <c r="E186" t="s">
        <v>335</v>
      </c>
      <c r="F186" t="s">
        <v>43</v>
      </c>
      <c r="G186" t="s">
        <v>336</v>
      </c>
      <c r="H186" t="s">
        <v>126</v>
      </c>
      <c r="I186" t="s">
        <v>127</v>
      </c>
      <c r="J186" t="s">
        <v>102</v>
      </c>
      <c r="K186" t="s">
        <v>7</v>
      </c>
      <c r="L186" t="s">
        <v>96</v>
      </c>
      <c r="M186">
        <v>51</v>
      </c>
      <c r="N186">
        <v>3</v>
      </c>
      <c r="O186">
        <v>0</v>
      </c>
      <c r="P186">
        <v>25.47</v>
      </c>
      <c r="Q186">
        <v>12.66</v>
      </c>
      <c r="R186" t="s">
        <v>45</v>
      </c>
      <c r="S186">
        <f>Sheet1[[#This Row],[Ship_date]]-Sheet1[[#This Row],[Order_date]]</f>
        <v>2</v>
      </c>
      <c r="T186">
        <f>Sheet1[[#This Row],[Quantity]]*Sheet1[[#This Row],[Sales]]</f>
        <v>153</v>
      </c>
      <c r="U186">
        <f>Sheet1[[#This Row],[Total Sales]]*Sheet1[[#This Row],[Discount]]</f>
        <v>0</v>
      </c>
      <c r="V186" s="4">
        <f>Sheet1[[#This Row],[Total Sales]]-Sheet1[[#This Row],[Total Sales]]*Sheet1[[#This Row],[Discount]]</f>
        <v>153</v>
      </c>
      <c r="W186" s="4">
        <f>Sheet1[[#This Row],[Quantity]]*Sheet1[[#This Row],[Profit]]</f>
        <v>76.41</v>
      </c>
      <c r="X186" s="5">
        <f>Sheet1[[#This Row],[Total Profit]]/Sheet1[[#This Row],[Sales After Discount]]</f>
        <v>0.49941176470588233</v>
      </c>
      <c r="Y186" s="4">
        <f>Sheet1[[#This Row],[Shipping_cost]]*Sheet1[[#This Row],[Quantity]]</f>
        <v>37.980000000000004</v>
      </c>
      <c r="Z186" s="4">
        <f>Sheet1[[#This Row],[Total Profit]]-Sheet1[[#This Row],[Total Shipping Cost]]</f>
        <v>38.429999999999993</v>
      </c>
      <c r="AA186" s="4" t="str">
        <f>IF(Sheet1[[#This Row],[Net Profit]]&gt;0,"Profit","Loss")</f>
        <v>Profit</v>
      </c>
    </row>
    <row r="187" spans="1:27" x14ac:dyDescent="0.25">
      <c r="A187" t="s">
        <v>342</v>
      </c>
      <c r="B187" s="1">
        <v>40557</v>
      </c>
      <c r="C187" s="1">
        <v>40563</v>
      </c>
      <c r="D187" t="s">
        <v>1</v>
      </c>
      <c r="E187" t="s">
        <v>343</v>
      </c>
      <c r="F187" t="s">
        <v>43</v>
      </c>
      <c r="G187" t="s">
        <v>344</v>
      </c>
      <c r="H187" t="s">
        <v>345</v>
      </c>
      <c r="I187" t="s">
        <v>75</v>
      </c>
      <c r="J187" t="s">
        <v>76</v>
      </c>
      <c r="K187" t="s">
        <v>7</v>
      </c>
      <c r="L187" t="s">
        <v>31</v>
      </c>
      <c r="M187">
        <v>246</v>
      </c>
      <c r="N187">
        <v>12</v>
      </c>
      <c r="O187">
        <v>0</v>
      </c>
      <c r="P187">
        <v>7.2</v>
      </c>
      <c r="Q187">
        <v>11.88</v>
      </c>
      <c r="R187" t="s">
        <v>9</v>
      </c>
      <c r="S187">
        <f>Sheet1[[#This Row],[Ship_date]]-Sheet1[[#This Row],[Order_date]]</f>
        <v>6</v>
      </c>
      <c r="T187">
        <f>Sheet1[[#This Row],[Quantity]]*Sheet1[[#This Row],[Sales]]</f>
        <v>2952</v>
      </c>
      <c r="U187">
        <f>Sheet1[[#This Row],[Total Sales]]*Sheet1[[#This Row],[Discount]]</f>
        <v>0</v>
      </c>
      <c r="V187" s="4">
        <f>Sheet1[[#This Row],[Total Sales]]-Sheet1[[#This Row],[Total Sales]]*Sheet1[[#This Row],[Discount]]</f>
        <v>2952</v>
      </c>
      <c r="W187" s="4">
        <f>Sheet1[[#This Row],[Quantity]]*Sheet1[[#This Row],[Profit]]</f>
        <v>86.4</v>
      </c>
      <c r="X187" s="5">
        <f>Sheet1[[#This Row],[Total Profit]]/Sheet1[[#This Row],[Sales After Discount]]</f>
        <v>2.9268292682926831E-2</v>
      </c>
      <c r="Y187" s="4">
        <f>Sheet1[[#This Row],[Shipping_cost]]*Sheet1[[#This Row],[Quantity]]</f>
        <v>142.56</v>
      </c>
      <c r="Z187" s="4">
        <f>Sheet1[[#This Row],[Total Profit]]-Sheet1[[#This Row],[Total Shipping Cost]]</f>
        <v>-56.16</v>
      </c>
      <c r="AA187" s="4" t="str">
        <f>IF(Sheet1[[#This Row],[Net Profit]]&gt;0,"Profit","Loss")</f>
        <v>Loss</v>
      </c>
    </row>
    <row r="188" spans="1:27" x14ac:dyDescent="0.25">
      <c r="A188" t="s">
        <v>352</v>
      </c>
      <c r="B188" s="1">
        <v>40557</v>
      </c>
      <c r="C188" s="1">
        <v>40561</v>
      </c>
      <c r="D188" t="s">
        <v>1</v>
      </c>
      <c r="E188" t="s">
        <v>353</v>
      </c>
      <c r="F188" t="s">
        <v>3</v>
      </c>
      <c r="G188" t="s">
        <v>354</v>
      </c>
      <c r="H188" t="s">
        <v>285</v>
      </c>
      <c r="I188" t="s">
        <v>22</v>
      </c>
      <c r="J188" t="s">
        <v>22</v>
      </c>
      <c r="K188" t="s">
        <v>7</v>
      </c>
      <c r="L188" t="s">
        <v>8</v>
      </c>
      <c r="M188">
        <v>110</v>
      </c>
      <c r="N188">
        <v>2</v>
      </c>
      <c r="O188">
        <v>0.6</v>
      </c>
      <c r="P188">
        <v>-54.972000000000001</v>
      </c>
      <c r="Q188">
        <v>11.53</v>
      </c>
      <c r="R188" t="s">
        <v>9</v>
      </c>
      <c r="S188">
        <f>Sheet1[[#This Row],[Ship_date]]-Sheet1[[#This Row],[Order_date]]</f>
        <v>4</v>
      </c>
      <c r="T188">
        <f>Sheet1[[#This Row],[Quantity]]*Sheet1[[#This Row],[Sales]]</f>
        <v>220</v>
      </c>
      <c r="U188">
        <f>Sheet1[[#This Row],[Total Sales]]*Sheet1[[#This Row],[Discount]]</f>
        <v>132</v>
      </c>
      <c r="V188" s="4">
        <f>Sheet1[[#This Row],[Total Sales]]-Sheet1[[#This Row],[Total Sales]]*Sheet1[[#This Row],[Discount]]</f>
        <v>88</v>
      </c>
      <c r="W188" s="4">
        <f>Sheet1[[#This Row],[Quantity]]*Sheet1[[#This Row],[Profit]]</f>
        <v>-109.944</v>
      </c>
      <c r="X188" s="5">
        <f>Sheet1[[#This Row],[Total Profit]]/Sheet1[[#This Row],[Sales After Discount]]</f>
        <v>-1.2493636363636365</v>
      </c>
      <c r="Y188" s="4">
        <f>Sheet1[[#This Row],[Shipping_cost]]*Sheet1[[#This Row],[Quantity]]</f>
        <v>23.06</v>
      </c>
      <c r="Z188" s="4">
        <f>Sheet1[[#This Row],[Total Profit]]-Sheet1[[#This Row],[Total Shipping Cost]]</f>
        <v>-133.00399999999999</v>
      </c>
      <c r="AA188" s="4" t="str">
        <f>IF(Sheet1[[#This Row],[Net Profit]]&gt;0,"Profit","Loss")</f>
        <v>Loss</v>
      </c>
    </row>
    <row r="189" spans="1:27" x14ac:dyDescent="0.25">
      <c r="A189" t="s">
        <v>355</v>
      </c>
      <c r="B189" s="1">
        <v>40557</v>
      </c>
      <c r="C189" s="1">
        <v>40564</v>
      </c>
      <c r="D189" t="s">
        <v>1</v>
      </c>
      <c r="E189" t="s">
        <v>356</v>
      </c>
      <c r="F189" t="s">
        <v>43</v>
      </c>
      <c r="G189" t="s">
        <v>59</v>
      </c>
      <c r="H189" t="s">
        <v>60</v>
      </c>
      <c r="I189" t="s">
        <v>14</v>
      </c>
      <c r="J189" t="s">
        <v>61</v>
      </c>
      <c r="K189" t="s">
        <v>32</v>
      </c>
      <c r="L189" t="s">
        <v>33</v>
      </c>
      <c r="M189">
        <v>99</v>
      </c>
      <c r="N189">
        <v>3</v>
      </c>
      <c r="O189">
        <v>0.25</v>
      </c>
      <c r="P189">
        <v>-23.737500000000001</v>
      </c>
      <c r="Q189">
        <v>9.7100000000000009</v>
      </c>
      <c r="R189" t="s">
        <v>51</v>
      </c>
      <c r="S189">
        <f>Sheet1[[#This Row],[Ship_date]]-Sheet1[[#This Row],[Order_date]]</f>
        <v>7</v>
      </c>
      <c r="T189">
        <f>Sheet1[[#This Row],[Quantity]]*Sheet1[[#This Row],[Sales]]</f>
        <v>297</v>
      </c>
      <c r="U189">
        <f>Sheet1[[#This Row],[Total Sales]]*Sheet1[[#This Row],[Discount]]</f>
        <v>74.25</v>
      </c>
      <c r="V189" s="4">
        <f>Sheet1[[#This Row],[Total Sales]]-Sheet1[[#This Row],[Total Sales]]*Sheet1[[#This Row],[Discount]]</f>
        <v>222.75</v>
      </c>
      <c r="W189" s="4">
        <f>Sheet1[[#This Row],[Quantity]]*Sheet1[[#This Row],[Profit]]</f>
        <v>-71.212500000000006</v>
      </c>
      <c r="X189" s="5">
        <f>Sheet1[[#This Row],[Total Profit]]/Sheet1[[#This Row],[Sales After Discount]]</f>
        <v>-0.3196969696969697</v>
      </c>
      <c r="Y189" s="4">
        <f>Sheet1[[#This Row],[Shipping_cost]]*Sheet1[[#This Row],[Quantity]]</f>
        <v>29.130000000000003</v>
      </c>
      <c r="Z189" s="4">
        <f>Sheet1[[#This Row],[Total Profit]]-Sheet1[[#This Row],[Total Shipping Cost]]</f>
        <v>-100.3425</v>
      </c>
      <c r="AA189" s="4" t="str">
        <f>IF(Sheet1[[#This Row],[Net Profit]]&gt;0,"Profit","Loss")</f>
        <v>Loss</v>
      </c>
    </row>
    <row r="190" spans="1:27" x14ac:dyDescent="0.25">
      <c r="A190" t="s">
        <v>355</v>
      </c>
      <c r="B190" s="1">
        <v>40557</v>
      </c>
      <c r="C190" s="1">
        <v>40564</v>
      </c>
      <c r="D190" t="s">
        <v>1</v>
      </c>
      <c r="E190" t="s">
        <v>356</v>
      </c>
      <c r="F190" t="s">
        <v>43</v>
      </c>
      <c r="G190" t="s">
        <v>59</v>
      </c>
      <c r="H190" t="s">
        <v>60</v>
      </c>
      <c r="I190" t="s">
        <v>14</v>
      </c>
      <c r="J190" t="s">
        <v>61</v>
      </c>
      <c r="K190" t="s">
        <v>7</v>
      </c>
      <c r="L190" t="s">
        <v>8</v>
      </c>
      <c r="M190">
        <v>80</v>
      </c>
      <c r="N190">
        <v>3</v>
      </c>
      <c r="O190">
        <v>0.45</v>
      </c>
      <c r="P190">
        <v>5.742</v>
      </c>
      <c r="Q190">
        <v>9.43</v>
      </c>
      <c r="R190" t="s">
        <v>51</v>
      </c>
      <c r="S190">
        <f>Sheet1[[#This Row],[Ship_date]]-Sheet1[[#This Row],[Order_date]]</f>
        <v>7</v>
      </c>
      <c r="T190">
        <f>Sheet1[[#This Row],[Quantity]]*Sheet1[[#This Row],[Sales]]</f>
        <v>240</v>
      </c>
      <c r="U190">
        <f>Sheet1[[#This Row],[Total Sales]]*Sheet1[[#This Row],[Discount]]</f>
        <v>108</v>
      </c>
      <c r="V190" s="4">
        <f>Sheet1[[#This Row],[Total Sales]]-Sheet1[[#This Row],[Total Sales]]*Sheet1[[#This Row],[Discount]]</f>
        <v>132</v>
      </c>
      <c r="W190" s="4">
        <f>Sheet1[[#This Row],[Quantity]]*Sheet1[[#This Row],[Profit]]</f>
        <v>17.225999999999999</v>
      </c>
      <c r="X190" s="5">
        <f>Sheet1[[#This Row],[Total Profit]]/Sheet1[[#This Row],[Sales After Discount]]</f>
        <v>0.1305</v>
      </c>
      <c r="Y190" s="4">
        <f>Sheet1[[#This Row],[Shipping_cost]]*Sheet1[[#This Row],[Quantity]]</f>
        <v>28.29</v>
      </c>
      <c r="Z190" s="4">
        <f>Sheet1[[#This Row],[Total Profit]]-Sheet1[[#This Row],[Total Shipping Cost]]</f>
        <v>-11.064</v>
      </c>
      <c r="AA190" s="4" t="str">
        <f>IF(Sheet1[[#This Row],[Net Profit]]&gt;0,"Profit","Loss")</f>
        <v>Loss</v>
      </c>
    </row>
    <row r="191" spans="1:27" x14ac:dyDescent="0.25">
      <c r="A191" t="s">
        <v>342</v>
      </c>
      <c r="B191" s="1">
        <v>40557</v>
      </c>
      <c r="C191" s="1">
        <v>40563</v>
      </c>
      <c r="D191" t="s">
        <v>1</v>
      </c>
      <c r="E191" t="s">
        <v>343</v>
      </c>
      <c r="F191" t="s">
        <v>43</v>
      </c>
      <c r="G191" t="s">
        <v>344</v>
      </c>
      <c r="H191" t="s">
        <v>345</v>
      </c>
      <c r="I191" t="s">
        <v>75</v>
      </c>
      <c r="J191" t="s">
        <v>76</v>
      </c>
      <c r="K191" t="s">
        <v>7</v>
      </c>
      <c r="L191" t="s">
        <v>8</v>
      </c>
      <c r="M191">
        <v>109</v>
      </c>
      <c r="N191">
        <v>3</v>
      </c>
      <c r="O191">
        <v>0</v>
      </c>
      <c r="P191">
        <v>28.38</v>
      </c>
      <c r="Q191">
        <v>6.11</v>
      </c>
      <c r="R191" t="s">
        <v>9</v>
      </c>
      <c r="S191">
        <f>Sheet1[[#This Row],[Ship_date]]-Sheet1[[#This Row],[Order_date]]</f>
        <v>6</v>
      </c>
      <c r="T191">
        <f>Sheet1[[#This Row],[Quantity]]*Sheet1[[#This Row],[Sales]]</f>
        <v>327</v>
      </c>
      <c r="U191">
        <f>Sheet1[[#This Row],[Total Sales]]*Sheet1[[#This Row],[Discount]]</f>
        <v>0</v>
      </c>
      <c r="V191" s="4">
        <f>Sheet1[[#This Row],[Total Sales]]-Sheet1[[#This Row],[Total Sales]]*Sheet1[[#This Row],[Discount]]</f>
        <v>327</v>
      </c>
      <c r="W191" s="4">
        <f>Sheet1[[#This Row],[Quantity]]*Sheet1[[#This Row],[Profit]]</f>
        <v>85.14</v>
      </c>
      <c r="X191" s="5">
        <f>Sheet1[[#This Row],[Total Profit]]/Sheet1[[#This Row],[Sales After Discount]]</f>
        <v>0.2603669724770642</v>
      </c>
      <c r="Y191" s="4">
        <f>Sheet1[[#This Row],[Shipping_cost]]*Sheet1[[#This Row],[Quantity]]</f>
        <v>18.330000000000002</v>
      </c>
      <c r="Z191" s="4">
        <f>Sheet1[[#This Row],[Total Profit]]-Sheet1[[#This Row],[Total Shipping Cost]]</f>
        <v>66.81</v>
      </c>
      <c r="AA191" s="4" t="str">
        <f>IF(Sheet1[[#This Row],[Net Profit]]&gt;0,"Profit","Loss")</f>
        <v>Profit</v>
      </c>
    </row>
    <row r="192" spans="1:27" x14ac:dyDescent="0.25">
      <c r="A192" t="s">
        <v>352</v>
      </c>
      <c r="B192" s="1">
        <v>40557</v>
      </c>
      <c r="C192" s="1">
        <v>40561</v>
      </c>
      <c r="D192" t="s">
        <v>1</v>
      </c>
      <c r="E192" t="s">
        <v>353</v>
      </c>
      <c r="F192" t="s">
        <v>3</v>
      </c>
      <c r="G192" t="s">
        <v>354</v>
      </c>
      <c r="H192" t="s">
        <v>285</v>
      </c>
      <c r="I192" t="s">
        <v>22</v>
      </c>
      <c r="J192" t="s">
        <v>22</v>
      </c>
      <c r="K192" t="s">
        <v>7</v>
      </c>
      <c r="L192" t="s">
        <v>8</v>
      </c>
      <c r="M192">
        <v>79</v>
      </c>
      <c r="N192">
        <v>1</v>
      </c>
      <c r="O192">
        <v>0.6</v>
      </c>
      <c r="P192">
        <v>-85.331999999999994</v>
      </c>
      <c r="Q192">
        <v>5.84</v>
      </c>
      <c r="R192" t="s">
        <v>9</v>
      </c>
      <c r="S192">
        <f>Sheet1[[#This Row],[Ship_date]]-Sheet1[[#This Row],[Order_date]]</f>
        <v>4</v>
      </c>
      <c r="T192">
        <f>Sheet1[[#This Row],[Quantity]]*Sheet1[[#This Row],[Sales]]</f>
        <v>79</v>
      </c>
      <c r="U192">
        <f>Sheet1[[#This Row],[Total Sales]]*Sheet1[[#This Row],[Discount]]</f>
        <v>47.4</v>
      </c>
      <c r="V192" s="4">
        <f>Sheet1[[#This Row],[Total Sales]]-Sheet1[[#This Row],[Total Sales]]*Sheet1[[#This Row],[Discount]]</f>
        <v>31.6</v>
      </c>
      <c r="W192" s="4">
        <f>Sheet1[[#This Row],[Quantity]]*Sheet1[[#This Row],[Profit]]</f>
        <v>-85.331999999999994</v>
      </c>
      <c r="X192" s="5">
        <f>Sheet1[[#This Row],[Total Profit]]/Sheet1[[#This Row],[Sales After Discount]]</f>
        <v>-2.7003797468354427</v>
      </c>
      <c r="Y192" s="4">
        <f>Sheet1[[#This Row],[Shipping_cost]]*Sheet1[[#This Row],[Quantity]]</f>
        <v>5.84</v>
      </c>
      <c r="Z192" s="4">
        <f>Sheet1[[#This Row],[Total Profit]]-Sheet1[[#This Row],[Total Shipping Cost]]</f>
        <v>-91.171999999999997</v>
      </c>
      <c r="AA192" s="4" t="str">
        <f>IF(Sheet1[[#This Row],[Net Profit]]&gt;0,"Profit","Loss")</f>
        <v>Loss</v>
      </c>
    </row>
    <row r="193" spans="1:27" x14ac:dyDescent="0.25">
      <c r="A193" t="s">
        <v>352</v>
      </c>
      <c r="B193" s="1">
        <v>40557</v>
      </c>
      <c r="C193" s="1">
        <v>40561</v>
      </c>
      <c r="D193" t="s">
        <v>1</v>
      </c>
      <c r="E193" t="s">
        <v>353</v>
      </c>
      <c r="F193" t="s">
        <v>3</v>
      </c>
      <c r="G193" t="s">
        <v>354</v>
      </c>
      <c r="H193" t="s">
        <v>285</v>
      </c>
      <c r="I193" t="s">
        <v>22</v>
      </c>
      <c r="J193" t="s">
        <v>22</v>
      </c>
      <c r="K193" t="s">
        <v>7</v>
      </c>
      <c r="L193" t="s">
        <v>16</v>
      </c>
      <c r="M193">
        <v>74</v>
      </c>
      <c r="N193">
        <v>4</v>
      </c>
      <c r="O193">
        <v>0.6</v>
      </c>
      <c r="P193">
        <v>-70.319999999999993</v>
      </c>
      <c r="Q193">
        <v>4.4800000000000004</v>
      </c>
      <c r="R193" t="s">
        <v>9</v>
      </c>
      <c r="S193">
        <f>Sheet1[[#This Row],[Ship_date]]-Sheet1[[#This Row],[Order_date]]</f>
        <v>4</v>
      </c>
      <c r="T193">
        <f>Sheet1[[#This Row],[Quantity]]*Sheet1[[#This Row],[Sales]]</f>
        <v>296</v>
      </c>
      <c r="U193">
        <f>Sheet1[[#This Row],[Total Sales]]*Sheet1[[#This Row],[Discount]]</f>
        <v>177.6</v>
      </c>
      <c r="V193" s="4">
        <f>Sheet1[[#This Row],[Total Sales]]-Sheet1[[#This Row],[Total Sales]]*Sheet1[[#This Row],[Discount]]</f>
        <v>118.4</v>
      </c>
      <c r="W193" s="4">
        <f>Sheet1[[#This Row],[Quantity]]*Sheet1[[#This Row],[Profit]]</f>
        <v>-281.27999999999997</v>
      </c>
      <c r="X193" s="5">
        <f>Sheet1[[#This Row],[Total Profit]]/Sheet1[[#This Row],[Sales After Discount]]</f>
        <v>-2.3756756756756752</v>
      </c>
      <c r="Y193" s="4">
        <f>Sheet1[[#This Row],[Shipping_cost]]*Sheet1[[#This Row],[Quantity]]</f>
        <v>17.920000000000002</v>
      </c>
      <c r="Z193" s="4">
        <f>Sheet1[[#This Row],[Total Profit]]-Sheet1[[#This Row],[Total Shipping Cost]]</f>
        <v>-299.2</v>
      </c>
      <c r="AA193" s="4" t="str">
        <f>IF(Sheet1[[#This Row],[Net Profit]]&gt;0,"Profit","Loss")</f>
        <v>Loss</v>
      </c>
    </row>
    <row r="194" spans="1:27" x14ac:dyDescent="0.25">
      <c r="A194" t="s">
        <v>342</v>
      </c>
      <c r="B194" s="1">
        <v>40557</v>
      </c>
      <c r="C194" s="1">
        <v>40563</v>
      </c>
      <c r="D194" t="s">
        <v>1</v>
      </c>
      <c r="E194" t="s">
        <v>343</v>
      </c>
      <c r="F194" t="s">
        <v>43</v>
      </c>
      <c r="G194" t="s">
        <v>344</v>
      </c>
      <c r="H194" t="s">
        <v>345</v>
      </c>
      <c r="I194" t="s">
        <v>75</v>
      </c>
      <c r="J194" t="s">
        <v>76</v>
      </c>
      <c r="K194" t="s">
        <v>7</v>
      </c>
      <c r="L194" t="s">
        <v>137</v>
      </c>
      <c r="M194">
        <v>66</v>
      </c>
      <c r="N194">
        <v>8</v>
      </c>
      <c r="O194">
        <v>0</v>
      </c>
      <c r="P194">
        <v>9.1199999999999992</v>
      </c>
      <c r="Q194">
        <v>3.61</v>
      </c>
      <c r="R194" t="s">
        <v>9</v>
      </c>
      <c r="S194">
        <f>Sheet1[[#This Row],[Ship_date]]-Sheet1[[#This Row],[Order_date]]</f>
        <v>6</v>
      </c>
      <c r="T194">
        <f>Sheet1[[#This Row],[Quantity]]*Sheet1[[#This Row],[Sales]]</f>
        <v>528</v>
      </c>
      <c r="U194">
        <f>Sheet1[[#This Row],[Total Sales]]*Sheet1[[#This Row],[Discount]]</f>
        <v>0</v>
      </c>
      <c r="V194" s="4">
        <f>Sheet1[[#This Row],[Total Sales]]-Sheet1[[#This Row],[Total Sales]]*Sheet1[[#This Row],[Discount]]</f>
        <v>528</v>
      </c>
      <c r="W194" s="4">
        <f>Sheet1[[#This Row],[Quantity]]*Sheet1[[#This Row],[Profit]]</f>
        <v>72.959999999999994</v>
      </c>
      <c r="X194" s="5">
        <f>Sheet1[[#This Row],[Total Profit]]/Sheet1[[#This Row],[Sales After Discount]]</f>
        <v>0.13818181818181818</v>
      </c>
      <c r="Y194" s="4">
        <f>Sheet1[[#This Row],[Shipping_cost]]*Sheet1[[#This Row],[Quantity]]</f>
        <v>28.88</v>
      </c>
      <c r="Z194" s="4">
        <f>Sheet1[[#This Row],[Total Profit]]-Sheet1[[#This Row],[Total Shipping Cost]]</f>
        <v>44.08</v>
      </c>
      <c r="AA194" s="4" t="str">
        <f>IF(Sheet1[[#This Row],[Net Profit]]&gt;0,"Profit","Loss")</f>
        <v>Profit</v>
      </c>
    </row>
    <row r="195" spans="1:27" x14ac:dyDescent="0.25">
      <c r="A195" t="s">
        <v>333</v>
      </c>
      <c r="B195" s="1">
        <v>40557</v>
      </c>
      <c r="C195" s="1">
        <v>40562</v>
      </c>
      <c r="D195" t="s">
        <v>1</v>
      </c>
      <c r="E195" t="s">
        <v>263</v>
      </c>
      <c r="F195" t="s">
        <v>3</v>
      </c>
      <c r="G195" t="s">
        <v>191</v>
      </c>
      <c r="H195" t="s">
        <v>126</v>
      </c>
      <c r="I195" t="s">
        <v>127</v>
      </c>
      <c r="J195" t="s">
        <v>192</v>
      </c>
      <c r="K195" t="s">
        <v>7</v>
      </c>
      <c r="L195" t="s">
        <v>91</v>
      </c>
      <c r="M195">
        <v>20</v>
      </c>
      <c r="N195">
        <v>5</v>
      </c>
      <c r="O195">
        <v>0</v>
      </c>
      <c r="P195">
        <v>6.5670000000000002</v>
      </c>
      <c r="Q195">
        <v>3.03</v>
      </c>
      <c r="R195" t="s">
        <v>23</v>
      </c>
      <c r="S195">
        <f>Sheet1[[#This Row],[Ship_date]]-Sheet1[[#This Row],[Order_date]]</f>
        <v>5</v>
      </c>
      <c r="T195">
        <f>Sheet1[[#This Row],[Quantity]]*Sheet1[[#This Row],[Sales]]</f>
        <v>100</v>
      </c>
      <c r="U195">
        <f>Sheet1[[#This Row],[Total Sales]]*Sheet1[[#This Row],[Discount]]</f>
        <v>0</v>
      </c>
      <c r="V195" s="4">
        <f>Sheet1[[#This Row],[Total Sales]]-Sheet1[[#This Row],[Total Sales]]*Sheet1[[#This Row],[Discount]]</f>
        <v>100</v>
      </c>
      <c r="W195" s="4">
        <f>Sheet1[[#This Row],[Quantity]]*Sheet1[[#This Row],[Profit]]</f>
        <v>32.835000000000001</v>
      </c>
      <c r="X195" s="5">
        <f>Sheet1[[#This Row],[Total Profit]]/Sheet1[[#This Row],[Sales After Discount]]</f>
        <v>0.32835000000000003</v>
      </c>
      <c r="Y195" s="4">
        <f>Sheet1[[#This Row],[Shipping_cost]]*Sheet1[[#This Row],[Quantity]]</f>
        <v>15.149999999999999</v>
      </c>
      <c r="Z195" s="4">
        <f>Sheet1[[#This Row],[Total Profit]]-Sheet1[[#This Row],[Total Shipping Cost]]</f>
        <v>17.685000000000002</v>
      </c>
      <c r="AA195" s="4" t="str">
        <f>IF(Sheet1[[#This Row],[Net Profit]]&gt;0,"Profit","Loss")</f>
        <v>Profit</v>
      </c>
    </row>
    <row r="196" spans="1:27" x14ac:dyDescent="0.25">
      <c r="A196" t="s">
        <v>334</v>
      </c>
      <c r="B196" s="1">
        <v>40557</v>
      </c>
      <c r="C196" s="1">
        <v>40559</v>
      </c>
      <c r="D196" t="s">
        <v>18</v>
      </c>
      <c r="E196" t="s">
        <v>335</v>
      </c>
      <c r="F196" t="s">
        <v>43</v>
      </c>
      <c r="G196" t="s">
        <v>336</v>
      </c>
      <c r="H196" t="s">
        <v>126</v>
      </c>
      <c r="I196" t="s">
        <v>127</v>
      </c>
      <c r="J196" t="s">
        <v>102</v>
      </c>
      <c r="K196" t="s">
        <v>7</v>
      </c>
      <c r="L196" t="s">
        <v>96</v>
      </c>
      <c r="M196">
        <v>11</v>
      </c>
      <c r="N196">
        <v>2</v>
      </c>
      <c r="O196">
        <v>0</v>
      </c>
      <c r="P196">
        <v>5.3391999999999999</v>
      </c>
      <c r="Q196">
        <v>2.88</v>
      </c>
      <c r="R196" t="s">
        <v>45</v>
      </c>
      <c r="S196">
        <f>Sheet1[[#This Row],[Ship_date]]-Sheet1[[#This Row],[Order_date]]</f>
        <v>2</v>
      </c>
      <c r="T196">
        <f>Sheet1[[#This Row],[Quantity]]*Sheet1[[#This Row],[Sales]]</f>
        <v>22</v>
      </c>
      <c r="U196">
        <f>Sheet1[[#This Row],[Total Sales]]*Sheet1[[#This Row],[Discount]]</f>
        <v>0</v>
      </c>
      <c r="V196" s="4">
        <f>Sheet1[[#This Row],[Total Sales]]-Sheet1[[#This Row],[Total Sales]]*Sheet1[[#This Row],[Discount]]</f>
        <v>22</v>
      </c>
      <c r="W196" s="4">
        <f>Sheet1[[#This Row],[Quantity]]*Sheet1[[#This Row],[Profit]]</f>
        <v>10.6784</v>
      </c>
      <c r="X196" s="5">
        <f>Sheet1[[#This Row],[Total Profit]]/Sheet1[[#This Row],[Sales After Discount]]</f>
        <v>0.48538181818181819</v>
      </c>
      <c r="Y196" s="4">
        <f>Sheet1[[#This Row],[Shipping_cost]]*Sheet1[[#This Row],[Quantity]]</f>
        <v>5.76</v>
      </c>
      <c r="Z196" s="4">
        <f>Sheet1[[#This Row],[Total Profit]]-Sheet1[[#This Row],[Total Shipping Cost]]</f>
        <v>4.9184000000000001</v>
      </c>
      <c r="AA196" s="4" t="str">
        <f>IF(Sheet1[[#This Row],[Net Profit]]&gt;0,"Profit","Loss")</f>
        <v>Profit</v>
      </c>
    </row>
    <row r="197" spans="1:27" x14ac:dyDescent="0.25">
      <c r="A197" t="s">
        <v>357</v>
      </c>
      <c r="B197" s="1">
        <v>40557</v>
      </c>
      <c r="C197" s="1">
        <v>40562</v>
      </c>
      <c r="D197" t="s">
        <v>1</v>
      </c>
      <c r="E197" t="s">
        <v>358</v>
      </c>
      <c r="F197" t="s">
        <v>3</v>
      </c>
      <c r="G197" t="s">
        <v>359</v>
      </c>
      <c r="H197" t="s">
        <v>126</v>
      </c>
      <c r="I197" t="s">
        <v>127</v>
      </c>
      <c r="J197" t="s">
        <v>173</v>
      </c>
      <c r="K197" t="s">
        <v>7</v>
      </c>
      <c r="L197" t="s">
        <v>31</v>
      </c>
      <c r="M197">
        <v>37</v>
      </c>
      <c r="N197">
        <v>7</v>
      </c>
      <c r="O197">
        <v>0.2</v>
      </c>
      <c r="P197">
        <v>13.0928</v>
      </c>
      <c r="Q197">
        <v>1.46</v>
      </c>
      <c r="R197" t="s">
        <v>9</v>
      </c>
      <c r="S197">
        <f>Sheet1[[#This Row],[Ship_date]]-Sheet1[[#This Row],[Order_date]]</f>
        <v>5</v>
      </c>
      <c r="T197">
        <f>Sheet1[[#This Row],[Quantity]]*Sheet1[[#This Row],[Sales]]</f>
        <v>259</v>
      </c>
      <c r="U197">
        <f>Sheet1[[#This Row],[Total Sales]]*Sheet1[[#This Row],[Discount]]</f>
        <v>51.800000000000004</v>
      </c>
      <c r="V197" s="4">
        <f>Sheet1[[#This Row],[Total Sales]]-Sheet1[[#This Row],[Total Sales]]*Sheet1[[#This Row],[Discount]]</f>
        <v>207.2</v>
      </c>
      <c r="W197" s="4">
        <f>Sheet1[[#This Row],[Quantity]]*Sheet1[[#This Row],[Profit]]</f>
        <v>91.649600000000007</v>
      </c>
      <c r="X197" s="5">
        <f>Sheet1[[#This Row],[Total Profit]]/Sheet1[[#This Row],[Sales After Discount]]</f>
        <v>0.44232432432432439</v>
      </c>
      <c r="Y197" s="4">
        <f>Sheet1[[#This Row],[Shipping_cost]]*Sheet1[[#This Row],[Quantity]]</f>
        <v>10.219999999999999</v>
      </c>
      <c r="Z197" s="4">
        <f>Sheet1[[#This Row],[Total Profit]]-Sheet1[[#This Row],[Total Shipping Cost]]</f>
        <v>81.429600000000008</v>
      </c>
      <c r="AA197" s="4" t="str">
        <f>IF(Sheet1[[#This Row],[Net Profit]]&gt;0,"Profit","Loss")</f>
        <v>Profit</v>
      </c>
    </row>
    <row r="198" spans="1:27" x14ac:dyDescent="0.25">
      <c r="A198" t="s">
        <v>334</v>
      </c>
      <c r="B198" s="1">
        <v>40557</v>
      </c>
      <c r="C198" s="1">
        <v>40559</v>
      </c>
      <c r="D198" t="s">
        <v>18</v>
      </c>
      <c r="E198" t="s">
        <v>335</v>
      </c>
      <c r="F198" t="s">
        <v>43</v>
      </c>
      <c r="G198" t="s">
        <v>336</v>
      </c>
      <c r="H198" t="s">
        <v>126</v>
      </c>
      <c r="I198" t="s">
        <v>127</v>
      </c>
      <c r="J198" t="s">
        <v>102</v>
      </c>
      <c r="K198" t="s">
        <v>7</v>
      </c>
      <c r="L198" t="s">
        <v>137</v>
      </c>
      <c r="M198">
        <v>6</v>
      </c>
      <c r="N198">
        <v>3</v>
      </c>
      <c r="O198">
        <v>0</v>
      </c>
      <c r="P198">
        <v>2.7071999999999998</v>
      </c>
      <c r="Q198">
        <v>0.85</v>
      </c>
      <c r="R198" t="s">
        <v>45</v>
      </c>
      <c r="S198">
        <f>Sheet1[[#This Row],[Ship_date]]-Sheet1[[#This Row],[Order_date]]</f>
        <v>2</v>
      </c>
      <c r="T198">
        <f>Sheet1[[#This Row],[Quantity]]*Sheet1[[#This Row],[Sales]]</f>
        <v>18</v>
      </c>
      <c r="U198">
        <f>Sheet1[[#This Row],[Total Sales]]*Sheet1[[#This Row],[Discount]]</f>
        <v>0</v>
      </c>
      <c r="V198" s="4">
        <f>Sheet1[[#This Row],[Total Sales]]-Sheet1[[#This Row],[Total Sales]]*Sheet1[[#This Row],[Discount]]</f>
        <v>18</v>
      </c>
      <c r="W198" s="4">
        <f>Sheet1[[#This Row],[Quantity]]*Sheet1[[#This Row],[Profit]]</f>
        <v>8.121599999999999</v>
      </c>
      <c r="X198" s="5">
        <f>Sheet1[[#This Row],[Total Profit]]/Sheet1[[#This Row],[Sales After Discount]]</f>
        <v>0.45119999999999993</v>
      </c>
      <c r="Y198" s="4">
        <f>Sheet1[[#This Row],[Shipping_cost]]*Sheet1[[#This Row],[Quantity]]</f>
        <v>2.5499999999999998</v>
      </c>
      <c r="Z198" s="4">
        <f>Sheet1[[#This Row],[Total Profit]]-Sheet1[[#This Row],[Total Shipping Cost]]</f>
        <v>5.5715999999999992</v>
      </c>
      <c r="AA198" s="4" t="str">
        <f>IF(Sheet1[[#This Row],[Net Profit]]&gt;0,"Profit","Loss")</f>
        <v>Profit</v>
      </c>
    </row>
    <row r="199" spans="1:27" x14ac:dyDescent="0.25">
      <c r="A199" t="s">
        <v>352</v>
      </c>
      <c r="B199" s="1">
        <v>40557</v>
      </c>
      <c r="C199" s="1">
        <v>40561</v>
      </c>
      <c r="D199" t="s">
        <v>1</v>
      </c>
      <c r="E199" t="s">
        <v>353</v>
      </c>
      <c r="F199" t="s">
        <v>3</v>
      </c>
      <c r="G199" t="s">
        <v>354</v>
      </c>
      <c r="H199" t="s">
        <v>285</v>
      </c>
      <c r="I199" t="s">
        <v>22</v>
      </c>
      <c r="J199" t="s">
        <v>22</v>
      </c>
      <c r="K199" t="s">
        <v>7</v>
      </c>
      <c r="L199" t="s">
        <v>91</v>
      </c>
      <c r="M199">
        <v>79</v>
      </c>
      <c r="N199">
        <v>4</v>
      </c>
      <c r="O199">
        <v>0.6</v>
      </c>
      <c r="P199">
        <v>-87.168000000000006</v>
      </c>
      <c r="Q199">
        <v>0.43</v>
      </c>
      <c r="R199" t="s">
        <v>9</v>
      </c>
      <c r="S199">
        <f>Sheet1[[#This Row],[Ship_date]]-Sheet1[[#This Row],[Order_date]]</f>
        <v>4</v>
      </c>
      <c r="T199">
        <f>Sheet1[[#This Row],[Quantity]]*Sheet1[[#This Row],[Sales]]</f>
        <v>316</v>
      </c>
      <c r="U199">
        <f>Sheet1[[#This Row],[Total Sales]]*Sheet1[[#This Row],[Discount]]</f>
        <v>189.6</v>
      </c>
      <c r="V199" s="4">
        <f>Sheet1[[#This Row],[Total Sales]]-Sheet1[[#This Row],[Total Sales]]*Sheet1[[#This Row],[Discount]]</f>
        <v>126.4</v>
      </c>
      <c r="W199" s="4">
        <f>Sheet1[[#This Row],[Quantity]]*Sheet1[[#This Row],[Profit]]</f>
        <v>-348.67200000000003</v>
      </c>
      <c r="X199" s="5">
        <f>Sheet1[[#This Row],[Total Profit]]/Sheet1[[#This Row],[Sales After Discount]]</f>
        <v>-2.758481012658228</v>
      </c>
      <c r="Y199" s="4">
        <f>Sheet1[[#This Row],[Shipping_cost]]*Sheet1[[#This Row],[Quantity]]</f>
        <v>1.72</v>
      </c>
      <c r="Z199" s="4">
        <f>Sheet1[[#This Row],[Total Profit]]-Sheet1[[#This Row],[Total Shipping Cost]]</f>
        <v>-350.39200000000005</v>
      </c>
      <c r="AA199" s="4" t="str">
        <f>IF(Sheet1[[#This Row],[Net Profit]]&gt;0,"Profit","Loss")</f>
        <v>Loss</v>
      </c>
    </row>
    <row r="200" spans="1:27" x14ac:dyDescent="0.25">
      <c r="A200" t="s">
        <v>357</v>
      </c>
      <c r="B200" s="1">
        <v>40557</v>
      </c>
      <c r="C200" s="1">
        <v>40562</v>
      </c>
      <c r="D200" t="s">
        <v>1</v>
      </c>
      <c r="E200" t="s">
        <v>358</v>
      </c>
      <c r="F200" t="s">
        <v>3</v>
      </c>
      <c r="G200" t="s">
        <v>359</v>
      </c>
      <c r="H200" t="s">
        <v>126</v>
      </c>
      <c r="I200" t="s">
        <v>127</v>
      </c>
      <c r="J200" t="s">
        <v>173</v>
      </c>
      <c r="K200" t="s">
        <v>7</v>
      </c>
      <c r="L200" t="s">
        <v>137</v>
      </c>
      <c r="M200">
        <v>3</v>
      </c>
      <c r="N200">
        <v>2</v>
      </c>
      <c r="O200">
        <v>0.7</v>
      </c>
      <c r="P200">
        <v>-2.5211999999999999</v>
      </c>
      <c r="Q200">
        <v>0.27</v>
      </c>
      <c r="R200" t="s">
        <v>9</v>
      </c>
      <c r="S200">
        <f>Sheet1[[#This Row],[Ship_date]]-Sheet1[[#This Row],[Order_date]]</f>
        <v>5</v>
      </c>
      <c r="T200">
        <f>Sheet1[[#This Row],[Quantity]]*Sheet1[[#This Row],[Sales]]</f>
        <v>6</v>
      </c>
      <c r="U200">
        <f>Sheet1[[#This Row],[Total Sales]]*Sheet1[[#This Row],[Discount]]</f>
        <v>4.1999999999999993</v>
      </c>
      <c r="V200" s="4">
        <f>Sheet1[[#This Row],[Total Sales]]-Sheet1[[#This Row],[Total Sales]]*Sheet1[[#This Row],[Discount]]</f>
        <v>1.8000000000000007</v>
      </c>
      <c r="W200" s="4">
        <f>Sheet1[[#This Row],[Quantity]]*Sheet1[[#This Row],[Profit]]</f>
        <v>-5.0423999999999998</v>
      </c>
      <c r="X200" s="5">
        <f>Sheet1[[#This Row],[Total Profit]]/Sheet1[[#This Row],[Sales After Discount]]</f>
        <v>-2.8013333333333321</v>
      </c>
      <c r="Y200" s="4">
        <f>Sheet1[[#This Row],[Shipping_cost]]*Sheet1[[#This Row],[Quantity]]</f>
        <v>0.54</v>
      </c>
      <c r="Z200" s="4">
        <f>Sheet1[[#This Row],[Total Profit]]-Sheet1[[#This Row],[Total Shipping Cost]]</f>
        <v>-5.5823999999999998</v>
      </c>
      <c r="AA200" s="4" t="str">
        <f>IF(Sheet1[[#This Row],[Net Profit]]&gt;0,"Profit","Loss")</f>
        <v>Loss</v>
      </c>
    </row>
    <row r="201" spans="1:27" x14ac:dyDescent="0.25">
      <c r="A201" t="s">
        <v>360</v>
      </c>
      <c r="B201" s="1">
        <v>40558</v>
      </c>
      <c r="C201" s="1">
        <v>40563</v>
      </c>
      <c r="D201" t="s">
        <v>18</v>
      </c>
      <c r="E201" t="s">
        <v>361</v>
      </c>
      <c r="F201" t="s">
        <v>43</v>
      </c>
      <c r="G201" t="s">
        <v>304</v>
      </c>
      <c r="H201" t="s">
        <v>305</v>
      </c>
      <c r="I201" t="s">
        <v>29</v>
      </c>
      <c r="J201" t="s">
        <v>76</v>
      </c>
      <c r="K201" t="s">
        <v>38</v>
      </c>
      <c r="L201" t="s">
        <v>50</v>
      </c>
      <c r="M201">
        <v>527</v>
      </c>
      <c r="N201">
        <v>2</v>
      </c>
      <c r="O201">
        <v>0</v>
      </c>
      <c r="P201">
        <v>10.5</v>
      </c>
      <c r="Q201">
        <v>92.1</v>
      </c>
      <c r="R201" t="s">
        <v>9</v>
      </c>
      <c r="S201">
        <f>Sheet1[[#This Row],[Ship_date]]-Sheet1[[#This Row],[Order_date]]</f>
        <v>5</v>
      </c>
      <c r="T201">
        <f>Sheet1[[#This Row],[Quantity]]*Sheet1[[#This Row],[Sales]]</f>
        <v>1054</v>
      </c>
      <c r="U201">
        <f>Sheet1[[#This Row],[Total Sales]]*Sheet1[[#This Row],[Discount]]</f>
        <v>0</v>
      </c>
      <c r="V201" s="4">
        <f>Sheet1[[#This Row],[Total Sales]]-Sheet1[[#This Row],[Total Sales]]*Sheet1[[#This Row],[Discount]]</f>
        <v>1054</v>
      </c>
      <c r="W201" s="4">
        <f>Sheet1[[#This Row],[Quantity]]*Sheet1[[#This Row],[Profit]]</f>
        <v>21</v>
      </c>
      <c r="X201" s="5">
        <f>Sheet1[[#This Row],[Total Profit]]/Sheet1[[#This Row],[Sales After Discount]]</f>
        <v>1.9924098671726755E-2</v>
      </c>
      <c r="Y201" s="4">
        <f>Sheet1[[#This Row],[Shipping_cost]]*Sheet1[[#This Row],[Quantity]]</f>
        <v>184.2</v>
      </c>
      <c r="Z201" s="4">
        <f>Sheet1[[#This Row],[Total Profit]]-Sheet1[[#This Row],[Total Shipping Cost]]</f>
        <v>-163.19999999999999</v>
      </c>
      <c r="AA201" s="4" t="str">
        <f>IF(Sheet1[[#This Row],[Net Profit]]&gt;0,"Profit","Loss")</f>
        <v>Loss</v>
      </c>
    </row>
    <row r="202" spans="1:27" x14ac:dyDescent="0.25">
      <c r="A202" t="s">
        <v>362</v>
      </c>
      <c r="B202" s="1">
        <v>40558</v>
      </c>
      <c r="C202" s="1">
        <v>40561</v>
      </c>
      <c r="D202" t="s">
        <v>142</v>
      </c>
      <c r="E202" t="s">
        <v>363</v>
      </c>
      <c r="F202" t="s">
        <v>26</v>
      </c>
      <c r="G202" t="s">
        <v>364</v>
      </c>
      <c r="H202" t="s">
        <v>115</v>
      </c>
      <c r="I202" t="s">
        <v>29</v>
      </c>
      <c r="J202" t="s">
        <v>76</v>
      </c>
      <c r="K202" t="s">
        <v>32</v>
      </c>
      <c r="L202" t="s">
        <v>67</v>
      </c>
      <c r="M202">
        <v>652</v>
      </c>
      <c r="N202">
        <v>2</v>
      </c>
      <c r="O202">
        <v>0.1</v>
      </c>
      <c r="P202">
        <v>7.2</v>
      </c>
      <c r="Q202">
        <v>88.52</v>
      </c>
      <c r="R202" t="s">
        <v>9</v>
      </c>
      <c r="S202">
        <f>Sheet1[[#This Row],[Ship_date]]-Sheet1[[#This Row],[Order_date]]</f>
        <v>3</v>
      </c>
      <c r="T202">
        <f>Sheet1[[#This Row],[Quantity]]*Sheet1[[#This Row],[Sales]]</f>
        <v>1304</v>
      </c>
      <c r="U202">
        <f>Sheet1[[#This Row],[Total Sales]]*Sheet1[[#This Row],[Discount]]</f>
        <v>130.4</v>
      </c>
      <c r="V202" s="4">
        <f>Sheet1[[#This Row],[Total Sales]]-Sheet1[[#This Row],[Total Sales]]*Sheet1[[#This Row],[Discount]]</f>
        <v>1173.5999999999999</v>
      </c>
      <c r="W202" s="4">
        <f>Sheet1[[#This Row],[Quantity]]*Sheet1[[#This Row],[Profit]]</f>
        <v>14.4</v>
      </c>
      <c r="X202" s="5">
        <f>Sheet1[[#This Row],[Total Profit]]/Sheet1[[#This Row],[Sales After Discount]]</f>
        <v>1.226993865030675E-2</v>
      </c>
      <c r="Y202" s="4">
        <f>Sheet1[[#This Row],[Shipping_cost]]*Sheet1[[#This Row],[Quantity]]</f>
        <v>177.04</v>
      </c>
      <c r="Z202" s="4">
        <f>Sheet1[[#This Row],[Total Profit]]-Sheet1[[#This Row],[Total Shipping Cost]]</f>
        <v>-162.63999999999999</v>
      </c>
      <c r="AA202" s="4" t="str">
        <f>IF(Sheet1[[#This Row],[Net Profit]]&gt;0,"Profit","Loss")</f>
        <v>Loss</v>
      </c>
    </row>
    <row r="203" spans="1:27" x14ac:dyDescent="0.25">
      <c r="A203" t="s">
        <v>365</v>
      </c>
      <c r="B203" s="1">
        <v>40558</v>
      </c>
      <c r="C203" s="1">
        <v>40560</v>
      </c>
      <c r="D203" t="s">
        <v>142</v>
      </c>
      <c r="E203" t="s">
        <v>366</v>
      </c>
      <c r="F203" t="s">
        <v>26</v>
      </c>
      <c r="G203" t="s">
        <v>367</v>
      </c>
      <c r="H203" t="s">
        <v>368</v>
      </c>
      <c r="I203" t="s">
        <v>75</v>
      </c>
      <c r="J203" t="s">
        <v>111</v>
      </c>
      <c r="K203" t="s">
        <v>32</v>
      </c>
      <c r="L203" t="s">
        <v>56</v>
      </c>
      <c r="M203">
        <v>265</v>
      </c>
      <c r="N203">
        <v>3</v>
      </c>
      <c r="O203">
        <v>0.2</v>
      </c>
      <c r="P203">
        <v>23.22</v>
      </c>
      <c r="Q203">
        <v>43.56</v>
      </c>
      <c r="R203" t="s">
        <v>9</v>
      </c>
      <c r="S203">
        <f>Sheet1[[#This Row],[Ship_date]]-Sheet1[[#This Row],[Order_date]]</f>
        <v>2</v>
      </c>
      <c r="T203">
        <f>Sheet1[[#This Row],[Quantity]]*Sheet1[[#This Row],[Sales]]</f>
        <v>795</v>
      </c>
      <c r="U203">
        <f>Sheet1[[#This Row],[Total Sales]]*Sheet1[[#This Row],[Discount]]</f>
        <v>159</v>
      </c>
      <c r="V203" s="4">
        <f>Sheet1[[#This Row],[Total Sales]]-Sheet1[[#This Row],[Total Sales]]*Sheet1[[#This Row],[Discount]]</f>
        <v>636</v>
      </c>
      <c r="W203" s="4">
        <f>Sheet1[[#This Row],[Quantity]]*Sheet1[[#This Row],[Profit]]</f>
        <v>69.66</v>
      </c>
      <c r="X203" s="5">
        <f>Sheet1[[#This Row],[Total Profit]]/Sheet1[[#This Row],[Sales After Discount]]</f>
        <v>0.10952830188679245</v>
      </c>
      <c r="Y203" s="4">
        <f>Sheet1[[#This Row],[Shipping_cost]]*Sheet1[[#This Row],[Quantity]]</f>
        <v>130.68</v>
      </c>
      <c r="Z203" s="4">
        <f>Sheet1[[#This Row],[Total Profit]]-Sheet1[[#This Row],[Total Shipping Cost]]</f>
        <v>-61.02000000000001</v>
      </c>
      <c r="AA203" s="4" t="str">
        <f>IF(Sheet1[[#This Row],[Net Profit]]&gt;0,"Profit","Loss")</f>
        <v>Loss</v>
      </c>
    </row>
    <row r="204" spans="1:27" x14ac:dyDescent="0.25">
      <c r="A204" t="s">
        <v>369</v>
      </c>
      <c r="B204" s="1">
        <v>40558</v>
      </c>
      <c r="C204" s="1">
        <v>40558</v>
      </c>
      <c r="D204" t="s">
        <v>41</v>
      </c>
      <c r="E204" t="s">
        <v>370</v>
      </c>
      <c r="F204" t="s">
        <v>3</v>
      </c>
      <c r="G204" t="s">
        <v>371</v>
      </c>
      <c r="H204" t="s">
        <v>157</v>
      </c>
      <c r="I204" t="s">
        <v>14</v>
      </c>
      <c r="J204" t="s">
        <v>61</v>
      </c>
      <c r="K204" t="s">
        <v>7</v>
      </c>
      <c r="L204" t="s">
        <v>91</v>
      </c>
      <c r="M204">
        <v>150</v>
      </c>
      <c r="N204">
        <v>4</v>
      </c>
      <c r="O204">
        <v>0.27</v>
      </c>
      <c r="P204">
        <v>-49.348799999999997</v>
      </c>
      <c r="Q204">
        <v>21.15</v>
      </c>
      <c r="R204" t="s">
        <v>45</v>
      </c>
      <c r="S204">
        <f>Sheet1[[#This Row],[Ship_date]]-Sheet1[[#This Row],[Order_date]]</f>
        <v>0</v>
      </c>
      <c r="T204">
        <f>Sheet1[[#This Row],[Quantity]]*Sheet1[[#This Row],[Sales]]</f>
        <v>600</v>
      </c>
      <c r="U204">
        <f>Sheet1[[#This Row],[Total Sales]]*Sheet1[[#This Row],[Discount]]</f>
        <v>162</v>
      </c>
      <c r="V204" s="4">
        <f>Sheet1[[#This Row],[Total Sales]]-Sheet1[[#This Row],[Total Sales]]*Sheet1[[#This Row],[Discount]]</f>
        <v>438</v>
      </c>
      <c r="W204" s="4">
        <f>Sheet1[[#This Row],[Quantity]]*Sheet1[[#This Row],[Profit]]</f>
        <v>-197.39519999999999</v>
      </c>
      <c r="X204" s="5">
        <f>Sheet1[[#This Row],[Total Profit]]/Sheet1[[#This Row],[Sales After Discount]]</f>
        <v>-0.45067397260273973</v>
      </c>
      <c r="Y204" s="4">
        <f>Sheet1[[#This Row],[Shipping_cost]]*Sheet1[[#This Row],[Quantity]]</f>
        <v>84.6</v>
      </c>
      <c r="Z204" s="4">
        <f>Sheet1[[#This Row],[Total Profit]]-Sheet1[[#This Row],[Total Shipping Cost]]</f>
        <v>-281.99519999999995</v>
      </c>
      <c r="AA204" s="4" t="str">
        <f>IF(Sheet1[[#This Row],[Net Profit]]&gt;0,"Profit","Loss")</f>
        <v>Loss</v>
      </c>
    </row>
    <row r="205" spans="1:27" x14ac:dyDescent="0.25">
      <c r="A205" t="s">
        <v>369</v>
      </c>
      <c r="B205" s="1">
        <v>40558</v>
      </c>
      <c r="C205" s="1">
        <v>40558</v>
      </c>
      <c r="D205" t="s">
        <v>41</v>
      </c>
      <c r="E205" t="s">
        <v>370</v>
      </c>
      <c r="F205" t="s">
        <v>3</v>
      </c>
      <c r="G205" t="s">
        <v>371</v>
      </c>
      <c r="H205" t="s">
        <v>157</v>
      </c>
      <c r="I205" t="s">
        <v>14</v>
      </c>
      <c r="J205" t="s">
        <v>61</v>
      </c>
      <c r="K205" t="s">
        <v>7</v>
      </c>
      <c r="L205" t="s">
        <v>91</v>
      </c>
      <c r="M205">
        <v>51</v>
      </c>
      <c r="N205">
        <v>3</v>
      </c>
      <c r="O205">
        <v>0.27</v>
      </c>
      <c r="P205">
        <v>-1.26E-2</v>
      </c>
      <c r="Q205">
        <v>21.13</v>
      </c>
      <c r="R205" t="s">
        <v>45</v>
      </c>
      <c r="S205">
        <f>Sheet1[[#This Row],[Ship_date]]-Sheet1[[#This Row],[Order_date]]</f>
        <v>0</v>
      </c>
      <c r="T205">
        <f>Sheet1[[#This Row],[Quantity]]*Sheet1[[#This Row],[Sales]]</f>
        <v>153</v>
      </c>
      <c r="U205">
        <f>Sheet1[[#This Row],[Total Sales]]*Sheet1[[#This Row],[Discount]]</f>
        <v>41.31</v>
      </c>
      <c r="V205" s="4">
        <f>Sheet1[[#This Row],[Total Sales]]-Sheet1[[#This Row],[Total Sales]]*Sheet1[[#This Row],[Discount]]</f>
        <v>111.69</v>
      </c>
      <c r="W205" s="4">
        <f>Sheet1[[#This Row],[Quantity]]*Sheet1[[#This Row],[Profit]]</f>
        <v>-3.78E-2</v>
      </c>
      <c r="X205" s="5">
        <f>Sheet1[[#This Row],[Total Profit]]/Sheet1[[#This Row],[Sales After Discount]]</f>
        <v>-3.3843674456083802E-4</v>
      </c>
      <c r="Y205" s="4">
        <f>Sheet1[[#This Row],[Shipping_cost]]*Sheet1[[#This Row],[Quantity]]</f>
        <v>63.39</v>
      </c>
      <c r="Z205" s="4">
        <f>Sheet1[[#This Row],[Total Profit]]-Sheet1[[#This Row],[Total Shipping Cost]]</f>
        <v>-63.427799999999998</v>
      </c>
      <c r="AA205" s="4" t="str">
        <f>IF(Sheet1[[#This Row],[Net Profit]]&gt;0,"Profit","Loss")</f>
        <v>Loss</v>
      </c>
    </row>
    <row r="206" spans="1:27" x14ac:dyDescent="0.25">
      <c r="A206" t="s">
        <v>360</v>
      </c>
      <c r="B206" s="1">
        <v>40558</v>
      </c>
      <c r="C206" s="1">
        <v>40563</v>
      </c>
      <c r="D206" t="s">
        <v>18</v>
      </c>
      <c r="E206" t="s">
        <v>361</v>
      </c>
      <c r="F206" t="s">
        <v>43</v>
      </c>
      <c r="G206" t="s">
        <v>304</v>
      </c>
      <c r="H206" t="s">
        <v>305</v>
      </c>
      <c r="I206" t="s">
        <v>29</v>
      </c>
      <c r="J206" t="s">
        <v>76</v>
      </c>
      <c r="K206" t="s">
        <v>7</v>
      </c>
      <c r="L206" t="s">
        <v>44</v>
      </c>
      <c r="M206">
        <v>249</v>
      </c>
      <c r="N206">
        <v>1</v>
      </c>
      <c r="O206">
        <v>0.1</v>
      </c>
      <c r="P206">
        <v>2.76</v>
      </c>
      <c r="Q206">
        <v>15.08</v>
      </c>
      <c r="R206" t="s">
        <v>9</v>
      </c>
      <c r="S206">
        <f>Sheet1[[#This Row],[Ship_date]]-Sheet1[[#This Row],[Order_date]]</f>
        <v>5</v>
      </c>
      <c r="T206">
        <f>Sheet1[[#This Row],[Quantity]]*Sheet1[[#This Row],[Sales]]</f>
        <v>249</v>
      </c>
      <c r="U206">
        <f>Sheet1[[#This Row],[Total Sales]]*Sheet1[[#This Row],[Discount]]</f>
        <v>24.900000000000002</v>
      </c>
      <c r="V206" s="4">
        <f>Sheet1[[#This Row],[Total Sales]]-Sheet1[[#This Row],[Total Sales]]*Sheet1[[#This Row],[Discount]]</f>
        <v>224.1</v>
      </c>
      <c r="W206" s="4">
        <f>Sheet1[[#This Row],[Quantity]]*Sheet1[[#This Row],[Profit]]</f>
        <v>2.76</v>
      </c>
      <c r="X206" s="5">
        <f>Sheet1[[#This Row],[Total Profit]]/Sheet1[[#This Row],[Sales After Discount]]</f>
        <v>1.2315930388219544E-2</v>
      </c>
      <c r="Y206" s="4">
        <f>Sheet1[[#This Row],[Shipping_cost]]*Sheet1[[#This Row],[Quantity]]</f>
        <v>15.08</v>
      </c>
      <c r="Z206" s="4">
        <f>Sheet1[[#This Row],[Total Profit]]-Sheet1[[#This Row],[Total Shipping Cost]]</f>
        <v>-12.32</v>
      </c>
      <c r="AA206" s="4" t="str">
        <f>IF(Sheet1[[#This Row],[Net Profit]]&gt;0,"Profit","Loss")</f>
        <v>Loss</v>
      </c>
    </row>
    <row r="207" spans="1:27" x14ac:dyDescent="0.25">
      <c r="A207" t="s">
        <v>372</v>
      </c>
      <c r="B207" s="1">
        <v>40558</v>
      </c>
      <c r="C207" s="1">
        <v>40559</v>
      </c>
      <c r="D207" t="s">
        <v>142</v>
      </c>
      <c r="E207" t="s">
        <v>373</v>
      </c>
      <c r="F207" t="s">
        <v>43</v>
      </c>
      <c r="G207" t="s">
        <v>172</v>
      </c>
      <c r="H207" t="s">
        <v>126</v>
      </c>
      <c r="I207" t="s">
        <v>127</v>
      </c>
      <c r="J207" t="s">
        <v>173</v>
      </c>
      <c r="K207" t="s">
        <v>32</v>
      </c>
      <c r="L207" t="s">
        <v>67</v>
      </c>
      <c r="M207">
        <v>62</v>
      </c>
      <c r="N207">
        <v>4</v>
      </c>
      <c r="O207">
        <v>0.5</v>
      </c>
      <c r="P207">
        <v>-53.285600000000002</v>
      </c>
      <c r="Q207">
        <v>10.96</v>
      </c>
      <c r="R207" t="s">
        <v>23</v>
      </c>
      <c r="S207">
        <f>Sheet1[[#This Row],[Ship_date]]-Sheet1[[#This Row],[Order_date]]</f>
        <v>1</v>
      </c>
      <c r="T207">
        <f>Sheet1[[#This Row],[Quantity]]*Sheet1[[#This Row],[Sales]]</f>
        <v>248</v>
      </c>
      <c r="U207">
        <f>Sheet1[[#This Row],[Total Sales]]*Sheet1[[#This Row],[Discount]]</f>
        <v>124</v>
      </c>
      <c r="V207" s="4">
        <f>Sheet1[[#This Row],[Total Sales]]-Sheet1[[#This Row],[Total Sales]]*Sheet1[[#This Row],[Discount]]</f>
        <v>124</v>
      </c>
      <c r="W207" s="4">
        <f>Sheet1[[#This Row],[Quantity]]*Sheet1[[#This Row],[Profit]]</f>
        <v>-213.14240000000001</v>
      </c>
      <c r="X207" s="5">
        <f>Sheet1[[#This Row],[Total Profit]]/Sheet1[[#This Row],[Sales After Discount]]</f>
        <v>-1.7188903225806453</v>
      </c>
      <c r="Y207" s="4">
        <f>Sheet1[[#This Row],[Shipping_cost]]*Sheet1[[#This Row],[Quantity]]</f>
        <v>43.84</v>
      </c>
      <c r="Z207" s="4">
        <f>Sheet1[[#This Row],[Total Profit]]-Sheet1[[#This Row],[Total Shipping Cost]]</f>
        <v>-256.98239999999998</v>
      </c>
      <c r="AA207" s="4" t="str">
        <f>IF(Sheet1[[#This Row],[Net Profit]]&gt;0,"Profit","Loss")</f>
        <v>Loss</v>
      </c>
    </row>
    <row r="208" spans="1:27" x14ac:dyDescent="0.25">
      <c r="A208" t="s">
        <v>360</v>
      </c>
      <c r="B208" s="1">
        <v>40558</v>
      </c>
      <c r="C208" s="1">
        <v>40563</v>
      </c>
      <c r="D208" t="s">
        <v>18</v>
      </c>
      <c r="E208" t="s">
        <v>361</v>
      </c>
      <c r="F208" t="s">
        <v>43</v>
      </c>
      <c r="G208" t="s">
        <v>304</v>
      </c>
      <c r="H208" t="s">
        <v>305</v>
      </c>
      <c r="I208" t="s">
        <v>29</v>
      </c>
      <c r="J208" t="s">
        <v>76</v>
      </c>
      <c r="K208" t="s">
        <v>7</v>
      </c>
      <c r="L208" t="s">
        <v>31</v>
      </c>
      <c r="M208">
        <v>170</v>
      </c>
      <c r="N208">
        <v>5</v>
      </c>
      <c r="O208">
        <v>0</v>
      </c>
      <c r="P208">
        <v>25.35</v>
      </c>
      <c r="Q208">
        <v>8.42</v>
      </c>
      <c r="R208" t="s">
        <v>9</v>
      </c>
      <c r="S208">
        <f>Sheet1[[#This Row],[Ship_date]]-Sheet1[[#This Row],[Order_date]]</f>
        <v>5</v>
      </c>
      <c r="T208">
        <f>Sheet1[[#This Row],[Quantity]]*Sheet1[[#This Row],[Sales]]</f>
        <v>850</v>
      </c>
      <c r="U208">
        <f>Sheet1[[#This Row],[Total Sales]]*Sheet1[[#This Row],[Discount]]</f>
        <v>0</v>
      </c>
      <c r="V208" s="4">
        <f>Sheet1[[#This Row],[Total Sales]]-Sheet1[[#This Row],[Total Sales]]*Sheet1[[#This Row],[Discount]]</f>
        <v>850</v>
      </c>
      <c r="W208" s="4">
        <f>Sheet1[[#This Row],[Quantity]]*Sheet1[[#This Row],[Profit]]</f>
        <v>126.75</v>
      </c>
      <c r="X208" s="5">
        <f>Sheet1[[#This Row],[Total Profit]]/Sheet1[[#This Row],[Sales After Discount]]</f>
        <v>0.14911764705882352</v>
      </c>
      <c r="Y208" s="4">
        <f>Sheet1[[#This Row],[Shipping_cost]]*Sheet1[[#This Row],[Quantity]]</f>
        <v>42.1</v>
      </c>
      <c r="Z208" s="4">
        <f>Sheet1[[#This Row],[Total Profit]]-Sheet1[[#This Row],[Total Shipping Cost]]</f>
        <v>84.65</v>
      </c>
      <c r="AA208" s="4" t="str">
        <f>IF(Sheet1[[#This Row],[Net Profit]]&gt;0,"Profit","Loss")</f>
        <v>Profit</v>
      </c>
    </row>
    <row r="209" spans="1:27" x14ac:dyDescent="0.25">
      <c r="A209" t="s">
        <v>360</v>
      </c>
      <c r="B209" s="1">
        <v>40558</v>
      </c>
      <c r="C209" s="1">
        <v>40563</v>
      </c>
      <c r="D209" t="s">
        <v>18</v>
      </c>
      <c r="E209" t="s">
        <v>361</v>
      </c>
      <c r="F209" t="s">
        <v>43</v>
      </c>
      <c r="G209" t="s">
        <v>304</v>
      </c>
      <c r="H209" t="s">
        <v>305</v>
      </c>
      <c r="I209" t="s">
        <v>29</v>
      </c>
      <c r="J209" t="s">
        <v>76</v>
      </c>
      <c r="K209" t="s">
        <v>7</v>
      </c>
      <c r="L209" t="s">
        <v>16</v>
      </c>
      <c r="M209">
        <v>55</v>
      </c>
      <c r="N209">
        <v>2</v>
      </c>
      <c r="O209">
        <v>0</v>
      </c>
      <c r="P209">
        <v>2.16</v>
      </c>
      <c r="Q209">
        <v>4.12</v>
      </c>
      <c r="R209" t="s">
        <v>9</v>
      </c>
      <c r="S209">
        <f>Sheet1[[#This Row],[Ship_date]]-Sheet1[[#This Row],[Order_date]]</f>
        <v>5</v>
      </c>
      <c r="T209">
        <f>Sheet1[[#This Row],[Quantity]]*Sheet1[[#This Row],[Sales]]</f>
        <v>110</v>
      </c>
      <c r="U209">
        <f>Sheet1[[#This Row],[Total Sales]]*Sheet1[[#This Row],[Discount]]</f>
        <v>0</v>
      </c>
      <c r="V209" s="4">
        <f>Sheet1[[#This Row],[Total Sales]]-Sheet1[[#This Row],[Total Sales]]*Sheet1[[#This Row],[Discount]]</f>
        <v>110</v>
      </c>
      <c r="W209" s="4">
        <f>Sheet1[[#This Row],[Quantity]]*Sheet1[[#This Row],[Profit]]</f>
        <v>4.32</v>
      </c>
      <c r="X209" s="5">
        <f>Sheet1[[#This Row],[Total Profit]]/Sheet1[[#This Row],[Sales After Discount]]</f>
        <v>3.9272727272727279E-2</v>
      </c>
      <c r="Y209" s="4">
        <f>Sheet1[[#This Row],[Shipping_cost]]*Sheet1[[#This Row],[Quantity]]</f>
        <v>8.24</v>
      </c>
      <c r="Z209" s="4">
        <f>Sheet1[[#This Row],[Total Profit]]-Sheet1[[#This Row],[Total Shipping Cost]]</f>
        <v>-3.92</v>
      </c>
      <c r="AA209" s="4" t="str">
        <f>IF(Sheet1[[#This Row],[Net Profit]]&gt;0,"Profit","Loss")</f>
        <v>Loss</v>
      </c>
    </row>
    <row r="210" spans="1:27" x14ac:dyDescent="0.25">
      <c r="A210" t="s">
        <v>374</v>
      </c>
      <c r="B210" s="1">
        <v>40558</v>
      </c>
      <c r="C210" s="1">
        <v>40564</v>
      </c>
      <c r="D210" t="s">
        <v>1</v>
      </c>
      <c r="E210" t="s">
        <v>171</v>
      </c>
      <c r="F210" t="s">
        <v>3</v>
      </c>
      <c r="G210" t="s">
        <v>375</v>
      </c>
      <c r="H210" t="s">
        <v>223</v>
      </c>
      <c r="I210" t="s">
        <v>6</v>
      </c>
      <c r="J210" t="s">
        <v>6</v>
      </c>
      <c r="K210" t="s">
        <v>32</v>
      </c>
      <c r="L210" t="s">
        <v>56</v>
      </c>
      <c r="M210">
        <v>45</v>
      </c>
      <c r="N210">
        <v>1</v>
      </c>
      <c r="O210">
        <v>0.7</v>
      </c>
      <c r="P210">
        <v>-56.856000000000002</v>
      </c>
      <c r="Q210">
        <v>3.43</v>
      </c>
      <c r="R210" t="s">
        <v>9</v>
      </c>
      <c r="S210">
        <f>Sheet1[[#This Row],[Ship_date]]-Sheet1[[#This Row],[Order_date]]</f>
        <v>6</v>
      </c>
      <c r="T210">
        <f>Sheet1[[#This Row],[Quantity]]*Sheet1[[#This Row],[Sales]]</f>
        <v>45</v>
      </c>
      <c r="U210">
        <f>Sheet1[[#This Row],[Total Sales]]*Sheet1[[#This Row],[Discount]]</f>
        <v>31.499999999999996</v>
      </c>
      <c r="V210" s="4">
        <f>Sheet1[[#This Row],[Total Sales]]-Sheet1[[#This Row],[Total Sales]]*Sheet1[[#This Row],[Discount]]</f>
        <v>13.500000000000004</v>
      </c>
      <c r="W210" s="4">
        <f>Sheet1[[#This Row],[Quantity]]*Sheet1[[#This Row],[Profit]]</f>
        <v>-56.856000000000002</v>
      </c>
      <c r="X210" s="5">
        <f>Sheet1[[#This Row],[Total Profit]]/Sheet1[[#This Row],[Sales After Discount]]</f>
        <v>-4.2115555555555542</v>
      </c>
      <c r="Y210" s="4">
        <f>Sheet1[[#This Row],[Shipping_cost]]*Sheet1[[#This Row],[Quantity]]</f>
        <v>3.43</v>
      </c>
      <c r="Z210" s="4">
        <f>Sheet1[[#This Row],[Total Profit]]-Sheet1[[#This Row],[Total Shipping Cost]]</f>
        <v>-60.286000000000001</v>
      </c>
      <c r="AA210" s="4" t="str">
        <f>IF(Sheet1[[#This Row],[Net Profit]]&gt;0,"Profit","Loss")</f>
        <v>Loss</v>
      </c>
    </row>
    <row r="211" spans="1:27" x14ac:dyDescent="0.25">
      <c r="A211" t="s">
        <v>374</v>
      </c>
      <c r="B211" s="1">
        <v>40558</v>
      </c>
      <c r="C211" s="1">
        <v>40564</v>
      </c>
      <c r="D211" t="s">
        <v>1</v>
      </c>
      <c r="E211" t="s">
        <v>171</v>
      </c>
      <c r="F211" t="s">
        <v>3</v>
      </c>
      <c r="G211" t="s">
        <v>375</v>
      </c>
      <c r="H211" t="s">
        <v>223</v>
      </c>
      <c r="I211" t="s">
        <v>6</v>
      </c>
      <c r="J211" t="s">
        <v>6</v>
      </c>
      <c r="K211" t="s">
        <v>7</v>
      </c>
      <c r="L211" t="s">
        <v>97</v>
      </c>
      <c r="M211">
        <v>19</v>
      </c>
      <c r="N211">
        <v>6</v>
      </c>
      <c r="O211">
        <v>0.7</v>
      </c>
      <c r="P211">
        <v>-38.898000000000003</v>
      </c>
      <c r="Q211">
        <v>1.46</v>
      </c>
      <c r="R211" t="s">
        <v>9</v>
      </c>
      <c r="S211">
        <f>Sheet1[[#This Row],[Ship_date]]-Sheet1[[#This Row],[Order_date]]</f>
        <v>6</v>
      </c>
      <c r="T211">
        <f>Sheet1[[#This Row],[Quantity]]*Sheet1[[#This Row],[Sales]]</f>
        <v>114</v>
      </c>
      <c r="U211">
        <f>Sheet1[[#This Row],[Total Sales]]*Sheet1[[#This Row],[Discount]]</f>
        <v>79.8</v>
      </c>
      <c r="V211" s="4">
        <f>Sheet1[[#This Row],[Total Sales]]-Sheet1[[#This Row],[Total Sales]]*Sheet1[[#This Row],[Discount]]</f>
        <v>34.200000000000003</v>
      </c>
      <c r="W211" s="4">
        <f>Sheet1[[#This Row],[Quantity]]*Sheet1[[#This Row],[Profit]]</f>
        <v>-233.38800000000003</v>
      </c>
      <c r="X211" s="5">
        <f>Sheet1[[#This Row],[Total Profit]]/Sheet1[[#This Row],[Sales After Discount]]</f>
        <v>-6.8242105263157899</v>
      </c>
      <c r="Y211" s="4">
        <f>Sheet1[[#This Row],[Shipping_cost]]*Sheet1[[#This Row],[Quantity]]</f>
        <v>8.76</v>
      </c>
      <c r="Z211" s="4">
        <f>Sheet1[[#This Row],[Total Profit]]-Sheet1[[#This Row],[Total Shipping Cost]]</f>
        <v>-242.14800000000002</v>
      </c>
      <c r="AA211" s="4" t="str">
        <f>IF(Sheet1[[#This Row],[Net Profit]]&gt;0,"Profit","Loss")</f>
        <v>Loss</v>
      </c>
    </row>
    <row r="212" spans="1:27" x14ac:dyDescent="0.25">
      <c r="A212" t="s">
        <v>374</v>
      </c>
      <c r="B212" s="1">
        <v>40558</v>
      </c>
      <c r="C212" s="1">
        <v>40564</v>
      </c>
      <c r="D212" t="s">
        <v>1</v>
      </c>
      <c r="E212" t="s">
        <v>171</v>
      </c>
      <c r="F212" t="s">
        <v>3</v>
      </c>
      <c r="G212" t="s">
        <v>375</v>
      </c>
      <c r="H212" t="s">
        <v>223</v>
      </c>
      <c r="I212" t="s">
        <v>6</v>
      </c>
      <c r="J212" t="s">
        <v>6</v>
      </c>
      <c r="K212" t="s">
        <v>7</v>
      </c>
      <c r="L212" t="s">
        <v>91</v>
      </c>
      <c r="M212">
        <v>15</v>
      </c>
      <c r="N212">
        <v>2</v>
      </c>
      <c r="O212">
        <v>0.7</v>
      </c>
      <c r="P212">
        <v>-14.754</v>
      </c>
      <c r="Q212">
        <v>1.02</v>
      </c>
      <c r="R212" t="s">
        <v>9</v>
      </c>
      <c r="S212">
        <f>Sheet1[[#This Row],[Ship_date]]-Sheet1[[#This Row],[Order_date]]</f>
        <v>6</v>
      </c>
      <c r="T212">
        <f>Sheet1[[#This Row],[Quantity]]*Sheet1[[#This Row],[Sales]]</f>
        <v>30</v>
      </c>
      <c r="U212">
        <f>Sheet1[[#This Row],[Total Sales]]*Sheet1[[#This Row],[Discount]]</f>
        <v>21</v>
      </c>
      <c r="V212" s="4">
        <f>Sheet1[[#This Row],[Total Sales]]-Sheet1[[#This Row],[Total Sales]]*Sheet1[[#This Row],[Discount]]</f>
        <v>9</v>
      </c>
      <c r="W212" s="4">
        <f>Sheet1[[#This Row],[Quantity]]*Sheet1[[#This Row],[Profit]]</f>
        <v>-29.507999999999999</v>
      </c>
      <c r="X212" s="5">
        <f>Sheet1[[#This Row],[Total Profit]]/Sheet1[[#This Row],[Sales After Discount]]</f>
        <v>-3.2786666666666666</v>
      </c>
      <c r="Y212" s="4">
        <f>Sheet1[[#This Row],[Shipping_cost]]*Sheet1[[#This Row],[Quantity]]</f>
        <v>2.04</v>
      </c>
      <c r="Z212" s="4">
        <f>Sheet1[[#This Row],[Total Profit]]-Sheet1[[#This Row],[Total Shipping Cost]]</f>
        <v>-31.547999999999998</v>
      </c>
      <c r="AA212" s="4" t="str">
        <f>IF(Sheet1[[#This Row],[Net Profit]]&gt;0,"Profit","Loss")</f>
        <v>Loss</v>
      </c>
    </row>
    <row r="213" spans="1:27" x14ac:dyDescent="0.25">
      <c r="A213" t="s">
        <v>360</v>
      </c>
      <c r="B213" s="1">
        <v>40558</v>
      </c>
      <c r="C213" s="1">
        <v>40563</v>
      </c>
      <c r="D213" t="s">
        <v>18</v>
      </c>
      <c r="E213" t="s">
        <v>361</v>
      </c>
      <c r="F213" t="s">
        <v>43</v>
      </c>
      <c r="G213" t="s">
        <v>304</v>
      </c>
      <c r="H213" t="s">
        <v>305</v>
      </c>
      <c r="I213" t="s">
        <v>29</v>
      </c>
      <c r="J213" t="s">
        <v>76</v>
      </c>
      <c r="K213" t="s">
        <v>7</v>
      </c>
      <c r="L213" t="s">
        <v>87</v>
      </c>
      <c r="M213">
        <v>21</v>
      </c>
      <c r="N213">
        <v>2</v>
      </c>
      <c r="O213">
        <v>0</v>
      </c>
      <c r="P213">
        <v>7.44</v>
      </c>
      <c r="Q213">
        <v>0.76</v>
      </c>
      <c r="R213" t="s">
        <v>9</v>
      </c>
      <c r="S213">
        <f>Sheet1[[#This Row],[Ship_date]]-Sheet1[[#This Row],[Order_date]]</f>
        <v>5</v>
      </c>
      <c r="T213">
        <f>Sheet1[[#This Row],[Quantity]]*Sheet1[[#This Row],[Sales]]</f>
        <v>42</v>
      </c>
      <c r="U213">
        <f>Sheet1[[#This Row],[Total Sales]]*Sheet1[[#This Row],[Discount]]</f>
        <v>0</v>
      </c>
      <c r="V213" s="4">
        <f>Sheet1[[#This Row],[Total Sales]]-Sheet1[[#This Row],[Total Sales]]*Sheet1[[#This Row],[Discount]]</f>
        <v>42</v>
      </c>
      <c r="W213" s="4">
        <f>Sheet1[[#This Row],[Quantity]]*Sheet1[[#This Row],[Profit]]</f>
        <v>14.88</v>
      </c>
      <c r="X213" s="5">
        <f>Sheet1[[#This Row],[Total Profit]]/Sheet1[[#This Row],[Sales After Discount]]</f>
        <v>0.35428571428571431</v>
      </c>
      <c r="Y213" s="4">
        <f>Sheet1[[#This Row],[Shipping_cost]]*Sheet1[[#This Row],[Quantity]]</f>
        <v>1.52</v>
      </c>
      <c r="Z213" s="4">
        <f>Sheet1[[#This Row],[Total Profit]]-Sheet1[[#This Row],[Total Shipping Cost]]</f>
        <v>13.360000000000001</v>
      </c>
      <c r="AA213" s="4" t="str">
        <f>IF(Sheet1[[#This Row],[Net Profit]]&gt;0,"Profit","Loss")</f>
        <v>Profit</v>
      </c>
    </row>
    <row r="214" spans="1:27" x14ac:dyDescent="0.25">
      <c r="A214" t="s">
        <v>376</v>
      </c>
      <c r="B214" s="1">
        <v>40559</v>
      </c>
      <c r="C214" s="1">
        <v>40561</v>
      </c>
      <c r="D214" t="s">
        <v>142</v>
      </c>
      <c r="E214" t="s">
        <v>377</v>
      </c>
      <c r="F214" t="s">
        <v>3</v>
      </c>
      <c r="G214" t="s">
        <v>200</v>
      </c>
      <c r="H214" t="s">
        <v>126</v>
      </c>
      <c r="I214" t="s">
        <v>127</v>
      </c>
      <c r="J214" t="s">
        <v>102</v>
      </c>
      <c r="K214" t="s">
        <v>38</v>
      </c>
      <c r="L214" t="s">
        <v>82</v>
      </c>
      <c r="M214">
        <v>150</v>
      </c>
      <c r="N214">
        <v>5</v>
      </c>
      <c r="O214">
        <v>0</v>
      </c>
      <c r="P214">
        <v>65.977999999999994</v>
      </c>
      <c r="Q214">
        <v>45.24</v>
      </c>
      <c r="R214" t="s">
        <v>45</v>
      </c>
      <c r="S214">
        <f>Sheet1[[#This Row],[Ship_date]]-Sheet1[[#This Row],[Order_date]]</f>
        <v>2</v>
      </c>
      <c r="T214">
        <f>Sheet1[[#This Row],[Quantity]]*Sheet1[[#This Row],[Sales]]</f>
        <v>750</v>
      </c>
      <c r="U214">
        <f>Sheet1[[#This Row],[Total Sales]]*Sheet1[[#This Row],[Discount]]</f>
        <v>0</v>
      </c>
      <c r="V214" s="4">
        <f>Sheet1[[#This Row],[Total Sales]]-Sheet1[[#This Row],[Total Sales]]*Sheet1[[#This Row],[Discount]]</f>
        <v>750</v>
      </c>
      <c r="W214" s="4">
        <f>Sheet1[[#This Row],[Quantity]]*Sheet1[[#This Row],[Profit]]</f>
        <v>329.89</v>
      </c>
      <c r="X214" s="5">
        <f>Sheet1[[#This Row],[Total Profit]]/Sheet1[[#This Row],[Sales After Discount]]</f>
        <v>0.43985333333333332</v>
      </c>
      <c r="Y214" s="4">
        <f>Sheet1[[#This Row],[Shipping_cost]]*Sheet1[[#This Row],[Quantity]]</f>
        <v>226.20000000000002</v>
      </c>
      <c r="Z214" s="4">
        <f>Sheet1[[#This Row],[Total Profit]]-Sheet1[[#This Row],[Total Shipping Cost]]</f>
        <v>103.68999999999997</v>
      </c>
      <c r="AA214" s="4" t="str">
        <f>IF(Sheet1[[#This Row],[Net Profit]]&gt;0,"Profit","Loss")</f>
        <v>Profit</v>
      </c>
    </row>
    <row r="215" spans="1:27" x14ac:dyDescent="0.25">
      <c r="A215" t="s">
        <v>378</v>
      </c>
      <c r="B215" s="1">
        <v>40560</v>
      </c>
      <c r="C215" s="1">
        <v>40565</v>
      </c>
      <c r="D215" t="s">
        <v>1</v>
      </c>
      <c r="E215" t="s">
        <v>379</v>
      </c>
      <c r="F215" t="s">
        <v>43</v>
      </c>
      <c r="G215" t="s">
        <v>380</v>
      </c>
      <c r="H215" t="s">
        <v>381</v>
      </c>
      <c r="I215" t="s">
        <v>75</v>
      </c>
      <c r="J215" t="s">
        <v>76</v>
      </c>
      <c r="K215" t="s">
        <v>38</v>
      </c>
      <c r="L215" t="s">
        <v>50</v>
      </c>
      <c r="M215">
        <v>1412</v>
      </c>
      <c r="N215">
        <v>11</v>
      </c>
      <c r="O215">
        <v>2E-3</v>
      </c>
      <c r="P215">
        <v>251.71124</v>
      </c>
      <c r="Q215">
        <v>159.52000000000001</v>
      </c>
      <c r="R215" t="s">
        <v>23</v>
      </c>
      <c r="S215">
        <f>Sheet1[[#This Row],[Ship_date]]-Sheet1[[#This Row],[Order_date]]</f>
        <v>5</v>
      </c>
      <c r="T215">
        <f>Sheet1[[#This Row],[Quantity]]*Sheet1[[#This Row],[Sales]]</f>
        <v>15532</v>
      </c>
      <c r="U215">
        <f>Sheet1[[#This Row],[Total Sales]]*Sheet1[[#This Row],[Discount]]</f>
        <v>31.064</v>
      </c>
      <c r="V215" s="4">
        <f>Sheet1[[#This Row],[Total Sales]]-Sheet1[[#This Row],[Total Sales]]*Sheet1[[#This Row],[Discount]]</f>
        <v>15500.936</v>
      </c>
      <c r="W215" s="4">
        <f>Sheet1[[#This Row],[Quantity]]*Sheet1[[#This Row],[Profit]]</f>
        <v>2768.8236400000001</v>
      </c>
      <c r="X215" s="5">
        <f>Sheet1[[#This Row],[Total Profit]]/Sheet1[[#This Row],[Sales After Discount]]</f>
        <v>0.17862299670161855</v>
      </c>
      <c r="Y215" s="4">
        <f>Sheet1[[#This Row],[Shipping_cost]]*Sheet1[[#This Row],[Quantity]]</f>
        <v>1754.72</v>
      </c>
      <c r="Z215" s="4">
        <f>Sheet1[[#This Row],[Total Profit]]-Sheet1[[#This Row],[Total Shipping Cost]]</f>
        <v>1014.10364</v>
      </c>
      <c r="AA215" s="4" t="str">
        <f>IF(Sheet1[[#This Row],[Net Profit]]&gt;0,"Profit","Loss")</f>
        <v>Profit</v>
      </c>
    </row>
    <row r="216" spans="1:27" x14ac:dyDescent="0.25">
      <c r="A216" t="s">
        <v>382</v>
      </c>
      <c r="B216" s="1">
        <v>40560</v>
      </c>
      <c r="C216" s="1">
        <v>40562</v>
      </c>
      <c r="D216" t="s">
        <v>18</v>
      </c>
      <c r="E216" t="s">
        <v>383</v>
      </c>
      <c r="F216" t="s">
        <v>43</v>
      </c>
      <c r="G216" t="s">
        <v>153</v>
      </c>
      <c r="H216" t="s">
        <v>115</v>
      </c>
      <c r="I216" t="s">
        <v>29</v>
      </c>
      <c r="J216" t="s">
        <v>76</v>
      </c>
      <c r="K216" t="s">
        <v>7</v>
      </c>
      <c r="L216" t="s">
        <v>91</v>
      </c>
      <c r="M216">
        <v>300</v>
      </c>
      <c r="N216">
        <v>11</v>
      </c>
      <c r="O216">
        <v>0</v>
      </c>
      <c r="P216">
        <v>50.82</v>
      </c>
      <c r="Q216">
        <v>38.700000000000003</v>
      </c>
      <c r="R216" t="s">
        <v>23</v>
      </c>
      <c r="S216">
        <f>Sheet1[[#This Row],[Ship_date]]-Sheet1[[#This Row],[Order_date]]</f>
        <v>2</v>
      </c>
      <c r="T216">
        <f>Sheet1[[#This Row],[Quantity]]*Sheet1[[#This Row],[Sales]]</f>
        <v>3300</v>
      </c>
      <c r="U216">
        <f>Sheet1[[#This Row],[Total Sales]]*Sheet1[[#This Row],[Discount]]</f>
        <v>0</v>
      </c>
      <c r="V216" s="4">
        <f>Sheet1[[#This Row],[Total Sales]]-Sheet1[[#This Row],[Total Sales]]*Sheet1[[#This Row],[Discount]]</f>
        <v>3300</v>
      </c>
      <c r="W216" s="4">
        <f>Sheet1[[#This Row],[Quantity]]*Sheet1[[#This Row],[Profit]]</f>
        <v>559.02</v>
      </c>
      <c r="X216" s="5">
        <f>Sheet1[[#This Row],[Total Profit]]/Sheet1[[#This Row],[Sales After Discount]]</f>
        <v>0.1694</v>
      </c>
      <c r="Y216" s="4">
        <f>Sheet1[[#This Row],[Shipping_cost]]*Sheet1[[#This Row],[Quantity]]</f>
        <v>425.70000000000005</v>
      </c>
      <c r="Z216" s="4">
        <f>Sheet1[[#This Row],[Total Profit]]-Sheet1[[#This Row],[Total Shipping Cost]]</f>
        <v>133.31999999999994</v>
      </c>
      <c r="AA216" s="4" t="str">
        <f>IF(Sheet1[[#This Row],[Net Profit]]&gt;0,"Profit","Loss")</f>
        <v>Profit</v>
      </c>
    </row>
    <row r="217" spans="1:27" x14ac:dyDescent="0.25">
      <c r="A217" t="s">
        <v>384</v>
      </c>
      <c r="B217" s="1">
        <v>40560</v>
      </c>
      <c r="C217" s="1">
        <v>40562</v>
      </c>
      <c r="D217" t="s">
        <v>18</v>
      </c>
      <c r="E217" t="s">
        <v>385</v>
      </c>
      <c r="F217" t="s">
        <v>3</v>
      </c>
      <c r="G217" t="s">
        <v>172</v>
      </c>
      <c r="H217" t="s">
        <v>126</v>
      </c>
      <c r="I217" t="s">
        <v>127</v>
      </c>
      <c r="J217" t="s">
        <v>173</v>
      </c>
      <c r="K217" t="s">
        <v>32</v>
      </c>
      <c r="L217" t="s">
        <v>33</v>
      </c>
      <c r="M217">
        <v>127</v>
      </c>
      <c r="N217">
        <v>6</v>
      </c>
      <c r="O217">
        <v>0.2</v>
      </c>
      <c r="P217">
        <v>28.598400000000002</v>
      </c>
      <c r="Q217">
        <v>36.4</v>
      </c>
      <c r="R217" t="s">
        <v>45</v>
      </c>
      <c r="S217">
        <f>Sheet1[[#This Row],[Ship_date]]-Sheet1[[#This Row],[Order_date]]</f>
        <v>2</v>
      </c>
      <c r="T217">
        <f>Sheet1[[#This Row],[Quantity]]*Sheet1[[#This Row],[Sales]]</f>
        <v>762</v>
      </c>
      <c r="U217">
        <f>Sheet1[[#This Row],[Total Sales]]*Sheet1[[#This Row],[Discount]]</f>
        <v>152.4</v>
      </c>
      <c r="V217" s="4">
        <f>Sheet1[[#This Row],[Total Sales]]-Sheet1[[#This Row],[Total Sales]]*Sheet1[[#This Row],[Discount]]</f>
        <v>609.6</v>
      </c>
      <c r="W217" s="4">
        <f>Sheet1[[#This Row],[Quantity]]*Sheet1[[#This Row],[Profit]]</f>
        <v>171.59040000000002</v>
      </c>
      <c r="X217" s="5">
        <f>Sheet1[[#This Row],[Total Profit]]/Sheet1[[#This Row],[Sales After Discount]]</f>
        <v>0.28148031496062992</v>
      </c>
      <c r="Y217" s="4">
        <f>Sheet1[[#This Row],[Shipping_cost]]*Sheet1[[#This Row],[Quantity]]</f>
        <v>218.39999999999998</v>
      </c>
      <c r="Z217" s="4">
        <f>Sheet1[[#This Row],[Total Profit]]-Sheet1[[#This Row],[Total Shipping Cost]]</f>
        <v>-46.809599999999961</v>
      </c>
      <c r="AA217" s="4" t="str">
        <f>IF(Sheet1[[#This Row],[Net Profit]]&gt;0,"Profit","Loss")</f>
        <v>Loss</v>
      </c>
    </row>
    <row r="218" spans="1:27" x14ac:dyDescent="0.25">
      <c r="A218" t="s">
        <v>384</v>
      </c>
      <c r="B218" s="1">
        <v>40560</v>
      </c>
      <c r="C218" s="1">
        <v>40562</v>
      </c>
      <c r="D218" t="s">
        <v>18</v>
      </c>
      <c r="E218" t="s">
        <v>385</v>
      </c>
      <c r="F218" t="s">
        <v>3</v>
      </c>
      <c r="G218" t="s">
        <v>172</v>
      </c>
      <c r="H218" t="s">
        <v>126</v>
      </c>
      <c r="I218" t="s">
        <v>127</v>
      </c>
      <c r="J218" t="s">
        <v>173</v>
      </c>
      <c r="K218" t="s">
        <v>38</v>
      </c>
      <c r="L218" t="s">
        <v>77</v>
      </c>
      <c r="M218">
        <v>124</v>
      </c>
      <c r="N218">
        <v>3</v>
      </c>
      <c r="O218">
        <v>0.4</v>
      </c>
      <c r="P218">
        <v>-31.05</v>
      </c>
      <c r="Q218">
        <v>26.12</v>
      </c>
      <c r="R218" t="s">
        <v>45</v>
      </c>
      <c r="S218">
        <f>Sheet1[[#This Row],[Ship_date]]-Sheet1[[#This Row],[Order_date]]</f>
        <v>2</v>
      </c>
      <c r="T218">
        <f>Sheet1[[#This Row],[Quantity]]*Sheet1[[#This Row],[Sales]]</f>
        <v>372</v>
      </c>
      <c r="U218">
        <f>Sheet1[[#This Row],[Total Sales]]*Sheet1[[#This Row],[Discount]]</f>
        <v>148.80000000000001</v>
      </c>
      <c r="V218" s="4">
        <f>Sheet1[[#This Row],[Total Sales]]-Sheet1[[#This Row],[Total Sales]]*Sheet1[[#This Row],[Discount]]</f>
        <v>223.2</v>
      </c>
      <c r="W218" s="4">
        <f>Sheet1[[#This Row],[Quantity]]*Sheet1[[#This Row],[Profit]]</f>
        <v>-93.15</v>
      </c>
      <c r="X218" s="5">
        <f>Sheet1[[#This Row],[Total Profit]]/Sheet1[[#This Row],[Sales After Discount]]</f>
        <v>-0.41733870967741943</v>
      </c>
      <c r="Y218" s="4">
        <f>Sheet1[[#This Row],[Shipping_cost]]*Sheet1[[#This Row],[Quantity]]</f>
        <v>78.36</v>
      </c>
      <c r="Z218" s="4">
        <f>Sheet1[[#This Row],[Total Profit]]-Sheet1[[#This Row],[Total Shipping Cost]]</f>
        <v>-171.51</v>
      </c>
      <c r="AA218" s="4" t="str">
        <f>IF(Sheet1[[#This Row],[Net Profit]]&gt;0,"Profit","Loss")</f>
        <v>Loss</v>
      </c>
    </row>
    <row r="219" spans="1:27" x14ac:dyDescent="0.25">
      <c r="A219" t="s">
        <v>384</v>
      </c>
      <c r="B219" s="1">
        <v>40560</v>
      </c>
      <c r="C219" s="1">
        <v>40562</v>
      </c>
      <c r="D219" t="s">
        <v>18</v>
      </c>
      <c r="E219" t="s">
        <v>385</v>
      </c>
      <c r="F219" t="s">
        <v>3</v>
      </c>
      <c r="G219" t="s">
        <v>172</v>
      </c>
      <c r="H219" t="s">
        <v>126</v>
      </c>
      <c r="I219" t="s">
        <v>127</v>
      </c>
      <c r="J219" t="s">
        <v>173</v>
      </c>
      <c r="K219" t="s">
        <v>7</v>
      </c>
      <c r="L219" t="s">
        <v>87</v>
      </c>
      <c r="M219">
        <v>30</v>
      </c>
      <c r="N219">
        <v>3</v>
      </c>
      <c r="O219">
        <v>0.2</v>
      </c>
      <c r="P219">
        <v>10.1493</v>
      </c>
      <c r="Q219">
        <v>10.17</v>
      </c>
      <c r="R219" t="s">
        <v>45</v>
      </c>
      <c r="S219">
        <f>Sheet1[[#This Row],[Ship_date]]-Sheet1[[#This Row],[Order_date]]</f>
        <v>2</v>
      </c>
      <c r="T219">
        <f>Sheet1[[#This Row],[Quantity]]*Sheet1[[#This Row],[Sales]]</f>
        <v>90</v>
      </c>
      <c r="U219">
        <f>Sheet1[[#This Row],[Total Sales]]*Sheet1[[#This Row],[Discount]]</f>
        <v>18</v>
      </c>
      <c r="V219" s="4">
        <f>Sheet1[[#This Row],[Total Sales]]-Sheet1[[#This Row],[Total Sales]]*Sheet1[[#This Row],[Discount]]</f>
        <v>72</v>
      </c>
      <c r="W219" s="4">
        <f>Sheet1[[#This Row],[Quantity]]*Sheet1[[#This Row],[Profit]]</f>
        <v>30.447900000000001</v>
      </c>
      <c r="X219" s="5">
        <f>Sheet1[[#This Row],[Total Profit]]/Sheet1[[#This Row],[Sales After Discount]]</f>
        <v>0.42288750000000003</v>
      </c>
      <c r="Y219" s="4">
        <f>Sheet1[[#This Row],[Shipping_cost]]*Sheet1[[#This Row],[Quantity]]</f>
        <v>30.509999999999998</v>
      </c>
      <c r="Z219" s="4">
        <f>Sheet1[[#This Row],[Total Profit]]-Sheet1[[#This Row],[Total Shipping Cost]]</f>
        <v>-6.209999999999738E-2</v>
      </c>
      <c r="AA219" s="4" t="str">
        <f>IF(Sheet1[[#This Row],[Net Profit]]&gt;0,"Profit","Loss")</f>
        <v>Loss</v>
      </c>
    </row>
    <row r="220" spans="1:27" x14ac:dyDescent="0.25">
      <c r="A220" t="s">
        <v>382</v>
      </c>
      <c r="B220" s="1">
        <v>40560</v>
      </c>
      <c r="C220" s="1">
        <v>40562</v>
      </c>
      <c r="D220" t="s">
        <v>18</v>
      </c>
      <c r="E220" t="s">
        <v>383</v>
      </c>
      <c r="F220" t="s">
        <v>43</v>
      </c>
      <c r="G220" t="s">
        <v>153</v>
      </c>
      <c r="H220" t="s">
        <v>115</v>
      </c>
      <c r="I220" t="s">
        <v>29</v>
      </c>
      <c r="J220" t="s">
        <v>76</v>
      </c>
      <c r="K220" t="s">
        <v>7</v>
      </c>
      <c r="L220" t="s">
        <v>8</v>
      </c>
      <c r="M220">
        <v>84</v>
      </c>
      <c r="N220">
        <v>5</v>
      </c>
      <c r="O220">
        <v>0.1</v>
      </c>
      <c r="P220">
        <v>33.674999999999997</v>
      </c>
      <c r="Q220">
        <v>7.33</v>
      </c>
      <c r="R220" t="s">
        <v>23</v>
      </c>
      <c r="S220">
        <f>Sheet1[[#This Row],[Ship_date]]-Sheet1[[#This Row],[Order_date]]</f>
        <v>2</v>
      </c>
      <c r="T220">
        <f>Sheet1[[#This Row],[Quantity]]*Sheet1[[#This Row],[Sales]]</f>
        <v>420</v>
      </c>
      <c r="U220">
        <f>Sheet1[[#This Row],[Total Sales]]*Sheet1[[#This Row],[Discount]]</f>
        <v>42</v>
      </c>
      <c r="V220" s="4">
        <f>Sheet1[[#This Row],[Total Sales]]-Sheet1[[#This Row],[Total Sales]]*Sheet1[[#This Row],[Discount]]</f>
        <v>378</v>
      </c>
      <c r="W220" s="4">
        <f>Sheet1[[#This Row],[Quantity]]*Sheet1[[#This Row],[Profit]]</f>
        <v>168.375</v>
      </c>
      <c r="X220" s="5">
        <f>Sheet1[[#This Row],[Total Profit]]/Sheet1[[#This Row],[Sales After Discount]]</f>
        <v>0.44543650793650796</v>
      </c>
      <c r="Y220" s="4">
        <f>Sheet1[[#This Row],[Shipping_cost]]*Sheet1[[#This Row],[Quantity]]</f>
        <v>36.65</v>
      </c>
      <c r="Z220" s="4">
        <f>Sheet1[[#This Row],[Total Profit]]-Sheet1[[#This Row],[Total Shipping Cost]]</f>
        <v>131.72499999999999</v>
      </c>
      <c r="AA220" s="4" t="str">
        <f>IF(Sheet1[[#This Row],[Net Profit]]&gt;0,"Profit","Loss")</f>
        <v>Profit</v>
      </c>
    </row>
    <row r="221" spans="1:27" x14ac:dyDescent="0.25">
      <c r="A221" t="s">
        <v>382</v>
      </c>
      <c r="B221" s="1">
        <v>40560</v>
      </c>
      <c r="C221" s="1">
        <v>40562</v>
      </c>
      <c r="D221" t="s">
        <v>18</v>
      </c>
      <c r="E221" t="s">
        <v>383</v>
      </c>
      <c r="F221" t="s">
        <v>43</v>
      </c>
      <c r="G221" t="s">
        <v>153</v>
      </c>
      <c r="H221" t="s">
        <v>115</v>
      </c>
      <c r="I221" t="s">
        <v>29</v>
      </c>
      <c r="J221" t="s">
        <v>76</v>
      </c>
      <c r="K221" t="s">
        <v>7</v>
      </c>
      <c r="L221" t="s">
        <v>8</v>
      </c>
      <c r="M221">
        <v>95</v>
      </c>
      <c r="N221">
        <v>4</v>
      </c>
      <c r="O221">
        <v>0.1</v>
      </c>
      <c r="P221">
        <v>42.24</v>
      </c>
      <c r="Q221">
        <v>6.56</v>
      </c>
      <c r="R221" t="s">
        <v>23</v>
      </c>
      <c r="S221">
        <f>Sheet1[[#This Row],[Ship_date]]-Sheet1[[#This Row],[Order_date]]</f>
        <v>2</v>
      </c>
      <c r="T221">
        <f>Sheet1[[#This Row],[Quantity]]*Sheet1[[#This Row],[Sales]]</f>
        <v>380</v>
      </c>
      <c r="U221">
        <f>Sheet1[[#This Row],[Total Sales]]*Sheet1[[#This Row],[Discount]]</f>
        <v>38</v>
      </c>
      <c r="V221" s="4">
        <f>Sheet1[[#This Row],[Total Sales]]-Sheet1[[#This Row],[Total Sales]]*Sheet1[[#This Row],[Discount]]</f>
        <v>342</v>
      </c>
      <c r="W221" s="4">
        <f>Sheet1[[#This Row],[Quantity]]*Sheet1[[#This Row],[Profit]]</f>
        <v>168.96</v>
      </c>
      <c r="X221" s="5">
        <f>Sheet1[[#This Row],[Total Profit]]/Sheet1[[#This Row],[Sales After Discount]]</f>
        <v>0.49403508771929827</v>
      </c>
      <c r="Y221" s="4">
        <f>Sheet1[[#This Row],[Shipping_cost]]*Sheet1[[#This Row],[Quantity]]</f>
        <v>26.24</v>
      </c>
      <c r="Z221" s="4">
        <f>Sheet1[[#This Row],[Total Profit]]-Sheet1[[#This Row],[Total Shipping Cost]]</f>
        <v>142.72</v>
      </c>
      <c r="AA221" s="4" t="str">
        <f>IF(Sheet1[[#This Row],[Net Profit]]&gt;0,"Profit","Loss")</f>
        <v>Profit</v>
      </c>
    </row>
    <row r="222" spans="1:27" x14ac:dyDescent="0.25">
      <c r="A222" t="s">
        <v>382</v>
      </c>
      <c r="B222" s="1">
        <v>40560</v>
      </c>
      <c r="C222" s="1">
        <v>40562</v>
      </c>
      <c r="D222" t="s">
        <v>18</v>
      </c>
      <c r="E222" t="s">
        <v>383</v>
      </c>
      <c r="F222" t="s">
        <v>43</v>
      </c>
      <c r="G222" t="s">
        <v>153</v>
      </c>
      <c r="H222" t="s">
        <v>115</v>
      </c>
      <c r="I222" t="s">
        <v>29</v>
      </c>
      <c r="J222" t="s">
        <v>76</v>
      </c>
      <c r="K222" t="s">
        <v>7</v>
      </c>
      <c r="L222" t="s">
        <v>8</v>
      </c>
      <c r="M222">
        <v>46</v>
      </c>
      <c r="N222">
        <v>3</v>
      </c>
      <c r="O222">
        <v>0.1</v>
      </c>
      <c r="P222">
        <v>18.846</v>
      </c>
      <c r="Q222">
        <v>6.46</v>
      </c>
      <c r="R222" t="s">
        <v>23</v>
      </c>
      <c r="S222">
        <f>Sheet1[[#This Row],[Ship_date]]-Sheet1[[#This Row],[Order_date]]</f>
        <v>2</v>
      </c>
      <c r="T222">
        <f>Sheet1[[#This Row],[Quantity]]*Sheet1[[#This Row],[Sales]]</f>
        <v>138</v>
      </c>
      <c r="U222">
        <f>Sheet1[[#This Row],[Total Sales]]*Sheet1[[#This Row],[Discount]]</f>
        <v>13.8</v>
      </c>
      <c r="V222" s="4">
        <f>Sheet1[[#This Row],[Total Sales]]-Sheet1[[#This Row],[Total Sales]]*Sheet1[[#This Row],[Discount]]</f>
        <v>124.2</v>
      </c>
      <c r="W222" s="4">
        <f>Sheet1[[#This Row],[Quantity]]*Sheet1[[#This Row],[Profit]]</f>
        <v>56.537999999999997</v>
      </c>
      <c r="X222" s="5">
        <f>Sheet1[[#This Row],[Total Profit]]/Sheet1[[#This Row],[Sales After Discount]]</f>
        <v>0.4552173913043478</v>
      </c>
      <c r="Y222" s="4">
        <f>Sheet1[[#This Row],[Shipping_cost]]*Sheet1[[#This Row],[Quantity]]</f>
        <v>19.38</v>
      </c>
      <c r="Z222" s="4">
        <f>Sheet1[[#This Row],[Total Profit]]-Sheet1[[#This Row],[Total Shipping Cost]]</f>
        <v>37.158000000000001</v>
      </c>
      <c r="AA222" s="4" t="str">
        <f>IF(Sheet1[[#This Row],[Net Profit]]&gt;0,"Profit","Loss")</f>
        <v>Profit</v>
      </c>
    </row>
    <row r="223" spans="1:27" x14ac:dyDescent="0.25">
      <c r="A223" t="s">
        <v>386</v>
      </c>
      <c r="B223" s="1">
        <v>40560</v>
      </c>
      <c r="C223" s="1">
        <v>40561</v>
      </c>
      <c r="D223" t="s">
        <v>142</v>
      </c>
      <c r="E223" t="s">
        <v>387</v>
      </c>
      <c r="F223" t="s">
        <v>3</v>
      </c>
      <c r="G223" t="s">
        <v>388</v>
      </c>
      <c r="H223" t="s">
        <v>13</v>
      </c>
      <c r="I223" t="s">
        <v>14</v>
      </c>
      <c r="J223" t="s">
        <v>15</v>
      </c>
      <c r="K223" t="s">
        <v>7</v>
      </c>
      <c r="L223" t="s">
        <v>137</v>
      </c>
      <c r="M223">
        <v>37</v>
      </c>
      <c r="N223">
        <v>4</v>
      </c>
      <c r="O223">
        <v>0.4</v>
      </c>
      <c r="P223">
        <v>-9.2880000000000003</v>
      </c>
      <c r="Q223">
        <v>5.48</v>
      </c>
      <c r="R223" t="s">
        <v>23</v>
      </c>
      <c r="S223">
        <f>Sheet1[[#This Row],[Ship_date]]-Sheet1[[#This Row],[Order_date]]</f>
        <v>1</v>
      </c>
      <c r="T223">
        <f>Sheet1[[#This Row],[Quantity]]*Sheet1[[#This Row],[Sales]]</f>
        <v>148</v>
      </c>
      <c r="U223">
        <f>Sheet1[[#This Row],[Total Sales]]*Sheet1[[#This Row],[Discount]]</f>
        <v>59.2</v>
      </c>
      <c r="V223" s="4">
        <f>Sheet1[[#This Row],[Total Sales]]-Sheet1[[#This Row],[Total Sales]]*Sheet1[[#This Row],[Discount]]</f>
        <v>88.8</v>
      </c>
      <c r="W223" s="4">
        <f>Sheet1[[#This Row],[Quantity]]*Sheet1[[#This Row],[Profit]]</f>
        <v>-37.152000000000001</v>
      </c>
      <c r="X223" s="5">
        <f>Sheet1[[#This Row],[Total Profit]]/Sheet1[[#This Row],[Sales After Discount]]</f>
        <v>-0.41837837837837838</v>
      </c>
      <c r="Y223" s="4">
        <f>Sheet1[[#This Row],[Shipping_cost]]*Sheet1[[#This Row],[Quantity]]</f>
        <v>21.92</v>
      </c>
      <c r="Z223" s="4">
        <f>Sheet1[[#This Row],[Total Profit]]-Sheet1[[#This Row],[Total Shipping Cost]]</f>
        <v>-59.072000000000003</v>
      </c>
      <c r="AA223" s="4" t="str">
        <f>IF(Sheet1[[#This Row],[Net Profit]]&gt;0,"Profit","Loss")</f>
        <v>Loss</v>
      </c>
    </row>
    <row r="224" spans="1:27" x14ac:dyDescent="0.25">
      <c r="A224" t="s">
        <v>384</v>
      </c>
      <c r="B224" s="1">
        <v>40560</v>
      </c>
      <c r="C224" s="1">
        <v>40562</v>
      </c>
      <c r="D224" t="s">
        <v>18</v>
      </c>
      <c r="E224" t="s">
        <v>385</v>
      </c>
      <c r="F224" t="s">
        <v>3</v>
      </c>
      <c r="G224" t="s">
        <v>172</v>
      </c>
      <c r="H224" t="s">
        <v>126</v>
      </c>
      <c r="I224" t="s">
        <v>127</v>
      </c>
      <c r="J224" t="s">
        <v>173</v>
      </c>
      <c r="K224" t="s">
        <v>7</v>
      </c>
      <c r="L224" t="s">
        <v>137</v>
      </c>
      <c r="M224">
        <v>19</v>
      </c>
      <c r="N224">
        <v>2</v>
      </c>
      <c r="O224">
        <v>0.7</v>
      </c>
      <c r="P224">
        <v>-13.6312</v>
      </c>
      <c r="Q224">
        <v>5.26</v>
      </c>
      <c r="R224" t="s">
        <v>45</v>
      </c>
      <c r="S224">
        <f>Sheet1[[#This Row],[Ship_date]]-Sheet1[[#This Row],[Order_date]]</f>
        <v>2</v>
      </c>
      <c r="T224">
        <f>Sheet1[[#This Row],[Quantity]]*Sheet1[[#This Row],[Sales]]</f>
        <v>38</v>
      </c>
      <c r="U224">
        <f>Sheet1[[#This Row],[Total Sales]]*Sheet1[[#This Row],[Discount]]</f>
        <v>26.599999999999998</v>
      </c>
      <c r="V224" s="4">
        <f>Sheet1[[#This Row],[Total Sales]]-Sheet1[[#This Row],[Total Sales]]*Sheet1[[#This Row],[Discount]]</f>
        <v>11.400000000000002</v>
      </c>
      <c r="W224" s="4">
        <f>Sheet1[[#This Row],[Quantity]]*Sheet1[[#This Row],[Profit]]</f>
        <v>-27.2624</v>
      </c>
      <c r="X224" s="5">
        <f>Sheet1[[#This Row],[Total Profit]]/Sheet1[[#This Row],[Sales After Discount]]</f>
        <v>-2.3914385964912275</v>
      </c>
      <c r="Y224" s="4">
        <f>Sheet1[[#This Row],[Shipping_cost]]*Sheet1[[#This Row],[Quantity]]</f>
        <v>10.52</v>
      </c>
      <c r="Z224" s="4">
        <f>Sheet1[[#This Row],[Total Profit]]-Sheet1[[#This Row],[Total Shipping Cost]]</f>
        <v>-37.782399999999996</v>
      </c>
      <c r="AA224" s="4" t="str">
        <f>IF(Sheet1[[#This Row],[Net Profit]]&gt;0,"Profit","Loss")</f>
        <v>Loss</v>
      </c>
    </row>
    <row r="225" spans="1:27" x14ac:dyDescent="0.25">
      <c r="A225" t="s">
        <v>389</v>
      </c>
      <c r="B225" s="1">
        <v>40560</v>
      </c>
      <c r="C225" s="1">
        <v>40564</v>
      </c>
      <c r="D225" t="s">
        <v>1</v>
      </c>
      <c r="E225" t="s">
        <v>390</v>
      </c>
      <c r="F225" t="s">
        <v>26</v>
      </c>
      <c r="G225" t="s">
        <v>12</v>
      </c>
      <c r="H225" t="s">
        <v>13</v>
      </c>
      <c r="I225" t="s">
        <v>14</v>
      </c>
      <c r="J225" t="s">
        <v>15</v>
      </c>
      <c r="K225" t="s">
        <v>7</v>
      </c>
      <c r="L225" t="s">
        <v>91</v>
      </c>
      <c r="M225">
        <v>19</v>
      </c>
      <c r="N225">
        <v>2</v>
      </c>
      <c r="O225">
        <v>0.1</v>
      </c>
      <c r="P225">
        <v>5.1360000000000001</v>
      </c>
      <c r="Q225">
        <v>3.96</v>
      </c>
      <c r="R225" t="s">
        <v>23</v>
      </c>
      <c r="S225">
        <f>Sheet1[[#This Row],[Ship_date]]-Sheet1[[#This Row],[Order_date]]</f>
        <v>4</v>
      </c>
      <c r="T225">
        <f>Sheet1[[#This Row],[Quantity]]*Sheet1[[#This Row],[Sales]]</f>
        <v>38</v>
      </c>
      <c r="U225">
        <f>Sheet1[[#This Row],[Total Sales]]*Sheet1[[#This Row],[Discount]]</f>
        <v>3.8000000000000003</v>
      </c>
      <c r="V225" s="4">
        <f>Sheet1[[#This Row],[Total Sales]]-Sheet1[[#This Row],[Total Sales]]*Sheet1[[#This Row],[Discount]]</f>
        <v>34.200000000000003</v>
      </c>
      <c r="W225" s="4">
        <f>Sheet1[[#This Row],[Quantity]]*Sheet1[[#This Row],[Profit]]</f>
        <v>10.272</v>
      </c>
      <c r="X225" s="5">
        <f>Sheet1[[#This Row],[Total Profit]]/Sheet1[[#This Row],[Sales After Discount]]</f>
        <v>0.30035087719298242</v>
      </c>
      <c r="Y225" s="4">
        <f>Sheet1[[#This Row],[Shipping_cost]]*Sheet1[[#This Row],[Quantity]]</f>
        <v>7.92</v>
      </c>
      <c r="Z225" s="4">
        <f>Sheet1[[#This Row],[Total Profit]]-Sheet1[[#This Row],[Total Shipping Cost]]</f>
        <v>2.3520000000000003</v>
      </c>
      <c r="AA225" s="4" t="str">
        <f>IF(Sheet1[[#This Row],[Net Profit]]&gt;0,"Profit","Loss")</f>
        <v>Profit</v>
      </c>
    </row>
    <row r="226" spans="1:27" x14ac:dyDescent="0.25">
      <c r="A226" t="s">
        <v>391</v>
      </c>
      <c r="B226" s="1">
        <v>40560</v>
      </c>
      <c r="C226" s="1">
        <v>40566</v>
      </c>
      <c r="D226" t="s">
        <v>1</v>
      </c>
      <c r="E226" t="s">
        <v>392</v>
      </c>
      <c r="F226" t="s">
        <v>26</v>
      </c>
      <c r="G226" t="s">
        <v>393</v>
      </c>
      <c r="H226" t="s">
        <v>394</v>
      </c>
      <c r="I226" t="s">
        <v>29</v>
      </c>
      <c r="J226" t="s">
        <v>30</v>
      </c>
      <c r="K226" t="s">
        <v>7</v>
      </c>
      <c r="L226" t="s">
        <v>87</v>
      </c>
      <c r="M226">
        <v>17</v>
      </c>
      <c r="N226">
        <v>3</v>
      </c>
      <c r="O226">
        <v>0.5</v>
      </c>
      <c r="P226">
        <v>-7.5149999999999997</v>
      </c>
      <c r="Q226">
        <v>0.4</v>
      </c>
      <c r="R226" t="s">
        <v>51</v>
      </c>
      <c r="S226">
        <f>Sheet1[[#This Row],[Ship_date]]-Sheet1[[#This Row],[Order_date]]</f>
        <v>6</v>
      </c>
      <c r="T226">
        <f>Sheet1[[#This Row],[Quantity]]*Sheet1[[#This Row],[Sales]]</f>
        <v>51</v>
      </c>
      <c r="U226">
        <f>Sheet1[[#This Row],[Total Sales]]*Sheet1[[#This Row],[Discount]]</f>
        <v>25.5</v>
      </c>
      <c r="V226" s="4">
        <f>Sheet1[[#This Row],[Total Sales]]-Sheet1[[#This Row],[Total Sales]]*Sheet1[[#This Row],[Discount]]</f>
        <v>25.5</v>
      </c>
      <c r="W226" s="4">
        <f>Sheet1[[#This Row],[Quantity]]*Sheet1[[#This Row],[Profit]]</f>
        <v>-22.544999999999998</v>
      </c>
      <c r="X226" s="5">
        <f>Sheet1[[#This Row],[Total Profit]]/Sheet1[[#This Row],[Sales After Discount]]</f>
        <v>-0.88411764705882345</v>
      </c>
      <c r="Y226" s="4">
        <f>Sheet1[[#This Row],[Shipping_cost]]*Sheet1[[#This Row],[Quantity]]</f>
        <v>1.2000000000000002</v>
      </c>
      <c r="Z226" s="4">
        <f>Sheet1[[#This Row],[Total Profit]]-Sheet1[[#This Row],[Total Shipping Cost]]</f>
        <v>-23.744999999999997</v>
      </c>
      <c r="AA226" s="4" t="str">
        <f>IF(Sheet1[[#This Row],[Net Profit]]&gt;0,"Profit","Loss")</f>
        <v>Loss</v>
      </c>
    </row>
    <row r="227" spans="1:27" x14ac:dyDescent="0.25">
      <c r="A227" t="s">
        <v>395</v>
      </c>
      <c r="B227" s="1">
        <v>40561</v>
      </c>
      <c r="C227" s="1">
        <v>40564</v>
      </c>
      <c r="D227" t="s">
        <v>142</v>
      </c>
      <c r="E227" t="s">
        <v>396</v>
      </c>
      <c r="F227" t="s">
        <v>43</v>
      </c>
      <c r="G227" t="s">
        <v>397</v>
      </c>
      <c r="H227" t="s">
        <v>95</v>
      </c>
      <c r="I227" t="s">
        <v>6</v>
      </c>
      <c r="J227" t="s">
        <v>6</v>
      </c>
      <c r="K227" t="s">
        <v>7</v>
      </c>
      <c r="L227" t="s">
        <v>8</v>
      </c>
      <c r="M227">
        <v>746</v>
      </c>
      <c r="N227">
        <v>4</v>
      </c>
      <c r="O227">
        <v>0.1</v>
      </c>
      <c r="P227">
        <v>132.58799999999999</v>
      </c>
      <c r="Q227">
        <v>132.29</v>
      </c>
      <c r="R227" t="s">
        <v>9</v>
      </c>
      <c r="S227">
        <f>Sheet1[[#This Row],[Ship_date]]-Sheet1[[#This Row],[Order_date]]</f>
        <v>3</v>
      </c>
      <c r="T227">
        <f>Sheet1[[#This Row],[Quantity]]*Sheet1[[#This Row],[Sales]]</f>
        <v>2984</v>
      </c>
      <c r="U227">
        <f>Sheet1[[#This Row],[Total Sales]]*Sheet1[[#This Row],[Discount]]</f>
        <v>298.40000000000003</v>
      </c>
      <c r="V227" s="4">
        <f>Sheet1[[#This Row],[Total Sales]]-Sheet1[[#This Row],[Total Sales]]*Sheet1[[#This Row],[Discount]]</f>
        <v>2685.6</v>
      </c>
      <c r="W227" s="4">
        <f>Sheet1[[#This Row],[Quantity]]*Sheet1[[#This Row],[Profit]]</f>
        <v>530.35199999999998</v>
      </c>
      <c r="X227" s="5">
        <f>Sheet1[[#This Row],[Total Profit]]/Sheet1[[#This Row],[Sales After Discount]]</f>
        <v>0.1974798927613941</v>
      </c>
      <c r="Y227" s="4">
        <f>Sheet1[[#This Row],[Shipping_cost]]*Sheet1[[#This Row],[Quantity]]</f>
        <v>529.16</v>
      </c>
      <c r="Z227" s="4">
        <f>Sheet1[[#This Row],[Total Profit]]-Sheet1[[#This Row],[Total Shipping Cost]]</f>
        <v>1.1920000000000073</v>
      </c>
      <c r="AA227" s="4" t="str">
        <f>IF(Sheet1[[#This Row],[Net Profit]]&gt;0,"Profit","Loss")</f>
        <v>Profit</v>
      </c>
    </row>
    <row r="228" spans="1:27" x14ac:dyDescent="0.25">
      <c r="A228" t="s">
        <v>398</v>
      </c>
      <c r="B228" s="1">
        <v>40561</v>
      </c>
      <c r="C228" s="1">
        <v>40564</v>
      </c>
      <c r="D228" t="s">
        <v>142</v>
      </c>
      <c r="E228" t="s">
        <v>399</v>
      </c>
      <c r="F228" t="s">
        <v>43</v>
      </c>
      <c r="G228" t="s">
        <v>400</v>
      </c>
      <c r="H228" t="s">
        <v>276</v>
      </c>
      <c r="I228" t="s">
        <v>29</v>
      </c>
      <c r="J228" t="s">
        <v>102</v>
      </c>
      <c r="K228" t="s">
        <v>7</v>
      </c>
      <c r="L228" t="s">
        <v>97</v>
      </c>
      <c r="M228">
        <v>108</v>
      </c>
      <c r="N228">
        <v>8</v>
      </c>
      <c r="O228">
        <v>0</v>
      </c>
      <c r="P228">
        <v>33.36</v>
      </c>
      <c r="Q228">
        <v>18.36</v>
      </c>
      <c r="R228" t="s">
        <v>45</v>
      </c>
      <c r="S228">
        <f>Sheet1[[#This Row],[Ship_date]]-Sheet1[[#This Row],[Order_date]]</f>
        <v>3</v>
      </c>
      <c r="T228">
        <f>Sheet1[[#This Row],[Quantity]]*Sheet1[[#This Row],[Sales]]</f>
        <v>864</v>
      </c>
      <c r="U228">
        <f>Sheet1[[#This Row],[Total Sales]]*Sheet1[[#This Row],[Discount]]</f>
        <v>0</v>
      </c>
      <c r="V228" s="4">
        <f>Sheet1[[#This Row],[Total Sales]]-Sheet1[[#This Row],[Total Sales]]*Sheet1[[#This Row],[Discount]]</f>
        <v>864</v>
      </c>
      <c r="W228" s="4">
        <f>Sheet1[[#This Row],[Quantity]]*Sheet1[[#This Row],[Profit]]</f>
        <v>266.88</v>
      </c>
      <c r="X228" s="5">
        <f>Sheet1[[#This Row],[Total Profit]]/Sheet1[[#This Row],[Sales After Discount]]</f>
        <v>0.30888888888888888</v>
      </c>
      <c r="Y228" s="4">
        <f>Sheet1[[#This Row],[Shipping_cost]]*Sheet1[[#This Row],[Quantity]]</f>
        <v>146.88</v>
      </c>
      <c r="Z228" s="4">
        <f>Sheet1[[#This Row],[Total Profit]]-Sheet1[[#This Row],[Total Shipping Cost]]</f>
        <v>120</v>
      </c>
      <c r="AA228" s="4" t="str">
        <f>IF(Sheet1[[#This Row],[Net Profit]]&gt;0,"Profit","Loss")</f>
        <v>Profit</v>
      </c>
    </row>
    <row r="229" spans="1:27" x14ac:dyDescent="0.25">
      <c r="A229" t="s">
        <v>401</v>
      </c>
      <c r="B229" s="1">
        <v>40561</v>
      </c>
      <c r="C229" s="1">
        <v>40566</v>
      </c>
      <c r="D229" t="s">
        <v>1</v>
      </c>
      <c r="E229" t="s">
        <v>402</v>
      </c>
      <c r="F229" t="s">
        <v>3</v>
      </c>
      <c r="G229" t="s">
        <v>403</v>
      </c>
      <c r="H229" t="s">
        <v>101</v>
      </c>
      <c r="I229" t="s">
        <v>75</v>
      </c>
      <c r="J229" t="s">
        <v>102</v>
      </c>
      <c r="K229" t="s">
        <v>7</v>
      </c>
      <c r="L229" t="s">
        <v>97</v>
      </c>
      <c r="M229">
        <v>38</v>
      </c>
      <c r="N229">
        <v>3</v>
      </c>
      <c r="O229">
        <v>0</v>
      </c>
      <c r="P229">
        <v>6.12</v>
      </c>
      <c r="Q229">
        <v>4.7</v>
      </c>
      <c r="R229" t="s">
        <v>9</v>
      </c>
      <c r="S229">
        <f>Sheet1[[#This Row],[Ship_date]]-Sheet1[[#This Row],[Order_date]]</f>
        <v>5</v>
      </c>
      <c r="T229">
        <f>Sheet1[[#This Row],[Quantity]]*Sheet1[[#This Row],[Sales]]</f>
        <v>114</v>
      </c>
      <c r="U229">
        <f>Sheet1[[#This Row],[Total Sales]]*Sheet1[[#This Row],[Discount]]</f>
        <v>0</v>
      </c>
      <c r="V229" s="4">
        <f>Sheet1[[#This Row],[Total Sales]]-Sheet1[[#This Row],[Total Sales]]*Sheet1[[#This Row],[Discount]]</f>
        <v>114</v>
      </c>
      <c r="W229" s="4">
        <f>Sheet1[[#This Row],[Quantity]]*Sheet1[[#This Row],[Profit]]</f>
        <v>18.36</v>
      </c>
      <c r="X229" s="5">
        <f>Sheet1[[#This Row],[Total Profit]]/Sheet1[[#This Row],[Sales After Discount]]</f>
        <v>0.16105263157894736</v>
      </c>
      <c r="Y229" s="4">
        <f>Sheet1[[#This Row],[Shipping_cost]]*Sheet1[[#This Row],[Quantity]]</f>
        <v>14.100000000000001</v>
      </c>
      <c r="Z229" s="4">
        <f>Sheet1[[#This Row],[Total Profit]]-Sheet1[[#This Row],[Total Shipping Cost]]</f>
        <v>4.259999999999998</v>
      </c>
      <c r="AA229" s="4" t="str">
        <f>IF(Sheet1[[#This Row],[Net Profit]]&gt;0,"Profit","Loss")</f>
        <v>Profit</v>
      </c>
    </row>
    <row r="230" spans="1:27" x14ac:dyDescent="0.25">
      <c r="A230" t="s">
        <v>404</v>
      </c>
      <c r="B230" s="1">
        <v>40561</v>
      </c>
      <c r="C230" s="1">
        <v>40566</v>
      </c>
      <c r="D230" t="s">
        <v>18</v>
      </c>
      <c r="E230" t="s">
        <v>405</v>
      </c>
      <c r="F230" t="s">
        <v>3</v>
      </c>
      <c r="G230" t="s">
        <v>406</v>
      </c>
      <c r="H230" t="s">
        <v>394</v>
      </c>
      <c r="I230" t="s">
        <v>29</v>
      </c>
      <c r="J230" t="s">
        <v>30</v>
      </c>
      <c r="K230" t="s">
        <v>7</v>
      </c>
      <c r="L230" t="s">
        <v>137</v>
      </c>
      <c r="M230">
        <v>26</v>
      </c>
      <c r="N230">
        <v>1</v>
      </c>
      <c r="O230">
        <v>0.5</v>
      </c>
      <c r="P230">
        <v>-10.755000000000001</v>
      </c>
      <c r="Q230">
        <v>2.5299999999999998</v>
      </c>
      <c r="R230" t="s">
        <v>23</v>
      </c>
      <c r="S230">
        <f>Sheet1[[#This Row],[Ship_date]]-Sheet1[[#This Row],[Order_date]]</f>
        <v>5</v>
      </c>
      <c r="T230">
        <f>Sheet1[[#This Row],[Quantity]]*Sheet1[[#This Row],[Sales]]</f>
        <v>26</v>
      </c>
      <c r="U230">
        <f>Sheet1[[#This Row],[Total Sales]]*Sheet1[[#This Row],[Discount]]</f>
        <v>13</v>
      </c>
      <c r="V230" s="4">
        <f>Sheet1[[#This Row],[Total Sales]]-Sheet1[[#This Row],[Total Sales]]*Sheet1[[#This Row],[Discount]]</f>
        <v>13</v>
      </c>
      <c r="W230" s="4">
        <f>Sheet1[[#This Row],[Quantity]]*Sheet1[[#This Row],[Profit]]</f>
        <v>-10.755000000000001</v>
      </c>
      <c r="X230" s="5">
        <f>Sheet1[[#This Row],[Total Profit]]/Sheet1[[#This Row],[Sales After Discount]]</f>
        <v>-0.82730769230769241</v>
      </c>
      <c r="Y230" s="4">
        <f>Sheet1[[#This Row],[Shipping_cost]]*Sheet1[[#This Row],[Quantity]]</f>
        <v>2.5299999999999998</v>
      </c>
      <c r="Z230" s="4">
        <f>Sheet1[[#This Row],[Total Profit]]-Sheet1[[#This Row],[Total Shipping Cost]]</f>
        <v>-13.285</v>
      </c>
      <c r="AA230" s="4" t="str">
        <f>IF(Sheet1[[#This Row],[Net Profit]]&gt;0,"Profit","Loss")</f>
        <v>Loss</v>
      </c>
    </row>
    <row r="231" spans="1:27" x14ac:dyDescent="0.25">
      <c r="A231" t="s">
        <v>407</v>
      </c>
      <c r="B231" s="1">
        <v>40561</v>
      </c>
      <c r="C231" s="1">
        <v>40564</v>
      </c>
      <c r="D231" t="s">
        <v>142</v>
      </c>
      <c r="E231" t="s">
        <v>408</v>
      </c>
      <c r="F231" t="s">
        <v>3</v>
      </c>
      <c r="G231" t="s">
        <v>409</v>
      </c>
      <c r="H231" t="s">
        <v>410</v>
      </c>
      <c r="I231" t="s">
        <v>22</v>
      </c>
      <c r="J231" t="s">
        <v>22</v>
      </c>
      <c r="K231" t="s">
        <v>7</v>
      </c>
      <c r="L231" t="s">
        <v>137</v>
      </c>
      <c r="M231">
        <v>14</v>
      </c>
      <c r="N231">
        <v>1</v>
      </c>
      <c r="O231">
        <v>0</v>
      </c>
      <c r="P231">
        <v>2.97</v>
      </c>
      <c r="Q231">
        <v>2.48</v>
      </c>
      <c r="R231" t="s">
        <v>23</v>
      </c>
      <c r="S231">
        <f>Sheet1[[#This Row],[Ship_date]]-Sheet1[[#This Row],[Order_date]]</f>
        <v>3</v>
      </c>
      <c r="T231">
        <f>Sheet1[[#This Row],[Quantity]]*Sheet1[[#This Row],[Sales]]</f>
        <v>14</v>
      </c>
      <c r="U231">
        <f>Sheet1[[#This Row],[Total Sales]]*Sheet1[[#This Row],[Discount]]</f>
        <v>0</v>
      </c>
      <c r="V231" s="4">
        <f>Sheet1[[#This Row],[Total Sales]]-Sheet1[[#This Row],[Total Sales]]*Sheet1[[#This Row],[Discount]]</f>
        <v>14</v>
      </c>
      <c r="W231" s="4">
        <f>Sheet1[[#This Row],[Quantity]]*Sheet1[[#This Row],[Profit]]</f>
        <v>2.97</v>
      </c>
      <c r="X231" s="5">
        <f>Sheet1[[#This Row],[Total Profit]]/Sheet1[[#This Row],[Sales After Discount]]</f>
        <v>0.21214285714285716</v>
      </c>
      <c r="Y231" s="4">
        <f>Sheet1[[#This Row],[Shipping_cost]]*Sheet1[[#This Row],[Quantity]]</f>
        <v>2.48</v>
      </c>
      <c r="Z231" s="4">
        <f>Sheet1[[#This Row],[Total Profit]]-Sheet1[[#This Row],[Total Shipping Cost]]</f>
        <v>0.49000000000000021</v>
      </c>
      <c r="AA231" s="4" t="str">
        <f>IF(Sheet1[[#This Row],[Net Profit]]&gt;0,"Profit","Loss")</f>
        <v>Profit</v>
      </c>
    </row>
    <row r="232" spans="1:27" x14ac:dyDescent="0.25">
      <c r="A232" t="s">
        <v>411</v>
      </c>
      <c r="B232" s="1">
        <v>40562</v>
      </c>
      <c r="C232" s="1">
        <v>40564</v>
      </c>
      <c r="D232" t="s">
        <v>142</v>
      </c>
      <c r="E232" t="s">
        <v>412</v>
      </c>
      <c r="F232" t="s">
        <v>3</v>
      </c>
      <c r="G232" t="s">
        <v>413</v>
      </c>
      <c r="H232" t="s">
        <v>414</v>
      </c>
      <c r="I232" t="s">
        <v>6</v>
      </c>
      <c r="J232" t="s">
        <v>6</v>
      </c>
      <c r="K232" t="s">
        <v>7</v>
      </c>
      <c r="L232" t="s">
        <v>91</v>
      </c>
      <c r="M232">
        <v>418</v>
      </c>
      <c r="N232">
        <v>14</v>
      </c>
      <c r="O232">
        <v>0</v>
      </c>
      <c r="P232">
        <v>95.76</v>
      </c>
      <c r="Q232">
        <v>143.66999999999999</v>
      </c>
      <c r="R232" t="s">
        <v>45</v>
      </c>
      <c r="S232">
        <f>Sheet1[[#This Row],[Ship_date]]-Sheet1[[#This Row],[Order_date]]</f>
        <v>2</v>
      </c>
      <c r="T232">
        <f>Sheet1[[#This Row],[Quantity]]*Sheet1[[#This Row],[Sales]]</f>
        <v>5852</v>
      </c>
      <c r="U232">
        <f>Sheet1[[#This Row],[Total Sales]]*Sheet1[[#This Row],[Discount]]</f>
        <v>0</v>
      </c>
      <c r="V232" s="4">
        <f>Sheet1[[#This Row],[Total Sales]]-Sheet1[[#This Row],[Total Sales]]*Sheet1[[#This Row],[Discount]]</f>
        <v>5852</v>
      </c>
      <c r="W232" s="4">
        <f>Sheet1[[#This Row],[Quantity]]*Sheet1[[#This Row],[Profit]]</f>
        <v>1340.64</v>
      </c>
      <c r="X232" s="5">
        <f>Sheet1[[#This Row],[Total Profit]]/Sheet1[[#This Row],[Sales After Discount]]</f>
        <v>0.2290909090909091</v>
      </c>
      <c r="Y232" s="4">
        <f>Sheet1[[#This Row],[Shipping_cost]]*Sheet1[[#This Row],[Quantity]]</f>
        <v>2011.3799999999999</v>
      </c>
      <c r="Z232" s="4">
        <f>Sheet1[[#This Row],[Total Profit]]-Sheet1[[#This Row],[Total Shipping Cost]]</f>
        <v>-670.73999999999978</v>
      </c>
      <c r="AA232" s="4" t="str">
        <f>IF(Sheet1[[#This Row],[Net Profit]]&gt;0,"Profit","Loss")</f>
        <v>Loss</v>
      </c>
    </row>
    <row r="233" spans="1:27" x14ac:dyDescent="0.25">
      <c r="A233" t="s">
        <v>415</v>
      </c>
      <c r="B233" s="1">
        <v>40562</v>
      </c>
      <c r="C233" s="1">
        <v>40563</v>
      </c>
      <c r="D233" t="s">
        <v>142</v>
      </c>
      <c r="E233" t="s">
        <v>416</v>
      </c>
      <c r="F233" t="s">
        <v>26</v>
      </c>
      <c r="G233" t="s">
        <v>417</v>
      </c>
      <c r="H233" t="s">
        <v>298</v>
      </c>
      <c r="I233" t="s">
        <v>29</v>
      </c>
      <c r="J233" t="s">
        <v>102</v>
      </c>
      <c r="K233" t="s">
        <v>7</v>
      </c>
      <c r="L233" t="s">
        <v>137</v>
      </c>
      <c r="M233">
        <v>145</v>
      </c>
      <c r="N233">
        <v>3</v>
      </c>
      <c r="O233">
        <v>0</v>
      </c>
      <c r="P233">
        <v>43.56</v>
      </c>
      <c r="Q233">
        <v>58.25</v>
      </c>
      <c r="R233" t="s">
        <v>45</v>
      </c>
      <c r="S233">
        <f>Sheet1[[#This Row],[Ship_date]]-Sheet1[[#This Row],[Order_date]]</f>
        <v>1</v>
      </c>
      <c r="T233">
        <f>Sheet1[[#This Row],[Quantity]]*Sheet1[[#This Row],[Sales]]</f>
        <v>435</v>
      </c>
      <c r="U233">
        <f>Sheet1[[#This Row],[Total Sales]]*Sheet1[[#This Row],[Discount]]</f>
        <v>0</v>
      </c>
      <c r="V233" s="4">
        <f>Sheet1[[#This Row],[Total Sales]]-Sheet1[[#This Row],[Total Sales]]*Sheet1[[#This Row],[Discount]]</f>
        <v>435</v>
      </c>
      <c r="W233" s="4">
        <f>Sheet1[[#This Row],[Quantity]]*Sheet1[[#This Row],[Profit]]</f>
        <v>130.68</v>
      </c>
      <c r="X233" s="5">
        <f>Sheet1[[#This Row],[Total Profit]]/Sheet1[[#This Row],[Sales After Discount]]</f>
        <v>0.30041379310344829</v>
      </c>
      <c r="Y233" s="4">
        <f>Sheet1[[#This Row],[Shipping_cost]]*Sheet1[[#This Row],[Quantity]]</f>
        <v>174.75</v>
      </c>
      <c r="Z233" s="4">
        <f>Sheet1[[#This Row],[Total Profit]]-Sheet1[[#This Row],[Total Shipping Cost]]</f>
        <v>-44.069999999999993</v>
      </c>
      <c r="AA233" s="4" t="str">
        <f>IF(Sheet1[[#This Row],[Net Profit]]&gt;0,"Profit","Loss")</f>
        <v>Loss</v>
      </c>
    </row>
    <row r="234" spans="1:27" x14ac:dyDescent="0.25">
      <c r="A234" t="s">
        <v>418</v>
      </c>
      <c r="B234" s="1">
        <v>40562</v>
      </c>
      <c r="C234" s="1">
        <v>40567</v>
      </c>
      <c r="D234" t="s">
        <v>1</v>
      </c>
      <c r="E234" t="s">
        <v>419</v>
      </c>
      <c r="F234" t="s">
        <v>43</v>
      </c>
      <c r="G234" t="s">
        <v>344</v>
      </c>
      <c r="H234" t="s">
        <v>345</v>
      </c>
      <c r="I234" t="s">
        <v>75</v>
      </c>
      <c r="J234" t="s">
        <v>76</v>
      </c>
      <c r="K234" t="s">
        <v>38</v>
      </c>
      <c r="L234" t="s">
        <v>39</v>
      </c>
      <c r="M234">
        <v>716</v>
      </c>
      <c r="N234">
        <v>4</v>
      </c>
      <c r="O234">
        <v>0</v>
      </c>
      <c r="P234">
        <v>221.92</v>
      </c>
      <c r="Q234">
        <v>36.29</v>
      </c>
      <c r="R234" t="s">
        <v>9</v>
      </c>
      <c r="S234">
        <f>Sheet1[[#This Row],[Ship_date]]-Sheet1[[#This Row],[Order_date]]</f>
        <v>5</v>
      </c>
      <c r="T234">
        <f>Sheet1[[#This Row],[Quantity]]*Sheet1[[#This Row],[Sales]]</f>
        <v>2864</v>
      </c>
      <c r="U234">
        <f>Sheet1[[#This Row],[Total Sales]]*Sheet1[[#This Row],[Discount]]</f>
        <v>0</v>
      </c>
      <c r="V234" s="4">
        <f>Sheet1[[#This Row],[Total Sales]]-Sheet1[[#This Row],[Total Sales]]*Sheet1[[#This Row],[Discount]]</f>
        <v>2864</v>
      </c>
      <c r="W234" s="4">
        <f>Sheet1[[#This Row],[Quantity]]*Sheet1[[#This Row],[Profit]]</f>
        <v>887.68</v>
      </c>
      <c r="X234" s="5">
        <f>Sheet1[[#This Row],[Total Profit]]/Sheet1[[#This Row],[Sales After Discount]]</f>
        <v>0.30994413407821225</v>
      </c>
      <c r="Y234" s="4">
        <f>Sheet1[[#This Row],[Shipping_cost]]*Sheet1[[#This Row],[Quantity]]</f>
        <v>145.16</v>
      </c>
      <c r="Z234" s="4">
        <f>Sheet1[[#This Row],[Total Profit]]-Sheet1[[#This Row],[Total Shipping Cost]]</f>
        <v>742.52</v>
      </c>
      <c r="AA234" s="4" t="str">
        <f>IF(Sheet1[[#This Row],[Net Profit]]&gt;0,"Profit","Loss")</f>
        <v>Profit</v>
      </c>
    </row>
    <row r="235" spans="1:27" x14ac:dyDescent="0.25">
      <c r="A235" t="s">
        <v>418</v>
      </c>
      <c r="B235" s="1">
        <v>40562</v>
      </c>
      <c r="C235" s="1">
        <v>40567</v>
      </c>
      <c r="D235" t="s">
        <v>1</v>
      </c>
      <c r="E235" t="s">
        <v>419</v>
      </c>
      <c r="F235" t="s">
        <v>43</v>
      </c>
      <c r="G235" t="s">
        <v>344</v>
      </c>
      <c r="H235" t="s">
        <v>345</v>
      </c>
      <c r="I235" t="s">
        <v>75</v>
      </c>
      <c r="J235" t="s">
        <v>76</v>
      </c>
      <c r="K235" t="s">
        <v>32</v>
      </c>
      <c r="L235" t="s">
        <v>67</v>
      </c>
      <c r="M235">
        <v>226</v>
      </c>
      <c r="N235">
        <v>2</v>
      </c>
      <c r="O235">
        <v>0</v>
      </c>
      <c r="P235">
        <v>33.96</v>
      </c>
      <c r="Q235">
        <v>25.81</v>
      </c>
      <c r="R235" t="s">
        <v>9</v>
      </c>
      <c r="S235">
        <f>Sheet1[[#This Row],[Ship_date]]-Sheet1[[#This Row],[Order_date]]</f>
        <v>5</v>
      </c>
      <c r="T235">
        <f>Sheet1[[#This Row],[Quantity]]*Sheet1[[#This Row],[Sales]]</f>
        <v>452</v>
      </c>
      <c r="U235">
        <f>Sheet1[[#This Row],[Total Sales]]*Sheet1[[#This Row],[Discount]]</f>
        <v>0</v>
      </c>
      <c r="V235" s="4">
        <f>Sheet1[[#This Row],[Total Sales]]-Sheet1[[#This Row],[Total Sales]]*Sheet1[[#This Row],[Discount]]</f>
        <v>452</v>
      </c>
      <c r="W235" s="4">
        <f>Sheet1[[#This Row],[Quantity]]*Sheet1[[#This Row],[Profit]]</f>
        <v>67.92</v>
      </c>
      <c r="X235" s="5">
        <f>Sheet1[[#This Row],[Total Profit]]/Sheet1[[#This Row],[Sales After Discount]]</f>
        <v>0.15026548672566373</v>
      </c>
      <c r="Y235" s="4">
        <f>Sheet1[[#This Row],[Shipping_cost]]*Sheet1[[#This Row],[Quantity]]</f>
        <v>51.62</v>
      </c>
      <c r="Z235" s="4">
        <f>Sheet1[[#This Row],[Total Profit]]-Sheet1[[#This Row],[Total Shipping Cost]]</f>
        <v>16.300000000000004</v>
      </c>
      <c r="AA235" s="4" t="str">
        <f>IF(Sheet1[[#This Row],[Net Profit]]&gt;0,"Profit","Loss")</f>
        <v>Profit</v>
      </c>
    </row>
    <row r="236" spans="1:27" x14ac:dyDescent="0.25">
      <c r="A236" t="s">
        <v>420</v>
      </c>
      <c r="B236" s="1">
        <v>40562</v>
      </c>
      <c r="C236" s="1">
        <v>40566</v>
      </c>
      <c r="D236" t="s">
        <v>1</v>
      </c>
      <c r="E236" t="s">
        <v>421</v>
      </c>
      <c r="F236" t="s">
        <v>43</v>
      </c>
      <c r="G236" t="s">
        <v>422</v>
      </c>
      <c r="H236" t="s">
        <v>423</v>
      </c>
      <c r="I236" t="s">
        <v>14</v>
      </c>
      <c r="J236" t="s">
        <v>61</v>
      </c>
      <c r="K236" t="s">
        <v>38</v>
      </c>
      <c r="L236" t="s">
        <v>50</v>
      </c>
      <c r="M236">
        <v>278</v>
      </c>
      <c r="N236">
        <v>3</v>
      </c>
      <c r="O236">
        <v>0.37</v>
      </c>
      <c r="P236">
        <v>-106.083</v>
      </c>
      <c r="Q236">
        <v>21.22</v>
      </c>
      <c r="R236" t="s">
        <v>9</v>
      </c>
      <c r="S236">
        <f>Sheet1[[#This Row],[Ship_date]]-Sheet1[[#This Row],[Order_date]]</f>
        <v>4</v>
      </c>
      <c r="T236">
        <f>Sheet1[[#This Row],[Quantity]]*Sheet1[[#This Row],[Sales]]</f>
        <v>834</v>
      </c>
      <c r="U236">
        <f>Sheet1[[#This Row],[Total Sales]]*Sheet1[[#This Row],[Discount]]</f>
        <v>308.58</v>
      </c>
      <c r="V236" s="4">
        <f>Sheet1[[#This Row],[Total Sales]]-Sheet1[[#This Row],[Total Sales]]*Sheet1[[#This Row],[Discount]]</f>
        <v>525.42000000000007</v>
      </c>
      <c r="W236" s="4">
        <f>Sheet1[[#This Row],[Quantity]]*Sheet1[[#This Row],[Profit]]</f>
        <v>-318.24900000000002</v>
      </c>
      <c r="X236" s="5">
        <f>Sheet1[[#This Row],[Total Profit]]/Sheet1[[#This Row],[Sales After Discount]]</f>
        <v>-0.60570400822199377</v>
      </c>
      <c r="Y236" s="4">
        <f>Sheet1[[#This Row],[Shipping_cost]]*Sheet1[[#This Row],[Quantity]]</f>
        <v>63.66</v>
      </c>
      <c r="Z236" s="4">
        <f>Sheet1[[#This Row],[Total Profit]]-Sheet1[[#This Row],[Total Shipping Cost]]</f>
        <v>-381.90899999999999</v>
      </c>
      <c r="AA236" s="4" t="str">
        <f>IF(Sheet1[[#This Row],[Net Profit]]&gt;0,"Profit","Loss")</f>
        <v>Loss</v>
      </c>
    </row>
    <row r="237" spans="1:27" x14ac:dyDescent="0.25">
      <c r="A237" t="s">
        <v>415</v>
      </c>
      <c r="B237" s="1">
        <v>40562</v>
      </c>
      <c r="C237" s="1">
        <v>40563</v>
      </c>
      <c r="D237" t="s">
        <v>142</v>
      </c>
      <c r="E237" t="s">
        <v>416</v>
      </c>
      <c r="F237" t="s">
        <v>26</v>
      </c>
      <c r="G237" t="s">
        <v>417</v>
      </c>
      <c r="H237" t="s">
        <v>298</v>
      </c>
      <c r="I237" t="s">
        <v>29</v>
      </c>
      <c r="J237" t="s">
        <v>102</v>
      </c>
      <c r="K237" t="s">
        <v>7</v>
      </c>
      <c r="L237" t="s">
        <v>8</v>
      </c>
      <c r="M237">
        <v>48</v>
      </c>
      <c r="N237">
        <v>3</v>
      </c>
      <c r="O237">
        <v>0.4</v>
      </c>
      <c r="P237">
        <v>7.92</v>
      </c>
      <c r="Q237">
        <v>15.23</v>
      </c>
      <c r="R237" t="s">
        <v>45</v>
      </c>
      <c r="S237">
        <f>Sheet1[[#This Row],[Ship_date]]-Sheet1[[#This Row],[Order_date]]</f>
        <v>1</v>
      </c>
      <c r="T237">
        <f>Sheet1[[#This Row],[Quantity]]*Sheet1[[#This Row],[Sales]]</f>
        <v>144</v>
      </c>
      <c r="U237">
        <f>Sheet1[[#This Row],[Total Sales]]*Sheet1[[#This Row],[Discount]]</f>
        <v>57.6</v>
      </c>
      <c r="V237" s="4">
        <f>Sheet1[[#This Row],[Total Sales]]-Sheet1[[#This Row],[Total Sales]]*Sheet1[[#This Row],[Discount]]</f>
        <v>86.4</v>
      </c>
      <c r="W237" s="4">
        <f>Sheet1[[#This Row],[Quantity]]*Sheet1[[#This Row],[Profit]]</f>
        <v>23.759999999999998</v>
      </c>
      <c r="X237" s="5">
        <f>Sheet1[[#This Row],[Total Profit]]/Sheet1[[#This Row],[Sales After Discount]]</f>
        <v>0.27499999999999997</v>
      </c>
      <c r="Y237" s="4">
        <f>Sheet1[[#This Row],[Shipping_cost]]*Sheet1[[#This Row],[Quantity]]</f>
        <v>45.69</v>
      </c>
      <c r="Z237" s="4">
        <f>Sheet1[[#This Row],[Total Profit]]-Sheet1[[#This Row],[Total Shipping Cost]]</f>
        <v>-21.93</v>
      </c>
      <c r="AA237" s="4" t="str">
        <f>IF(Sheet1[[#This Row],[Net Profit]]&gt;0,"Profit","Loss")</f>
        <v>Loss</v>
      </c>
    </row>
    <row r="238" spans="1:27" x14ac:dyDescent="0.25">
      <c r="A238" t="s">
        <v>411</v>
      </c>
      <c r="B238" s="1">
        <v>40562</v>
      </c>
      <c r="C238" s="1">
        <v>40564</v>
      </c>
      <c r="D238" t="s">
        <v>142</v>
      </c>
      <c r="E238" t="s">
        <v>412</v>
      </c>
      <c r="F238" t="s">
        <v>3</v>
      </c>
      <c r="G238" t="s">
        <v>413</v>
      </c>
      <c r="H238" t="s">
        <v>414</v>
      </c>
      <c r="I238" t="s">
        <v>6</v>
      </c>
      <c r="J238" t="s">
        <v>6</v>
      </c>
      <c r="K238" t="s">
        <v>38</v>
      </c>
      <c r="L238" t="s">
        <v>82</v>
      </c>
      <c r="M238">
        <v>41</v>
      </c>
      <c r="N238">
        <v>1</v>
      </c>
      <c r="O238">
        <v>0</v>
      </c>
      <c r="P238">
        <v>6.12</v>
      </c>
      <c r="Q238">
        <v>12.68</v>
      </c>
      <c r="R238" t="s">
        <v>45</v>
      </c>
      <c r="S238">
        <f>Sheet1[[#This Row],[Ship_date]]-Sheet1[[#This Row],[Order_date]]</f>
        <v>2</v>
      </c>
      <c r="T238">
        <f>Sheet1[[#This Row],[Quantity]]*Sheet1[[#This Row],[Sales]]</f>
        <v>41</v>
      </c>
      <c r="U238">
        <f>Sheet1[[#This Row],[Total Sales]]*Sheet1[[#This Row],[Discount]]</f>
        <v>0</v>
      </c>
      <c r="V238" s="4">
        <f>Sheet1[[#This Row],[Total Sales]]-Sheet1[[#This Row],[Total Sales]]*Sheet1[[#This Row],[Discount]]</f>
        <v>41</v>
      </c>
      <c r="W238" s="4">
        <f>Sheet1[[#This Row],[Quantity]]*Sheet1[[#This Row],[Profit]]</f>
        <v>6.12</v>
      </c>
      <c r="X238" s="5">
        <f>Sheet1[[#This Row],[Total Profit]]/Sheet1[[#This Row],[Sales After Discount]]</f>
        <v>0.14926829268292682</v>
      </c>
      <c r="Y238" s="4">
        <f>Sheet1[[#This Row],[Shipping_cost]]*Sheet1[[#This Row],[Quantity]]</f>
        <v>12.68</v>
      </c>
      <c r="Z238" s="4">
        <f>Sheet1[[#This Row],[Total Profit]]-Sheet1[[#This Row],[Total Shipping Cost]]</f>
        <v>-6.56</v>
      </c>
      <c r="AA238" s="4" t="str">
        <f>IF(Sheet1[[#This Row],[Net Profit]]&gt;0,"Profit","Loss")</f>
        <v>Loss</v>
      </c>
    </row>
    <row r="239" spans="1:27" x14ac:dyDescent="0.25">
      <c r="A239" t="s">
        <v>424</v>
      </c>
      <c r="B239" s="1">
        <v>40562</v>
      </c>
      <c r="C239" s="1">
        <v>40565</v>
      </c>
      <c r="D239" t="s">
        <v>18</v>
      </c>
      <c r="E239" t="s">
        <v>425</v>
      </c>
      <c r="F239" t="s">
        <v>43</v>
      </c>
      <c r="G239" t="s">
        <v>426</v>
      </c>
      <c r="H239" t="s">
        <v>126</v>
      </c>
      <c r="I239" t="s">
        <v>127</v>
      </c>
      <c r="J239" t="s">
        <v>192</v>
      </c>
      <c r="K239" t="s">
        <v>7</v>
      </c>
      <c r="L239" t="s">
        <v>44</v>
      </c>
      <c r="M239">
        <v>65</v>
      </c>
      <c r="N239">
        <v>4</v>
      </c>
      <c r="O239">
        <v>0.2</v>
      </c>
      <c r="P239">
        <v>6.4863999999999997</v>
      </c>
      <c r="Q239">
        <v>5.04</v>
      </c>
      <c r="R239" t="s">
        <v>23</v>
      </c>
      <c r="S239">
        <f>Sheet1[[#This Row],[Ship_date]]-Sheet1[[#This Row],[Order_date]]</f>
        <v>3</v>
      </c>
      <c r="T239">
        <f>Sheet1[[#This Row],[Quantity]]*Sheet1[[#This Row],[Sales]]</f>
        <v>260</v>
      </c>
      <c r="U239">
        <f>Sheet1[[#This Row],[Total Sales]]*Sheet1[[#This Row],[Discount]]</f>
        <v>52</v>
      </c>
      <c r="V239" s="4">
        <f>Sheet1[[#This Row],[Total Sales]]-Sheet1[[#This Row],[Total Sales]]*Sheet1[[#This Row],[Discount]]</f>
        <v>208</v>
      </c>
      <c r="W239" s="4">
        <f>Sheet1[[#This Row],[Quantity]]*Sheet1[[#This Row],[Profit]]</f>
        <v>25.945599999999999</v>
      </c>
      <c r="X239" s="5">
        <f>Sheet1[[#This Row],[Total Profit]]/Sheet1[[#This Row],[Sales After Discount]]</f>
        <v>0.12473846153846153</v>
      </c>
      <c r="Y239" s="4">
        <f>Sheet1[[#This Row],[Shipping_cost]]*Sheet1[[#This Row],[Quantity]]</f>
        <v>20.16</v>
      </c>
      <c r="Z239" s="4">
        <f>Sheet1[[#This Row],[Total Profit]]-Sheet1[[#This Row],[Total Shipping Cost]]</f>
        <v>5.7855999999999987</v>
      </c>
      <c r="AA239" s="4" t="str">
        <f>IF(Sheet1[[#This Row],[Net Profit]]&gt;0,"Profit","Loss")</f>
        <v>Profit</v>
      </c>
    </row>
    <row r="240" spans="1:27" x14ac:dyDescent="0.25">
      <c r="A240" t="s">
        <v>418</v>
      </c>
      <c r="B240" s="1">
        <v>40562</v>
      </c>
      <c r="C240" s="1">
        <v>40567</v>
      </c>
      <c r="D240" t="s">
        <v>1</v>
      </c>
      <c r="E240" t="s">
        <v>419</v>
      </c>
      <c r="F240" t="s">
        <v>43</v>
      </c>
      <c r="G240" t="s">
        <v>344</v>
      </c>
      <c r="H240" t="s">
        <v>345</v>
      </c>
      <c r="I240" t="s">
        <v>75</v>
      </c>
      <c r="J240" t="s">
        <v>76</v>
      </c>
      <c r="K240" t="s">
        <v>38</v>
      </c>
      <c r="L240" t="s">
        <v>82</v>
      </c>
      <c r="M240">
        <v>53</v>
      </c>
      <c r="N240">
        <v>2</v>
      </c>
      <c r="O240">
        <v>0</v>
      </c>
      <c r="P240">
        <v>16.32</v>
      </c>
      <c r="Q240">
        <v>4.0999999999999996</v>
      </c>
      <c r="R240" t="s">
        <v>9</v>
      </c>
      <c r="S240">
        <f>Sheet1[[#This Row],[Ship_date]]-Sheet1[[#This Row],[Order_date]]</f>
        <v>5</v>
      </c>
      <c r="T240">
        <f>Sheet1[[#This Row],[Quantity]]*Sheet1[[#This Row],[Sales]]</f>
        <v>106</v>
      </c>
      <c r="U240">
        <f>Sheet1[[#This Row],[Total Sales]]*Sheet1[[#This Row],[Discount]]</f>
        <v>0</v>
      </c>
      <c r="V240" s="4">
        <f>Sheet1[[#This Row],[Total Sales]]-Sheet1[[#This Row],[Total Sales]]*Sheet1[[#This Row],[Discount]]</f>
        <v>106</v>
      </c>
      <c r="W240" s="4">
        <f>Sheet1[[#This Row],[Quantity]]*Sheet1[[#This Row],[Profit]]</f>
        <v>32.64</v>
      </c>
      <c r="X240" s="5">
        <f>Sheet1[[#This Row],[Total Profit]]/Sheet1[[#This Row],[Sales After Discount]]</f>
        <v>0.30792452830188682</v>
      </c>
      <c r="Y240" s="4">
        <f>Sheet1[[#This Row],[Shipping_cost]]*Sheet1[[#This Row],[Quantity]]</f>
        <v>8.1999999999999993</v>
      </c>
      <c r="Z240" s="4">
        <f>Sheet1[[#This Row],[Total Profit]]-Sheet1[[#This Row],[Total Shipping Cost]]</f>
        <v>24.44</v>
      </c>
      <c r="AA240" s="4" t="str">
        <f>IF(Sheet1[[#This Row],[Net Profit]]&gt;0,"Profit","Loss")</f>
        <v>Profit</v>
      </c>
    </row>
    <row r="241" spans="1:27" x14ac:dyDescent="0.25">
      <c r="A241" t="s">
        <v>427</v>
      </c>
      <c r="B241" s="1">
        <v>40562</v>
      </c>
      <c r="C241" s="1">
        <v>40564</v>
      </c>
      <c r="D241" t="s">
        <v>142</v>
      </c>
      <c r="E241" t="s">
        <v>428</v>
      </c>
      <c r="F241" t="s">
        <v>43</v>
      </c>
      <c r="G241" t="s">
        <v>429</v>
      </c>
      <c r="H241" t="s">
        <v>298</v>
      </c>
      <c r="I241" t="s">
        <v>29</v>
      </c>
      <c r="J241" t="s">
        <v>102</v>
      </c>
      <c r="K241" t="s">
        <v>7</v>
      </c>
      <c r="L241" t="s">
        <v>96</v>
      </c>
      <c r="M241">
        <v>48</v>
      </c>
      <c r="N241">
        <v>3</v>
      </c>
      <c r="O241">
        <v>0</v>
      </c>
      <c r="P241">
        <v>21.24</v>
      </c>
      <c r="Q241">
        <v>3.54</v>
      </c>
      <c r="R241" t="s">
        <v>23</v>
      </c>
      <c r="S241">
        <f>Sheet1[[#This Row],[Ship_date]]-Sheet1[[#This Row],[Order_date]]</f>
        <v>2</v>
      </c>
      <c r="T241">
        <f>Sheet1[[#This Row],[Quantity]]*Sheet1[[#This Row],[Sales]]</f>
        <v>144</v>
      </c>
      <c r="U241">
        <f>Sheet1[[#This Row],[Total Sales]]*Sheet1[[#This Row],[Discount]]</f>
        <v>0</v>
      </c>
      <c r="V241" s="4">
        <f>Sheet1[[#This Row],[Total Sales]]-Sheet1[[#This Row],[Total Sales]]*Sheet1[[#This Row],[Discount]]</f>
        <v>144</v>
      </c>
      <c r="W241" s="4">
        <f>Sheet1[[#This Row],[Quantity]]*Sheet1[[#This Row],[Profit]]</f>
        <v>63.72</v>
      </c>
      <c r="X241" s="5">
        <f>Sheet1[[#This Row],[Total Profit]]/Sheet1[[#This Row],[Sales After Discount]]</f>
        <v>0.4425</v>
      </c>
      <c r="Y241" s="4">
        <f>Sheet1[[#This Row],[Shipping_cost]]*Sheet1[[#This Row],[Quantity]]</f>
        <v>10.620000000000001</v>
      </c>
      <c r="Z241" s="4">
        <f>Sheet1[[#This Row],[Total Profit]]-Sheet1[[#This Row],[Total Shipping Cost]]</f>
        <v>53.099999999999994</v>
      </c>
      <c r="AA241" s="4" t="str">
        <f>IF(Sheet1[[#This Row],[Net Profit]]&gt;0,"Profit","Loss")</f>
        <v>Profit</v>
      </c>
    </row>
    <row r="242" spans="1:27" x14ac:dyDescent="0.25">
      <c r="A242" t="s">
        <v>430</v>
      </c>
      <c r="B242" s="1">
        <v>40562</v>
      </c>
      <c r="C242" s="1">
        <v>40565</v>
      </c>
      <c r="D242" t="s">
        <v>18</v>
      </c>
      <c r="E242" t="s">
        <v>431</v>
      </c>
      <c r="F242" t="s">
        <v>43</v>
      </c>
      <c r="G242" t="s">
        <v>432</v>
      </c>
      <c r="H242" t="s">
        <v>37</v>
      </c>
      <c r="I242" t="s">
        <v>37</v>
      </c>
      <c r="J242" t="s">
        <v>37</v>
      </c>
      <c r="K242" t="s">
        <v>7</v>
      </c>
      <c r="L242" t="s">
        <v>97</v>
      </c>
      <c r="M242">
        <v>16</v>
      </c>
      <c r="N242">
        <v>1</v>
      </c>
      <c r="O242">
        <v>0</v>
      </c>
      <c r="P242">
        <v>5.7</v>
      </c>
      <c r="Q242">
        <v>1.4</v>
      </c>
      <c r="R242" t="s">
        <v>9</v>
      </c>
      <c r="S242">
        <f>Sheet1[[#This Row],[Ship_date]]-Sheet1[[#This Row],[Order_date]]</f>
        <v>3</v>
      </c>
      <c r="T242">
        <f>Sheet1[[#This Row],[Quantity]]*Sheet1[[#This Row],[Sales]]</f>
        <v>16</v>
      </c>
      <c r="U242">
        <f>Sheet1[[#This Row],[Total Sales]]*Sheet1[[#This Row],[Discount]]</f>
        <v>0</v>
      </c>
      <c r="V242" s="4">
        <f>Sheet1[[#This Row],[Total Sales]]-Sheet1[[#This Row],[Total Sales]]*Sheet1[[#This Row],[Discount]]</f>
        <v>16</v>
      </c>
      <c r="W242" s="4">
        <f>Sheet1[[#This Row],[Quantity]]*Sheet1[[#This Row],[Profit]]</f>
        <v>5.7</v>
      </c>
      <c r="X242" s="5">
        <f>Sheet1[[#This Row],[Total Profit]]/Sheet1[[#This Row],[Sales After Discount]]</f>
        <v>0.35625000000000001</v>
      </c>
      <c r="Y242" s="4">
        <f>Sheet1[[#This Row],[Shipping_cost]]*Sheet1[[#This Row],[Quantity]]</f>
        <v>1.4</v>
      </c>
      <c r="Z242" s="4">
        <f>Sheet1[[#This Row],[Total Profit]]-Sheet1[[#This Row],[Total Shipping Cost]]</f>
        <v>4.3000000000000007</v>
      </c>
      <c r="AA242" s="4" t="str">
        <f>IF(Sheet1[[#This Row],[Net Profit]]&gt;0,"Profit","Loss")</f>
        <v>Profit</v>
      </c>
    </row>
    <row r="243" spans="1:27" x14ac:dyDescent="0.25">
      <c r="A243" t="s">
        <v>433</v>
      </c>
      <c r="B243" s="1">
        <v>40563</v>
      </c>
      <c r="C243" s="1">
        <v>40563</v>
      </c>
      <c r="D243" t="s">
        <v>41</v>
      </c>
      <c r="E243" t="s">
        <v>434</v>
      </c>
      <c r="F243" t="s">
        <v>26</v>
      </c>
      <c r="G243" t="s">
        <v>164</v>
      </c>
      <c r="H243" t="s">
        <v>165</v>
      </c>
      <c r="I243" t="s">
        <v>6</v>
      </c>
      <c r="J243" t="s">
        <v>6</v>
      </c>
      <c r="K243" t="s">
        <v>32</v>
      </c>
      <c r="L243" t="s">
        <v>67</v>
      </c>
      <c r="M243">
        <v>825</v>
      </c>
      <c r="N243">
        <v>2</v>
      </c>
      <c r="O243">
        <v>0</v>
      </c>
      <c r="P243">
        <v>338.34</v>
      </c>
      <c r="Q243">
        <v>88.97</v>
      </c>
      <c r="R243" t="s">
        <v>23</v>
      </c>
      <c r="S243">
        <f>Sheet1[[#This Row],[Ship_date]]-Sheet1[[#This Row],[Order_date]]</f>
        <v>0</v>
      </c>
      <c r="T243">
        <f>Sheet1[[#This Row],[Quantity]]*Sheet1[[#This Row],[Sales]]</f>
        <v>1650</v>
      </c>
      <c r="U243">
        <f>Sheet1[[#This Row],[Total Sales]]*Sheet1[[#This Row],[Discount]]</f>
        <v>0</v>
      </c>
      <c r="V243" s="4">
        <f>Sheet1[[#This Row],[Total Sales]]-Sheet1[[#This Row],[Total Sales]]*Sheet1[[#This Row],[Discount]]</f>
        <v>1650</v>
      </c>
      <c r="W243" s="4">
        <f>Sheet1[[#This Row],[Quantity]]*Sheet1[[#This Row],[Profit]]</f>
        <v>676.68</v>
      </c>
      <c r="X243" s="5">
        <f>Sheet1[[#This Row],[Total Profit]]/Sheet1[[#This Row],[Sales After Discount]]</f>
        <v>0.41010909090909087</v>
      </c>
      <c r="Y243" s="4">
        <f>Sheet1[[#This Row],[Shipping_cost]]*Sheet1[[#This Row],[Quantity]]</f>
        <v>177.94</v>
      </c>
      <c r="Z243" s="4">
        <f>Sheet1[[#This Row],[Total Profit]]-Sheet1[[#This Row],[Total Shipping Cost]]</f>
        <v>498.73999999999995</v>
      </c>
      <c r="AA243" s="4" t="str">
        <f>IF(Sheet1[[#This Row],[Net Profit]]&gt;0,"Profit","Loss")</f>
        <v>Profit</v>
      </c>
    </row>
    <row r="244" spans="1:27" x14ac:dyDescent="0.25">
      <c r="A244" t="s">
        <v>435</v>
      </c>
      <c r="B244" s="1">
        <v>40563</v>
      </c>
      <c r="C244" s="1">
        <v>40563</v>
      </c>
      <c r="D244" t="s">
        <v>41</v>
      </c>
      <c r="E244" t="s">
        <v>436</v>
      </c>
      <c r="F244" t="s">
        <v>43</v>
      </c>
      <c r="G244" t="s">
        <v>437</v>
      </c>
      <c r="H244" t="s">
        <v>106</v>
      </c>
      <c r="I244" t="s">
        <v>75</v>
      </c>
      <c r="J244" t="s">
        <v>30</v>
      </c>
      <c r="K244" t="s">
        <v>7</v>
      </c>
      <c r="L244" t="s">
        <v>44</v>
      </c>
      <c r="M244">
        <v>372</v>
      </c>
      <c r="N244">
        <v>2</v>
      </c>
      <c r="O244">
        <v>0</v>
      </c>
      <c r="P244">
        <v>81.88</v>
      </c>
      <c r="Q244">
        <v>82.67</v>
      </c>
      <c r="R244" t="s">
        <v>45</v>
      </c>
      <c r="S244">
        <f>Sheet1[[#This Row],[Ship_date]]-Sheet1[[#This Row],[Order_date]]</f>
        <v>0</v>
      </c>
      <c r="T244">
        <f>Sheet1[[#This Row],[Quantity]]*Sheet1[[#This Row],[Sales]]</f>
        <v>744</v>
      </c>
      <c r="U244">
        <f>Sheet1[[#This Row],[Total Sales]]*Sheet1[[#This Row],[Discount]]</f>
        <v>0</v>
      </c>
      <c r="V244" s="4">
        <f>Sheet1[[#This Row],[Total Sales]]-Sheet1[[#This Row],[Total Sales]]*Sheet1[[#This Row],[Discount]]</f>
        <v>744</v>
      </c>
      <c r="W244" s="4">
        <f>Sheet1[[#This Row],[Quantity]]*Sheet1[[#This Row],[Profit]]</f>
        <v>163.76</v>
      </c>
      <c r="X244" s="5">
        <f>Sheet1[[#This Row],[Total Profit]]/Sheet1[[#This Row],[Sales After Discount]]</f>
        <v>0.22010752688172042</v>
      </c>
      <c r="Y244" s="4">
        <f>Sheet1[[#This Row],[Shipping_cost]]*Sheet1[[#This Row],[Quantity]]</f>
        <v>165.34</v>
      </c>
      <c r="Z244" s="4">
        <f>Sheet1[[#This Row],[Total Profit]]-Sheet1[[#This Row],[Total Shipping Cost]]</f>
        <v>-1.5800000000000125</v>
      </c>
      <c r="AA244" s="4" t="str">
        <f>IF(Sheet1[[#This Row],[Net Profit]]&gt;0,"Profit","Loss")</f>
        <v>Loss</v>
      </c>
    </row>
    <row r="245" spans="1:27" x14ac:dyDescent="0.25">
      <c r="A245" t="s">
        <v>438</v>
      </c>
      <c r="B245" s="1">
        <v>40563</v>
      </c>
      <c r="C245" s="1">
        <v>40564</v>
      </c>
      <c r="D245" t="s">
        <v>142</v>
      </c>
      <c r="E245" t="s">
        <v>439</v>
      </c>
      <c r="F245" t="s">
        <v>3</v>
      </c>
      <c r="G245" t="s">
        <v>440</v>
      </c>
      <c r="H245" t="s">
        <v>126</v>
      </c>
      <c r="I245" t="s">
        <v>127</v>
      </c>
      <c r="J245" t="s">
        <v>192</v>
      </c>
      <c r="K245" t="s">
        <v>32</v>
      </c>
      <c r="L245" t="s">
        <v>67</v>
      </c>
      <c r="M245">
        <v>181</v>
      </c>
      <c r="N245">
        <v>5</v>
      </c>
      <c r="O245">
        <v>0.7</v>
      </c>
      <c r="P245">
        <v>-320.59699999999998</v>
      </c>
      <c r="Q245">
        <v>29.68</v>
      </c>
      <c r="R245" t="s">
        <v>9</v>
      </c>
      <c r="S245">
        <f>Sheet1[[#This Row],[Ship_date]]-Sheet1[[#This Row],[Order_date]]</f>
        <v>1</v>
      </c>
      <c r="T245">
        <f>Sheet1[[#This Row],[Quantity]]*Sheet1[[#This Row],[Sales]]</f>
        <v>905</v>
      </c>
      <c r="U245">
        <f>Sheet1[[#This Row],[Total Sales]]*Sheet1[[#This Row],[Discount]]</f>
        <v>633.5</v>
      </c>
      <c r="V245" s="4">
        <f>Sheet1[[#This Row],[Total Sales]]-Sheet1[[#This Row],[Total Sales]]*Sheet1[[#This Row],[Discount]]</f>
        <v>271.5</v>
      </c>
      <c r="W245" s="4">
        <f>Sheet1[[#This Row],[Quantity]]*Sheet1[[#This Row],[Profit]]</f>
        <v>-1602.9849999999999</v>
      </c>
      <c r="X245" s="5">
        <f>Sheet1[[#This Row],[Total Profit]]/Sheet1[[#This Row],[Sales After Discount]]</f>
        <v>-5.9041804788213623</v>
      </c>
      <c r="Y245" s="4">
        <f>Sheet1[[#This Row],[Shipping_cost]]*Sheet1[[#This Row],[Quantity]]</f>
        <v>148.4</v>
      </c>
      <c r="Z245" s="4">
        <f>Sheet1[[#This Row],[Total Profit]]-Sheet1[[#This Row],[Total Shipping Cost]]</f>
        <v>-1751.385</v>
      </c>
      <c r="AA245" s="4" t="str">
        <f>IF(Sheet1[[#This Row],[Net Profit]]&gt;0,"Profit","Loss")</f>
        <v>Loss</v>
      </c>
    </row>
    <row r="246" spans="1:27" x14ac:dyDescent="0.25">
      <c r="A246" t="s">
        <v>441</v>
      </c>
      <c r="B246" s="1">
        <v>40563</v>
      </c>
      <c r="C246" s="1">
        <v>40565</v>
      </c>
      <c r="D246" t="s">
        <v>142</v>
      </c>
      <c r="E246" t="s">
        <v>442</v>
      </c>
      <c r="F246" t="s">
        <v>3</v>
      </c>
      <c r="G246" t="s">
        <v>90</v>
      </c>
      <c r="H246" t="s">
        <v>81</v>
      </c>
      <c r="I246" t="s">
        <v>22</v>
      </c>
      <c r="J246" t="s">
        <v>22</v>
      </c>
      <c r="K246" t="s">
        <v>32</v>
      </c>
      <c r="L246" t="s">
        <v>56</v>
      </c>
      <c r="M246">
        <v>141</v>
      </c>
      <c r="N246">
        <v>1</v>
      </c>
      <c r="O246">
        <v>0</v>
      </c>
      <c r="P246">
        <v>57.75</v>
      </c>
      <c r="Q246">
        <v>20.93</v>
      </c>
      <c r="R246" t="s">
        <v>9</v>
      </c>
      <c r="S246">
        <f>Sheet1[[#This Row],[Ship_date]]-Sheet1[[#This Row],[Order_date]]</f>
        <v>2</v>
      </c>
      <c r="T246">
        <f>Sheet1[[#This Row],[Quantity]]*Sheet1[[#This Row],[Sales]]</f>
        <v>141</v>
      </c>
      <c r="U246">
        <f>Sheet1[[#This Row],[Total Sales]]*Sheet1[[#This Row],[Discount]]</f>
        <v>0</v>
      </c>
      <c r="V246" s="4">
        <f>Sheet1[[#This Row],[Total Sales]]-Sheet1[[#This Row],[Total Sales]]*Sheet1[[#This Row],[Discount]]</f>
        <v>141</v>
      </c>
      <c r="W246" s="4">
        <f>Sheet1[[#This Row],[Quantity]]*Sheet1[[#This Row],[Profit]]</f>
        <v>57.75</v>
      </c>
      <c r="X246" s="5">
        <f>Sheet1[[#This Row],[Total Profit]]/Sheet1[[#This Row],[Sales After Discount]]</f>
        <v>0.40957446808510639</v>
      </c>
      <c r="Y246" s="4">
        <f>Sheet1[[#This Row],[Shipping_cost]]*Sheet1[[#This Row],[Quantity]]</f>
        <v>20.93</v>
      </c>
      <c r="Z246" s="4">
        <f>Sheet1[[#This Row],[Total Profit]]-Sheet1[[#This Row],[Total Shipping Cost]]</f>
        <v>36.82</v>
      </c>
      <c r="AA246" s="4" t="str">
        <f>IF(Sheet1[[#This Row],[Net Profit]]&gt;0,"Profit","Loss")</f>
        <v>Profit</v>
      </c>
    </row>
    <row r="247" spans="1:27" x14ac:dyDescent="0.25">
      <c r="A247" t="s">
        <v>443</v>
      </c>
      <c r="B247" s="1">
        <v>40563</v>
      </c>
      <c r="C247" s="1">
        <v>40568</v>
      </c>
      <c r="D247" t="s">
        <v>1</v>
      </c>
      <c r="E247" t="s">
        <v>444</v>
      </c>
      <c r="F247" t="s">
        <v>26</v>
      </c>
      <c r="G247" t="s">
        <v>445</v>
      </c>
      <c r="H247" t="s">
        <v>106</v>
      </c>
      <c r="I247" t="s">
        <v>75</v>
      </c>
      <c r="J247" t="s">
        <v>30</v>
      </c>
      <c r="K247" t="s">
        <v>32</v>
      </c>
      <c r="L247" t="s">
        <v>67</v>
      </c>
      <c r="M247">
        <v>196</v>
      </c>
      <c r="N247">
        <v>1</v>
      </c>
      <c r="O247">
        <v>0.2</v>
      </c>
      <c r="P247">
        <v>-34.252000000000002</v>
      </c>
      <c r="Q247">
        <v>17.079999999999998</v>
      </c>
      <c r="R247" t="s">
        <v>9</v>
      </c>
      <c r="S247">
        <f>Sheet1[[#This Row],[Ship_date]]-Sheet1[[#This Row],[Order_date]]</f>
        <v>5</v>
      </c>
      <c r="T247">
        <f>Sheet1[[#This Row],[Quantity]]*Sheet1[[#This Row],[Sales]]</f>
        <v>196</v>
      </c>
      <c r="U247">
        <f>Sheet1[[#This Row],[Total Sales]]*Sheet1[[#This Row],[Discount]]</f>
        <v>39.200000000000003</v>
      </c>
      <c r="V247" s="4">
        <f>Sheet1[[#This Row],[Total Sales]]-Sheet1[[#This Row],[Total Sales]]*Sheet1[[#This Row],[Discount]]</f>
        <v>156.80000000000001</v>
      </c>
      <c r="W247" s="4">
        <f>Sheet1[[#This Row],[Quantity]]*Sheet1[[#This Row],[Profit]]</f>
        <v>-34.252000000000002</v>
      </c>
      <c r="X247" s="5">
        <f>Sheet1[[#This Row],[Total Profit]]/Sheet1[[#This Row],[Sales After Discount]]</f>
        <v>-0.2184438775510204</v>
      </c>
      <c r="Y247" s="4">
        <f>Sheet1[[#This Row],[Shipping_cost]]*Sheet1[[#This Row],[Quantity]]</f>
        <v>17.079999999999998</v>
      </c>
      <c r="Z247" s="4">
        <f>Sheet1[[#This Row],[Total Profit]]-Sheet1[[#This Row],[Total Shipping Cost]]</f>
        <v>-51.332000000000001</v>
      </c>
      <c r="AA247" s="4" t="str">
        <f>IF(Sheet1[[#This Row],[Net Profit]]&gt;0,"Profit","Loss")</f>
        <v>Loss</v>
      </c>
    </row>
    <row r="248" spans="1:27" x14ac:dyDescent="0.25">
      <c r="A248" t="s">
        <v>438</v>
      </c>
      <c r="B248" s="1">
        <v>40563</v>
      </c>
      <c r="C248" s="1">
        <v>40564</v>
      </c>
      <c r="D248" t="s">
        <v>142</v>
      </c>
      <c r="E248" t="s">
        <v>439</v>
      </c>
      <c r="F248" t="s">
        <v>3</v>
      </c>
      <c r="G248" t="s">
        <v>440</v>
      </c>
      <c r="H248" t="s">
        <v>126</v>
      </c>
      <c r="I248" t="s">
        <v>127</v>
      </c>
      <c r="J248" t="s">
        <v>192</v>
      </c>
      <c r="K248" t="s">
        <v>7</v>
      </c>
      <c r="L248" t="s">
        <v>31</v>
      </c>
      <c r="M248">
        <v>56</v>
      </c>
      <c r="N248">
        <v>4</v>
      </c>
      <c r="O248">
        <v>0.2</v>
      </c>
      <c r="P248">
        <v>19.622399999999999</v>
      </c>
      <c r="Q248">
        <v>14.49</v>
      </c>
      <c r="R248" t="s">
        <v>9</v>
      </c>
      <c r="S248">
        <f>Sheet1[[#This Row],[Ship_date]]-Sheet1[[#This Row],[Order_date]]</f>
        <v>1</v>
      </c>
      <c r="T248">
        <f>Sheet1[[#This Row],[Quantity]]*Sheet1[[#This Row],[Sales]]</f>
        <v>224</v>
      </c>
      <c r="U248">
        <f>Sheet1[[#This Row],[Total Sales]]*Sheet1[[#This Row],[Discount]]</f>
        <v>44.800000000000004</v>
      </c>
      <c r="V248" s="4">
        <f>Sheet1[[#This Row],[Total Sales]]-Sheet1[[#This Row],[Total Sales]]*Sheet1[[#This Row],[Discount]]</f>
        <v>179.2</v>
      </c>
      <c r="W248" s="4">
        <f>Sheet1[[#This Row],[Quantity]]*Sheet1[[#This Row],[Profit]]</f>
        <v>78.489599999999996</v>
      </c>
      <c r="X248" s="5">
        <f>Sheet1[[#This Row],[Total Profit]]/Sheet1[[#This Row],[Sales After Discount]]</f>
        <v>0.438</v>
      </c>
      <c r="Y248" s="4">
        <f>Sheet1[[#This Row],[Shipping_cost]]*Sheet1[[#This Row],[Quantity]]</f>
        <v>57.96</v>
      </c>
      <c r="Z248" s="4">
        <f>Sheet1[[#This Row],[Total Profit]]-Sheet1[[#This Row],[Total Shipping Cost]]</f>
        <v>20.529599999999995</v>
      </c>
      <c r="AA248" s="4" t="str">
        <f>IF(Sheet1[[#This Row],[Net Profit]]&gt;0,"Profit","Loss")</f>
        <v>Profit</v>
      </c>
    </row>
    <row r="249" spans="1:27" x14ac:dyDescent="0.25">
      <c r="A249" t="s">
        <v>433</v>
      </c>
      <c r="B249" s="1">
        <v>40563</v>
      </c>
      <c r="C249" s="1">
        <v>40563</v>
      </c>
      <c r="D249" t="s">
        <v>41</v>
      </c>
      <c r="E249" t="s">
        <v>434</v>
      </c>
      <c r="F249" t="s">
        <v>26</v>
      </c>
      <c r="G249" t="s">
        <v>164</v>
      </c>
      <c r="H249" t="s">
        <v>165</v>
      </c>
      <c r="I249" t="s">
        <v>6</v>
      </c>
      <c r="J249" t="s">
        <v>6</v>
      </c>
      <c r="K249" t="s">
        <v>7</v>
      </c>
      <c r="L249" t="s">
        <v>8</v>
      </c>
      <c r="M249">
        <v>49</v>
      </c>
      <c r="N249">
        <v>1</v>
      </c>
      <c r="O249">
        <v>0</v>
      </c>
      <c r="P249">
        <v>15.51</v>
      </c>
      <c r="Q249">
        <v>11.64</v>
      </c>
      <c r="R249" t="s">
        <v>23</v>
      </c>
      <c r="S249">
        <f>Sheet1[[#This Row],[Ship_date]]-Sheet1[[#This Row],[Order_date]]</f>
        <v>0</v>
      </c>
      <c r="T249">
        <f>Sheet1[[#This Row],[Quantity]]*Sheet1[[#This Row],[Sales]]</f>
        <v>49</v>
      </c>
      <c r="U249">
        <f>Sheet1[[#This Row],[Total Sales]]*Sheet1[[#This Row],[Discount]]</f>
        <v>0</v>
      </c>
      <c r="V249" s="4">
        <f>Sheet1[[#This Row],[Total Sales]]-Sheet1[[#This Row],[Total Sales]]*Sheet1[[#This Row],[Discount]]</f>
        <v>49</v>
      </c>
      <c r="W249" s="4">
        <f>Sheet1[[#This Row],[Quantity]]*Sheet1[[#This Row],[Profit]]</f>
        <v>15.51</v>
      </c>
      <c r="X249" s="5">
        <f>Sheet1[[#This Row],[Total Profit]]/Sheet1[[#This Row],[Sales After Discount]]</f>
        <v>0.31653061224489798</v>
      </c>
      <c r="Y249" s="4">
        <f>Sheet1[[#This Row],[Shipping_cost]]*Sheet1[[#This Row],[Quantity]]</f>
        <v>11.64</v>
      </c>
      <c r="Z249" s="4">
        <f>Sheet1[[#This Row],[Total Profit]]-Sheet1[[#This Row],[Total Shipping Cost]]</f>
        <v>3.8699999999999992</v>
      </c>
      <c r="AA249" s="4" t="str">
        <f>IF(Sheet1[[#This Row],[Net Profit]]&gt;0,"Profit","Loss")</f>
        <v>Profit</v>
      </c>
    </row>
    <row r="250" spans="1:27" x14ac:dyDescent="0.25">
      <c r="A250" t="s">
        <v>438</v>
      </c>
      <c r="B250" s="1">
        <v>40563</v>
      </c>
      <c r="C250" s="1">
        <v>40564</v>
      </c>
      <c r="D250" t="s">
        <v>142</v>
      </c>
      <c r="E250" t="s">
        <v>439</v>
      </c>
      <c r="F250" t="s">
        <v>3</v>
      </c>
      <c r="G250" t="s">
        <v>440</v>
      </c>
      <c r="H250" t="s">
        <v>126</v>
      </c>
      <c r="I250" t="s">
        <v>127</v>
      </c>
      <c r="J250" t="s">
        <v>192</v>
      </c>
      <c r="K250" t="s">
        <v>7</v>
      </c>
      <c r="L250" t="s">
        <v>96</v>
      </c>
      <c r="M250">
        <v>109</v>
      </c>
      <c r="N250">
        <v>5</v>
      </c>
      <c r="O250">
        <v>0.2</v>
      </c>
      <c r="P250">
        <v>36.692999999999998</v>
      </c>
      <c r="Q250">
        <v>10.39</v>
      </c>
      <c r="R250" t="s">
        <v>9</v>
      </c>
      <c r="S250">
        <f>Sheet1[[#This Row],[Ship_date]]-Sheet1[[#This Row],[Order_date]]</f>
        <v>1</v>
      </c>
      <c r="T250">
        <f>Sheet1[[#This Row],[Quantity]]*Sheet1[[#This Row],[Sales]]</f>
        <v>545</v>
      </c>
      <c r="U250">
        <f>Sheet1[[#This Row],[Total Sales]]*Sheet1[[#This Row],[Discount]]</f>
        <v>109</v>
      </c>
      <c r="V250" s="4">
        <f>Sheet1[[#This Row],[Total Sales]]-Sheet1[[#This Row],[Total Sales]]*Sheet1[[#This Row],[Discount]]</f>
        <v>436</v>
      </c>
      <c r="W250" s="4">
        <f>Sheet1[[#This Row],[Quantity]]*Sheet1[[#This Row],[Profit]]</f>
        <v>183.46499999999997</v>
      </c>
      <c r="X250" s="5">
        <f>Sheet1[[#This Row],[Total Profit]]/Sheet1[[#This Row],[Sales After Discount]]</f>
        <v>0.42079128440366964</v>
      </c>
      <c r="Y250" s="4">
        <f>Sheet1[[#This Row],[Shipping_cost]]*Sheet1[[#This Row],[Quantity]]</f>
        <v>51.95</v>
      </c>
      <c r="Z250" s="4">
        <f>Sheet1[[#This Row],[Total Profit]]-Sheet1[[#This Row],[Total Shipping Cost]]</f>
        <v>131.51499999999999</v>
      </c>
      <c r="AA250" s="4" t="str">
        <f>IF(Sheet1[[#This Row],[Net Profit]]&gt;0,"Profit","Loss")</f>
        <v>Profit</v>
      </c>
    </row>
    <row r="251" spans="1:27" x14ac:dyDescent="0.25">
      <c r="A251" t="s">
        <v>446</v>
      </c>
      <c r="B251" s="1">
        <v>40563</v>
      </c>
      <c r="C251" s="1">
        <v>40568</v>
      </c>
      <c r="D251" t="s">
        <v>1</v>
      </c>
      <c r="E251" t="s">
        <v>447</v>
      </c>
      <c r="F251" t="s">
        <v>3</v>
      </c>
      <c r="G251" t="s">
        <v>153</v>
      </c>
      <c r="H251" t="s">
        <v>115</v>
      </c>
      <c r="I251" t="s">
        <v>29</v>
      </c>
      <c r="J251" t="s">
        <v>76</v>
      </c>
      <c r="K251" t="s">
        <v>7</v>
      </c>
      <c r="L251" t="s">
        <v>91</v>
      </c>
      <c r="M251">
        <v>58</v>
      </c>
      <c r="N251">
        <v>2</v>
      </c>
      <c r="O251">
        <v>0</v>
      </c>
      <c r="P251">
        <v>7.56</v>
      </c>
      <c r="Q251">
        <v>8.77</v>
      </c>
      <c r="R251" t="s">
        <v>23</v>
      </c>
      <c r="S251">
        <f>Sheet1[[#This Row],[Ship_date]]-Sheet1[[#This Row],[Order_date]]</f>
        <v>5</v>
      </c>
      <c r="T251">
        <f>Sheet1[[#This Row],[Quantity]]*Sheet1[[#This Row],[Sales]]</f>
        <v>116</v>
      </c>
      <c r="U251">
        <f>Sheet1[[#This Row],[Total Sales]]*Sheet1[[#This Row],[Discount]]</f>
        <v>0</v>
      </c>
      <c r="V251" s="4">
        <f>Sheet1[[#This Row],[Total Sales]]-Sheet1[[#This Row],[Total Sales]]*Sheet1[[#This Row],[Discount]]</f>
        <v>116</v>
      </c>
      <c r="W251" s="4">
        <f>Sheet1[[#This Row],[Quantity]]*Sheet1[[#This Row],[Profit]]</f>
        <v>15.12</v>
      </c>
      <c r="X251" s="5">
        <f>Sheet1[[#This Row],[Total Profit]]/Sheet1[[#This Row],[Sales After Discount]]</f>
        <v>0.13034482758620689</v>
      </c>
      <c r="Y251" s="4">
        <f>Sheet1[[#This Row],[Shipping_cost]]*Sheet1[[#This Row],[Quantity]]</f>
        <v>17.54</v>
      </c>
      <c r="Z251" s="4">
        <f>Sheet1[[#This Row],[Total Profit]]-Sheet1[[#This Row],[Total Shipping Cost]]</f>
        <v>-2.42</v>
      </c>
      <c r="AA251" s="4" t="str">
        <f>IF(Sheet1[[#This Row],[Net Profit]]&gt;0,"Profit","Loss")</f>
        <v>Loss</v>
      </c>
    </row>
    <row r="252" spans="1:27" x14ac:dyDescent="0.25">
      <c r="A252" t="s">
        <v>433</v>
      </c>
      <c r="B252" s="1">
        <v>40563</v>
      </c>
      <c r="C252" s="1">
        <v>40563</v>
      </c>
      <c r="D252" t="s">
        <v>41</v>
      </c>
      <c r="E252" t="s">
        <v>434</v>
      </c>
      <c r="F252" t="s">
        <v>26</v>
      </c>
      <c r="G252" t="s">
        <v>164</v>
      </c>
      <c r="H252" t="s">
        <v>165</v>
      </c>
      <c r="I252" t="s">
        <v>6</v>
      </c>
      <c r="J252" t="s">
        <v>6</v>
      </c>
      <c r="K252" t="s">
        <v>7</v>
      </c>
      <c r="L252" t="s">
        <v>8</v>
      </c>
      <c r="M252">
        <v>48</v>
      </c>
      <c r="N252">
        <v>1</v>
      </c>
      <c r="O252">
        <v>0</v>
      </c>
      <c r="P252">
        <v>15.84</v>
      </c>
      <c r="Q252">
        <v>7.92</v>
      </c>
      <c r="R252" t="s">
        <v>23</v>
      </c>
      <c r="S252">
        <f>Sheet1[[#This Row],[Ship_date]]-Sheet1[[#This Row],[Order_date]]</f>
        <v>0</v>
      </c>
      <c r="T252">
        <f>Sheet1[[#This Row],[Quantity]]*Sheet1[[#This Row],[Sales]]</f>
        <v>48</v>
      </c>
      <c r="U252">
        <f>Sheet1[[#This Row],[Total Sales]]*Sheet1[[#This Row],[Discount]]</f>
        <v>0</v>
      </c>
      <c r="V252" s="4">
        <f>Sheet1[[#This Row],[Total Sales]]-Sheet1[[#This Row],[Total Sales]]*Sheet1[[#This Row],[Discount]]</f>
        <v>48</v>
      </c>
      <c r="W252" s="4">
        <f>Sheet1[[#This Row],[Quantity]]*Sheet1[[#This Row],[Profit]]</f>
        <v>15.84</v>
      </c>
      <c r="X252" s="5">
        <f>Sheet1[[#This Row],[Total Profit]]/Sheet1[[#This Row],[Sales After Discount]]</f>
        <v>0.33</v>
      </c>
      <c r="Y252" s="4">
        <f>Sheet1[[#This Row],[Shipping_cost]]*Sheet1[[#This Row],[Quantity]]</f>
        <v>7.92</v>
      </c>
      <c r="Z252" s="4">
        <f>Sheet1[[#This Row],[Total Profit]]-Sheet1[[#This Row],[Total Shipping Cost]]</f>
        <v>7.92</v>
      </c>
      <c r="AA252" s="4" t="str">
        <f>IF(Sheet1[[#This Row],[Net Profit]]&gt;0,"Profit","Loss")</f>
        <v>Profit</v>
      </c>
    </row>
    <row r="253" spans="1:27" x14ac:dyDescent="0.25">
      <c r="A253" t="s">
        <v>448</v>
      </c>
      <c r="B253" s="1">
        <v>40563</v>
      </c>
      <c r="C253" s="1">
        <v>40567</v>
      </c>
      <c r="D253" t="s">
        <v>1</v>
      </c>
      <c r="E253" t="s">
        <v>449</v>
      </c>
      <c r="F253" t="s">
        <v>3</v>
      </c>
      <c r="G253" t="s">
        <v>450</v>
      </c>
      <c r="H253" t="s">
        <v>223</v>
      </c>
      <c r="I253" t="s">
        <v>6</v>
      </c>
      <c r="J253" t="s">
        <v>6</v>
      </c>
      <c r="K253" t="s">
        <v>7</v>
      </c>
      <c r="L253" t="s">
        <v>31</v>
      </c>
      <c r="M253">
        <v>37</v>
      </c>
      <c r="N253">
        <v>4</v>
      </c>
      <c r="O253">
        <v>0.7</v>
      </c>
      <c r="P253">
        <v>-73.680000000000007</v>
      </c>
      <c r="Q253">
        <v>6.08</v>
      </c>
      <c r="R253" t="s">
        <v>23</v>
      </c>
      <c r="S253">
        <f>Sheet1[[#This Row],[Ship_date]]-Sheet1[[#This Row],[Order_date]]</f>
        <v>4</v>
      </c>
      <c r="T253">
        <f>Sheet1[[#This Row],[Quantity]]*Sheet1[[#This Row],[Sales]]</f>
        <v>148</v>
      </c>
      <c r="U253">
        <f>Sheet1[[#This Row],[Total Sales]]*Sheet1[[#This Row],[Discount]]</f>
        <v>103.6</v>
      </c>
      <c r="V253" s="4">
        <f>Sheet1[[#This Row],[Total Sales]]-Sheet1[[#This Row],[Total Sales]]*Sheet1[[#This Row],[Discount]]</f>
        <v>44.400000000000006</v>
      </c>
      <c r="W253" s="4">
        <f>Sheet1[[#This Row],[Quantity]]*Sheet1[[#This Row],[Profit]]</f>
        <v>-294.72000000000003</v>
      </c>
      <c r="X253" s="5">
        <f>Sheet1[[#This Row],[Total Profit]]/Sheet1[[#This Row],[Sales After Discount]]</f>
        <v>-6.6378378378378375</v>
      </c>
      <c r="Y253" s="4">
        <f>Sheet1[[#This Row],[Shipping_cost]]*Sheet1[[#This Row],[Quantity]]</f>
        <v>24.32</v>
      </c>
      <c r="Z253" s="4">
        <f>Sheet1[[#This Row],[Total Profit]]-Sheet1[[#This Row],[Total Shipping Cost]]</f>
        <v>-319.04000000000002</v>
      </c>
      <c r="AA253" s="4" t="str">
        <f>IF(Sheet1[[#This Row],[Net Profit]]&gt;0,"Profit","Loss")</f>
        <v>Loss</v>
      </c>
    </row>
    <row r="254" spans="1:27" x14ac:dyDescent="0.25">
      <c r="A254" t="s">
        <v>438</v>
      </c>
      <c r="B254" s="1">
        <v>40563</v>
      </c>
      <c r="C254" s="1">
        <v>40564</v>
      </c>
      <c r="D254" t="s">
        <v>142</v>
      </c>
      <c r="E254" t="s">
        <v>439</v>
      </c>
      <c r="F254" t="s">
        <v>3</v>
      </c>
      <c r="G254" t="s">
        <v>440</v>
      </c>
      <c r="H254" t="s">
        <v>126</v>
      </c>
      <c r="I254" t="s">
        <v>127</v>
      </c>
      <c r="J254" t="s">
        <v>192</v>
      </c>
      <c r="K254" t="s">
        <v>7</v>
      </c>
      <c r="L254" t="s">
        <v>137</v>
      </c>
      <c r="M254">
        <v>32</v>
      </c>
      <c r="N254">
        <v>10</v>
      </c>
      <c r="O254">
        <v>0.7</v>
      </c>
      <c r="P254">
        <v>-23.716000000000001</v>
      </c>
      <c r="Q254">
        <v>6.03</v>
      </c>
      <c r="R254" t="s">
        <v>9</v>
      </c>
      <c r="S254">
        <f>Sheet1[[#This Row],[Ship_date]]-Sheet1[[#This Row],[Order_date]]</f>
        <v>1</v>
      </c>
      <c r="T254">
        <f>Sheet1[[#This Row],[Quantity]]*Sheet1[[#This Row],[Sales]]</f>
        <v>320</v>
      </c>
      <c r="U254">
        <f>Sheet1[[#This Row],[Total Sales]]*Sheet1[[#This Row],[Discount]]</f>
        <v>224</v>
      </c>
      <c r="V254" s="4">
        <f>Sheet1[[#This Row],[Total Sales]]-Sheet1[[#This Row],[Total Sales]]*Sheet1[[#This Row],[Discount]]</f>
        <v>96</v>
      </c>
      <c r="W254" s="4">
        <f>Sheet1[[#This Row],[Quantity]]*Sheet1[[#This Row],[Profit]]</f>
        <v>-237.16000000000003</v>
      </c>
      <c r="X254" s="5">
        <f>Sheet1[[#This Row],[Total Profit]]/Sheet1[[#This Row],[Sales After Discount]]</f>
        <v>-2.4704166666666669</v>
      </c>
      <c r="Y254" s="4">
        <f>Sheet1[[#This Row],[Shipping_cost]]*Sheet1[[#This Row],[Quantity]]</f>
        <v>60.300000000000004</v>
      </c>
      <c r="Z254" s="4">
        <f>Sheet1[[#This Row],[Total Profit]]-Sheet1[[#This Row],[Total Shipping Cost]]</f>
        <v>-297.46000000000004</v>
      </c>
      <c r="AA254" s="4" t="str">
        <f>IF(Sheet1[[#This Row],[Net Profit]]&gt;0,"Profit","Loss")</f>
        <v>Loss</v>
      </c>
    </row>
    <row r="255" spans="1:27" x14ac:dyDescent="0.25">
      <c r="A255" t="s">
        <v>448</v>
      </c>
      <c r="B255" s="1">
        <v>40563</v>
      </c>
      <c r="C255" s="1">
        <v>40567</v>
      </c>
      <c r="D255" t="s">
        <v>1</v>
      </c>
      <c r="E255" t="s">
        <v>449</v>
      </c>
      <c r="F255" t="s">
        <v>3</v>
      </c>
      <c r="G255" t="s">
        <v>450</v>
      </c>
      <c r="H255" t="s">
        <v>223</v>
      </c>
      <c r="I255" t="s">
        <v>6</v>
      </c>
      <c r="J255" t="s">
        <v>6</v>
      </c>
      <c r="K255" t="s">
        <v>7</v>
      </c>
      <c r="L255" t="s">
        <v>8</v>
      </c>
      <c r="M255">
        <v>24</v>
      </c>
      <c r="N255">
        <v>4</v>
      </c>
      <c r="O255">
        <v>0.7</v>
      </c>
      <c r="P255">
        <v>-42.624000000000002</v>
      </c>
      <c r="Q255">
        <v>3.74</v>
      </c>
      <c r="R255" t="s">
        <v>23</v>
      </c>
      <c r="S255">
        <f>Sheet1[[#This Row],[Ship_date]]-Sheet1[[#This Row],[Order_date]]</f>
        <v>4</v>
      </c>
      <c r="T255">
        <f>Sheet1[[#This Row],[Quantity]]*Sheet1[[#This Row],[Sales]]</f>
        <v>96</v>
      </c>
      <c r="U255">
        <f>Sheet1[[#This Row],[Total Sales]]*Sheet1[[#This Row],[Discount]]</f>
        <v>67.199999999999989</v>
      </c>
      <c r="V255" s="4">
        <f>Sheet1[[#This Row],[Total Sales]]-Sheet1[[#This Row],[Total Sales]]*Sheet1[[#This Row],[Discount]]</f>
        <v>28.800000000000011</v>
      </c>
      <c r="W255" s="4">
        <f>Sheet1[[#This Row],[Quantity]]*Sheet1[[#This Row],[Profit]]</f>
        <v>-170.49600000000001</v>
      </c>
      <c r="X255" s="5">
        <f>Sheet1[[#This Row],[Total Profit]]/Sheet1[[#This Row],[Sales After Discount]]</f>
        <v>-5.9199999999999982</v>
      </c>
      <c r="Y255" s="4">
        <f>Sheet1[[#This Row],[Shipping_cost]]*Sheet1[[#This Row],[Quantity]]</f>
        <v>14.96</v>
      </c>
      <c r="Z255" s="4">
        <f>Sheet1[[#This Row],[Total Profit]]-Sheet1[[#This Row],[Total Shipping Cost]]</f>
        <v>-185.45600000000002</v>
      </c>
      <c r="AA255" s="4" t="str">
        <f>IF(Sheet1[[#This Row],[Net Profit]]&gt;0,"Profit","Loss")</f>
        <v>Loss</v>
      </c>
    </row>
    <row r="256" spans="1:27" x14ac:dyDescent="0.25">
      <c r="A256" t="s">
        <v>451</v>
      </c>
      <c r="B256" s="1">
        <v>40563</v>
      </c>
      <c r="C256" s="1">
        <v>40565</v>
      </c>
      <c r="D256" t="s">
        <v>18</v>
      </c>
      <c r="E256" t="s">
        <v>452</v>
      </c>
      <c r="F256" t="s">
        <v>3</v>
      </c>
      <c r="G256" t="s">
        <v>453</v>
      </c>
      <c r="H256" t="s">
        <v>454</v>
      </c>
      <c r="I256" t="s">
        <v>22</v>
      </c>
      <c r="J256" t="s">
        <v>22</v>
      </c>
      <c r="K256" t="s">
        <v>7</v>
      </c>
      <c r="L256" t="s">
        <v>87</v>
      </c>
      <c r="M256">
        <v>10</v>
      </c>
      <c r="N256">
        <v>1</v>
      </c>
      <c r="O256">
        <v>0</v>
      </c>
      <c r="P256">
        <v>4.83</v>
      </c>
      <c r="Q256">
        <v>2.0499999999999998</v>
      </c>
      <c r="R256" t="s">
        <v>23</v>
      </c>
      <c r="S256">
        <f>Sheet1[[#This Row],[Ship_date]]-Sheet1[[#This Row],[Order_date]]</f>
        <v>2</v>
      </c>
      <c r="T256">
        <f>Sheet1[[#This Row],[Quantity]]*Sheet1[[#This Row],[Sales]]</f>
        <v>10</v>
      </c>
      <c r="U256">
        <f>Sheet1[[#This Row],[Total Sales]]*Sheet1[[#This Row],[Discount]]</f>
        <v>0</v>
      </c>
      <c r="V256" s="4">
        <f>Sheet1[[#This Row],[Total Sales]]-Sheet1[[#This Row],[Total Sales]]*Sheet1[[#This Row],[Discount]]</f>
        <v>10</v>
      </c>
      <c r="W256" s="4">
        <f>Sheet1[[#This Row],[Quantity]]*Sheet1[[#This Row],[Profit]]</f>
        <v>4.83</v>
      </c>
      <c r="X256" s="5">
        <f>Sheet1[[#This Row],[Total Profit]]/Sheet1[[#This Row],[Sales After Discount]]</f>
        <v>0.48299999999999998</v>
      </c>
      <c r="Y256" s="4">
        <f>Sheet1[[#This Row],[Shipping_cost]]*Sheet1[[#This Row],[Quantity]]</f>
        <v>2.0499999999999998</v>
      </c>
      <c r="Z256" s="4">
        <f>Sheet1[[#This Row],[Total Profit]]-Sheet1[[#This Row],[Total Shipping Cost]]</f>
        <v>2.7800000000000002</v>
      </c>
      <c r="AA256" s="4" t="str">
        <f>IF(Sheet1[[#This Row],[Net Profit]]&gt;0,"Profit","Loss")</f>
        <v>Profit</v>
      </c>
    </row>
    <row r="257" spans="1:27" x14ac:dyDescent="0.25">
      <c r="A257" t="s">
        <v>451</v>
      </c>
      <c r="B257" s="1">
        <v>40563</v>
      </c>
      <c r="C257" s="1">
        <v>40565</v>
      </c>
      <c r="D257" t="s">
        <v>18</v>
      </c>
      <c r="E257" t="s">
        <v>452</v>
      </c>
      <c r="F257" t="s">
        <v>3</v>
      </c>
      <c r="G257" t="s">
        <v>453</v>
      </c>
      <c r="H257" t="s">
        <v>454</v>
      </c>
      <c r="I257" t="s">
        <v>22</v>
      </c>
      <c r="J257" t="s">
        <v>22</v>
      </c>
      <c r="K257" t="s">
        <v>7</v>
      </c>
      <c r="L257" t="s">
        <v>87</v>
      </c>
      <c r="M257">
        <v>11</v>
      </c>
      <c r="N257">
        <v>1</v>
      </c>
      <c r="O257">
        <v>0</v>
      </c>
      <c r="P257">
        <v>4.08</v>
      </c>
      <c r="Q257">
        <v>1.48</v>
      </c>
      <c r="R257" t="s">
        <v>23</v>
      </c>
      <c r="S257">
        <f>Sheet1[[#This Row],[Ship_date]]-Sheet1[[#This Row],[Order_date]]</f>
        <v>2</v>
      </c>
      <c r="T257">
        <f>Sheet1[[#This Row],[Quantity]]*Sheet1[[#This Row],[Sales]]</f>
        <v>11</v>
      </c>
      <c r="U257">
        <f>Sheet1[[#This Row],[Total Sales]]*Sheet1[[#This Row],[Discount]]</f>
        <v>0</v>
      </c>
      <c r="V257" s="4">
        <f>Sheet1[[#This Row],[Total Sales]]-Sheet1[[#This Row],[Total Sales]]*Sheet1[[#This Row],[Discount]]</f>
        <v>11</v>
      </c>
      <c r="W257" s="4">
        <f>Sheet1[[#This Row],[Quantity]]*Sheet1[[#This Row],[Profit]]</f>
        <v>4.08</v>
      </c>
      <c r="X257" s="5">
        <f>Sheet1[[#This Row],[Total Profit]]/Sheet1[[#This Row],[Sales After Discount]]</f>
        <v>0.37090909090909091</v>
      </c>
      <c r="Y257" s="4">
        <f>Sheet1[[#This Row],[Shipping_cost]]*Sheet1[[#This Row],[Quantity]]</f>
        <v>1.48</v>
      </c>
      <c r="Z257" s="4">
        <f>Sheet1[[#This Row],[Total Profit]]-Sheet1[[#This Row],[Total Shipping Cost]]</f>
        <v>2.6</v>
      </c>
      <c r="AA257" s="4" t="str">
        <f>IF(Sheet1[[#This Row],[Net Profit]]&gt;0,"Profit","Loss")</f>
        <v>Profit</v>
      </c>
    </row>
    <row r="258" spans="1:27" x14ac:dyDescent="0.25">
      <c r="A258" t="s">
        <v>455</v>
      </c>
      <c r="B258" s="1">
        <v>40563</v>
      </c>
      <c r="C258" s="1">
        <v>40567</v>
      </c>
      <c r="D258" t="s">
        <v>18</v>
      </c>
      <c r="E258" t="s">
        <v>456</v>
      </c>
      <c r="F258" t="s">
        <v>3</v>
      </c>
      <c r="G258" t="s">
        <v>388</v>
      </c>
      <c r="H258" t="s">
        <v>13</v>
      </c>
      <c r="I258" t="s">
        <v>14</v>
      </c>
      <c r="J258" t="s">
        <v>15</v>
      </c>
      <c r="K258" t="s">
        <v>32</v>
      </c>
      <c r="L258" t="s">
        <v>33</v>
      </c>
      <c r="M258">
        <v>139</v>
      </c>
      <c r="N258">
        <v>3</v>
      </c>
      <c r="O258">
        <v>0.1</v>
      </c>
      <c r="P258">
        <v>27.693000000000001</v>
      </c>
      <c r="Q258">
        <v>1.23</v>
      </c>
      <c r="R258" t="s">
        <v>9</v>
      </c>
      <c r="S258">
        <f>Sheet1[[#This Row],[Ship_date]]-Sheet1[[#This Row],[Order_date]]</f>
        <v>4</v>
      </c>
      <c r="T258">
        <f>Sheet1[[#This Row],[Quantity]]*Sheet1[[#This Row],[Sales]]</f>
        <v>417</v>
      </c>
      <c r="U258">
        <f>Sheet1[[#This Row],[Total Sales]]*Sheet1[[#This Row],[Discount]]</f>
        <v>41.7</v>
      </c>
      <c r="V258" s="4">
        <f>Sheet1[[#This Row],[Total Sales]]-Sheet1[[#This Row],[Total Sales]]*Sheet1[[#This Row],[Discount]]</f>
        <v>375.3</v>
      </c>
      <c r="W258" s="4">
        <f>Sheet1[[#This Row],[Quantity]]*Sheet1[[#This Row],[Profit]]</f>
        <v>83.079000000000008</v>
      </c>
      <c r="X258" s="5">
        <f>Sheet1[[#This Row],[Total Profit]]/Sheet1[[#This Row],[Sales After Discount]]</f>
        <v>0.22136690647482016</v>
      </c>
      <c r="Y258" s="4">
        <f>Sheet1[[#This Row],[Shipping_cost]]*Sheet1[[#This Row],[Quantity]]</f>
        <v>3.69</v>
      </c>
      <c r="Z258" s="4">
        <f>Sheet1[[#This Row],[Total Profit]]-Sheet1[[#This Row],[Total Shipping Cost]]</f>
        <v>79.38900000000001</v>
      </c>
      <c r="AA258" s="4" t="str">
        <f>IF(Sheet1[[#This Row],[Net Profit]]&gt;0,"Profit","Loss")</f>
        <v>Profit</v>
      </c>
    </row>
    <row r="259" spans="1:27" x14ac:dyDescent="0.25">
      <c r="A259" t="s">
        <v>457</v>
      </c>
      <c r="B259" s="1">
        <v>40564</v>
      </c>
      <c r="C259" s="1">
        <v>40570</v>
      </c>
      <c r="D259" t="s">
        <v>1</v>
      </c>
      <c r="E259" t="s">
        <v>458</v>
      </c>
      <c r="F259" t="s">
        <v>3</v>
      </c>
      <c r="G259" t="s">
        <v>459</v>
      </c>
      <c r="H259" t="s">
        <v>345</v>
      </c>
      <c r="I259" t="s">
        <v>75</v>
      </c>
      <c r="J259" t="s">
        <v>76</v>
      </c>
      <c r="K259" t="s">
        <v>32</v>
      </c>
      <c r="L259" t="s">
        <v>62</v>
      </c>
      <c r="M259">
        <v>2797</v>
      </c>
      <c r="N259">
        <v>6</v>
      </c>
      <c r="O259">
        <v>0.2</v>
      </c>
      <c r="P259">
        <v>-7.1999999999999995E-2</v>
      </c>
      <c r="Q259">
        <v>320.38</v>
      </c>
      <c r="R259" t="s">
        <v>51</v>
      </c>
      <c r="S259">
        <f>Sheet1[[#This Row],[Ship_date]]-Sheet1[[#This Row],[Order_date]]</f>
        <v>6</v>
      </c>
      <c r="T259">
        <f>Sheet1[[#This Row],[Quantity]]*Sheet1[[#This Row],[Sales]]</f>
        <v>16782</v>
      </c>
      <c r="U259">
        <f>Sheet1[[#This Row],[Total Sales]]*Sheet1[[#This Row],[Discount]]</f>
        <v>3356.4</v>
      </c>
      <c r="V259" s="4">
        <f>Sheet1[[#This Row],[Total Sales]]-Sheet1[[#This Row],[Total Sales]]*Sheet1[[#This Row],[Discount]]</f>
        <v>13425.6</v>
      </c>
      <c r="W259" s="4">
        <f>Sheet1[[#This Row],[Quantity]]*Sheet1[[#This Row],[Profit]]</f>
        <v>-0.43199999999999994</v>
      </c>
      <c r="X259" s="5">
        <f>Sheet1[[#This Row],[Total Profit]]/Sheet1[[#This Row],[Sales After Discount]]</f>
        <v>-3.2177332856632103E-5</v>
      </c>
      <c r="Y259" s="4">
        <f>Sheet1[[#This Row],[Shipping_cost]]*Sheet1[[#This Row],[Quantity]]</f>
        <v>1922.28</v>
      </c>
      <c r="Z259" s="4">
        <f>Sheet1[[#This Row],[Total Profit]]-Sheet1[[#This Row],[Total Shipping Cost]]</f>
        <v>-1922.712</v>
      </c>
      <c r="AA259" s="4" t="str">
        <f>IF(Sheet1[[#This Row],[Net Profit]]&gt;0,"Profit","Loss")</f>
        <v>Loss</v>
      </c>
    </row>
    <row r="260" spans="1:27" x14ac:dyDescent="0.25">
      <c r="A260" t="s">
        <v>460</v>
      </c>
      <c r="B260" s="1">
        <v>40564</v>
      </c>
      <c r="C260" s="1">
        <v>40570</v>
      </c>
      <c r="D260" t="s">
        <v>1</v>
      </c>
      <c r="E260" t="s">
        <v>461</v>
      </c>
      <c r="F260" t="s">
        <v>43</v>
      </c>
      <c r="G260" t="s">
        <v>462</v>
      </c>
      <c r="H260" t="s">
        <v>463</v>
      </c>
      <c r="I260" t="s">
        <v>22</v>
      </c>
      <c r="J260" t="s">
        <v>22</v>
      </c>
      <c r="K260" t="s">
        <v>7</v>
      </c>
      <c r="L260" t="s">
        <v>8</v>
      </c>
      <c r="M260">
        <v>1244</v>
      </c>
      <c r="N260">
        <v>6</v>
      </c>
      <c r="O260">
        <v>0</v>
      </c>
      <c r="P260">
        <v>211.5</v>
      </c>
      <c r="Q260">
        <v>88.66</v>
      </c>
      <c r="R260" t="s">
        <v>9</v>
      </c>
      <c r="S260">
        <f>Sheet1[[#This Row],[Ship_date]]-Sheet1[[#This Row],[Order_date]]</f>
        <v>6</v>
      </c>
      <c r="T260">
        <f>Sheet1[[#This Row],[Quantity]]*Sheet1[[#This Row],[Sales]]</f>
        <v>7464</v>
      </c>
      <c r="U260">
        <f>Sheet1[[#This Row],[Total Sales]]*Sheet1[[#This Row],[Discount]]</f>
        <v>0</v>
      </c>
      <c r="V260" s="4">
        <f>Sheet1[[#This Row],[Total Sales]]-Sheet1[[#This Row],[Total Sales]]*Sheet1[[#This Row],[Discount]]</f>
        <v>7464</v>
      </c>
      <c r="W260" s="4">
        <f>Sheet1[[#This Row],[Quantity]]*Sheet1[[#This Row],[Profit]]</f>
        <v>1269</v>
      </c>
      <c r="X260" s="5">
        <f>Sheet1[[#This Row],[Total Profit]]/Sheet1[[#This Row],[Sales After Discount]]</f>
        <v>0.170016077170418</v>
      </c>
      <c r="Y260" s="4">
        <f>Sheet1[[#This Row],[Shipping_cost]]*Sheet1[[#This Row],[Quantity]]</f>
        <v>531.96</v>
      </c>
      <c r="Z260" s="4">
        <f>Sheet1[[#This Row],[Total Profit]]-Sheet1[[#This Row],[Total Shipping Cost]]</f>
        <v>737.04</v>
      </c>
      <c r="AA260" s="4" t="str">
        <f>IF(Sheet1[[#This Row],[Net Profit]]&gt;0,"Profit","Loss")</f>
        <v>Profit</v>
      </c>
    </row>
    <row r="261" spans="1:27" x14ac:dyDescent="0.25">
      <c r="A261" t="s">
        <v>464</v>
      </c>
      <c r="B261" s="1">
        <v>40564</v>
      </c>
      <c r="C261" s="1">
        <v>40570</v>
      </c>
      <c r="D261" t="s">
        <v>1</v>
      </c>
      <c r="E261" t="s">
        <v>458</v>
      </c>
      <c r="F261" t="s">
        <v>3</v>
      </c>
      <c r="G261" t="s">
        <v>465</v>
      </c>
      <c r="H261" t="s">
        <v>126</v>
      </c>
      <c r="I261" t="s">
        <v>127</v>
      </c>
      <c r="J261" t="s">
        <v>102</v>
      </c>
      <c r="K261" t="s">
        <v>32</v>
      </c>
      <c r="L261" t="s">
        <v>56</v>
      </c>
      <c r="M261">
        <v>1068</v>
      </c>
      <c r="N261">
        <v>3</v>
      </c>
      <c r="O261">
        <v>0</v>
      </c>
      <c r="P261">
        <v>224.26740000000001</v>
      </c>
      <c r="Q261">
        <v>85.72</v>
      </c>
      <c r="R261" t="s">
        <v>9</v>
      </c>
      <c r="S261">
        <f>Sheet1[[#This Row],[Ship_date]]-Sheet1[[#This Row],[Order_date]]</f>
        <v>6</v>
      </c>
      <c r="T261">
        <f>Sheet1[[#This Row],[Quantity]]*Sheet1[[#This Row],[Sales]]</f>
        <v>3204</v>
      </c>
      <c r="U261">
        <f>Sheet1[[#This Row],[Total Sales]]*Sheet1[[#This Row],[Discount]]</f>
        <v>0</v>
      </c>
      <c r="V261" s="4">
        <f>Sheet1[[#This Row],[Total Sales]]-Sheet1[[#This Row],[Total Sales]]*Sheet1[[#This Row],[Discount]]</f>
        <v>3204</v>
      </c>
      <c r="W261" s="4">
        <f>Sheet1[[#This Row],[Quantity]]*Sheet1[[#This Row],[Profit]]</f>
        <v>672.80220000000008</v>
      </c>
      <c r="X261" s="5">
        <f>Sheet1[[#This Row],[Total Profit]]/Sheet1[[#This Row],[Sales After Discount]]</f>
        <v>0.20998820224719103</v>
      </c>
      <c r="Y261" s="4">
        <f>Sheet1[[#This Row],[Shipping_cost]]*Sheet1[[#This Row],[Quantity]]</f>
        <v>257.15999999999997</v>
      </c>
      <c r="Z261" s="4">
        <f>Sheet1[[#This Row],[Total Profit]]-Sheet1[[#This Row],[Total Shipping Cost]]</f>
        <v>415.64220000000012</v>
      </c>
      <c r="AA261" s="4" t="str">
        <f>IF(Sheet1[[#This Row],[Net Profit]]&gt;0,"Profit","Loss")</f>
        <v>Profit</v>
      </c>
    </row>
    <row r="262" spans="1:27" x14ac:dyDescent="0.25">
      <c r="A262" t="s">
        <v>464</v>
      </c>
      <c r="B262" s="1">
        <v>40564</v>
      </c>
      <c r="C262" s="1">
        <v>40570</v>
      </c>
      <c r="D262" t="s">
        <v>1</v>
      </c>
      <c r="E262" t="s">
        <v>458</v>
      </c>
      <c r="F262" t="s">
        <v>3</v>
      </c>
      <c r="G262" t="s">
        <v>465</v>
      </c>
      <c r="H262" t="s">
        <v>126</v>
      </c>
      <c r="I262" t="s">
        <v>127</v>
      </c>
      <c r="J262" t="s">
        <v>102</v>
      </c>
      <c r="K262" t="s">
        <v>38</v>
      </c>
      <c r="L262" t="s">
        <v>77</v>
      </c>
      <c r="M262">
        <v>700</v>
      </c>
      <c r="N262">
        <v>7</v>
      </c>
      <c r="O262">
        <v>0</v>
      </c>
      <c r="P262">
        <v>181.98179999999999</v>
      </c>
      <c r="Q262">
        <v>31.52</v>
      </c>
      <c r="R262" t="s">
        <v>9</v>
      </c>
      <c r="S262">
        <f>Sheet1[[#This Row],[Ship_date]]-Sheet1[[#This Row],[Order_date]]</f>
        <v>6</v>
      </c>
      <c r="T262">
        <f>Sheet1[[#This Row],[Quantity]]*Sheet1[[#This Row],[Sales]]</f>
        <v>4900</v>
      </c>
      <c r="U262">
        <f>Sheet1[[#This Row],[Total Sales]]*Sheet1[[#This Row],[Discount]]</f>
        <v>0</v>
      </c>
      <c r="V262" s="4">
        <f>Sheet1[[#This Row],[Total Sales]]-Sheet1[[#This Row],[Total Sales]]*Sheet1[[#This Row],[Discount]]</f>
        <v>4900</v>
      </c>
      <c r="W262" s="4">
        <f>Sheet1[[#This Row],[Quantity]]*Sheet1[[#This Row],[Profit]]</f>
        <v>1273.8725999999999</v>
      </c>
      <c r="X262" s="5">
        <f>Sheet1[[#This Row],[Total Profit]]/Sheet1[[#This Row],[Sales After Discount]]</f>
        <v>0.25997399999999998</v>
      </c>
      <c r="Y262" s="4">
        <f>Sheet1[[#This Row],[Shipping_cost]]*Sheet1[[#This Row],[Quantity]]</f>
        <v>220.64</v>
      </c>
      <c r="Z262" s="4">
        <f>Sheet1[[#This Row],[Total Profit]]-Sheet1[[#This Row],[Total Shipping Cost]]</f>
        <v>1053.2325999999998</v>
      </c>
      <c r="AA262" s="4" t="str">
        <f>IF(Sheet1[[#This Row],[Net Profit]]&gt;0,"Profit","Loss")</f>
        <v>Profit</v>
      </c>
    </row>
    <row r="263" spans="1:27" x14ac:dyDescent="0.25">
      <c r="A263" t="s">
        <v>457</v>
      </c>
      <c r="B263" s="1">
        <v>40564</v>
      </c>
      <c r="C263" s="1">
        <v>40570</v>
      </c>
      <c r="D263" t="s">
        <v>1</v>
      </c>
      <c r="E263" t="s">
        <v>458</v>
      </c>
      <c r="F263" t="s">
        <v>3</v>
      </c>
      <c r="G263" t="s">
        <v>459</v>
      </c>
      <c r="H263" t="s">
        <v>345</v>
      </c>
      <c r="I263" t="s">
        <v>75</v>
      </c>
      <c r="J263" t="s">
        <v>76</v>
      </c>
      <c r="K263" t="s">
        <v>38</v>
      </c>
      <c r="L263" t="s">
        <v>77</v>
      </c>
      <c r="M263">
        <v>405</v>
      </c>
      <c r="N263">
        <v>4</v>
      </c>
      <c r="O263">
        <v>0</v>
      </c>
      <c r="P263">
        <v>121.44</v>
      </c>
      <c r="Q263">
        <v>26.73</v>
      </c>
      <c r="R263" t="s">
        <v>51</v>
      </c>
      <c r="S263">
        <f>Sheet1[[#This Row],[Ship_date]]-Sheet1[[#This Row],[Order_date]]</f>
        <v>6</v>
      </c>
      <c r="T263">
        <f>Sheet1[[#This Row],[Quantity]]*Sheet1[[#This Row],[Sales]]</f>
        <v>1620</v>
      </c>
      <c r="U263">
        <f>Sheet1[[#This Row],[Total Sales]]*Sheet1[[#This Row],[Discount]]</f>
        <v>0</v>
      </c>
      <c r="V263" s="4">
        <f>Sheet1[[#This Row],[Total Sales]]-Sheet1[[#This Row],[Total Sales]]*Sheet1[[#This Row],[Discount]]</f>
        <v>1620</v>
      </c>
      <c r="W263" s="4">
        <f>Sheet1[[#This Row],[Quantity]]*Sheet1[[#This Row],[Profit]]</f>
        <v>485.76</v>
      </c>
      <c r="X263" s="5">
        <f>Sheet1[[#This Row],[Total Profit]]/Sheet1[[#This Row],[Sales After Discount]]</f>
        <v>0.29985185185185187</v>
      </c>
      <c r="Y263" s="4">
        <f>Sheet1[[#This Row],[Shipping_cost]]*Sheet1[[#This Row],[Quantity]]</f>
        <v>106.92</v>
      </c>
      <c r="Z263" s="4">
        <f>Sheet1[[#This Row],[Total Profit]]-Sheet1[[#This Row],[Total Shipping Cost]]</f>
        <v>378.84</v>
      </c>
      <c r="AA263" s="4" t="str">
        <f>IF(Sheet1[[#This Row],[Net Profit]]&gt;0,"Profit","Loss")</f>
        <v>Profit</v>
      </c>
    </row>
    <row r="264" spans="1:27" x14ac:dyDescent="0.25">
      <c r="A264" t="s">
        <v>460</v>
      </c>
      <c r="B264" s="1">
        <v>40564</v>
      </c>
      <c r="C264" s="1">
        <v>40570</v>
      </c>
      <c r="D264" t="s">
        <v>1</v>
      </c>
      <c r="E264" t="s">
        <v>461</v>
      </c>
      <c r="F264" t="s">
        <v>43</v>
      </c>
      <c r="G264" t="s">
        <v>462</v>
      </c>
      <c r="H264" t="s">
        <v>463</v>
      </c>
      <c r="I264" t="s">
        <v>22</v>
      </c>
      <c r="J264" t="s">
        <v>22</v>
      </c>
      <c r="K264" t="s">
        <v>32</v>
      </c>
      <c r="L264" t="s">
        <v>56</v>
      </c>
      <c r="M264">
        <v>277</v>
      </c>
      <c r="N264">
        <v>2</v>
      </c>
      <c r="O264">
        <v>0</v>
      </c>
      <c r="P264">
        <v>55.38</v>
      </c>
      <c r="Q264">
        <v>24.75</v>
      </c>
      <c r="R264" t="s">
        <v>9</v>
      </c>
      <c r="S264">
        <f>Sheet1[[#This Row],[Ship_date]]-Sheet1[[#This Row],[Order_date]]</f>
        <v>6</v>
      </c>
      <c r="T264">
        <f>Sheet1[[#This Row],[Quantity]]*Sheet1[[#This Row],[Sales]]</f>
        <v>554</v>
      </c>
      <c r="U264">
        <f>Sheet1[[#This Row],[Total Sales]]*Sheet1[[#This Row],[Discount]]</f>
        <v>0</v>
      </c>
      <c r="V264" s="4">
        <f>Sheet1[[#This Row],[Total Sales]]-Sheet1[[#This Row],[Total Sales]]*Sheet1[[#This Row],[Discount]]</f>
        <v>554</v>
      </c>
      <c r="W264" s="4">
        <f>Sheet1[[#This Row],[Quantity]]*Sheet1[[#This Row],[Profit]]</f>
        <v>110.76</v>
      </c>
      <c r="X264" s="5">
        <f>Sheet1[[#This Row],[Total Profit]]/Sheet1[[#This Row],[Sales After Discount]]</f>
        <v>0.19992779783393502</v>
      </c>
      <c r="Y264" s="4">
        <f>Sheet1[[#This Row],[Shipping_cost]]*Sheet1[[#This Row],[Quantity]]</f>
        <v>49.5</v>
      </c>
      <c r="Z264" s="4">
        <f>Sheet1[[#This Row],[Total Profit]]-Sheet1[[#This Row],[Total Shipping Cost]]</f>
        <v>61.260000000000005</v>
      </c>
      <c r="AA264" s="4" t="str">
        <f>IF(Sheet1[[#This Row],[Net Profit]]&gt;0,"Profit","Loss")</f>
        <v>Profit</v>
      </c>
    </row>
    <row r="265" spans="1:27" x14ac:dyDescent="0.25">
      <c r="A265" t="s">
        <v>466</v>
      </c>
      <c r="B265" s="1">
        <v>40564</v>
      </c>
      <c r="C265" s="1">
        <v>40570</v>
      </c>
      <c r="D265" t="s">
        <v>1</v>
      </c>
      <c r="E265" t="s">
        <v>467</v>
      </c>
      <c r="F265" t="s">
        <v>3</v>
      </c>
      <c r="G265" t="s">
        <v>468</v>
      </c>
      <c r="H265" t="s">
        <v>126</v>
      </c>
      <c r="I265" t="s">
        <v>127</v>
      </c>
      <c r="J265" t="s">
        <v>76</v>
      </c>
      <c r="K265" t="s">
        <v>32</v>
      </c>
      <c r="L265" t="s">
        <v>33</v>
      </c>
      <c r="M265">
        <v>273</v>
      </c>
      <c r="N265">
        <v>3</v>
      </c>
      <c r="O265">
        <v>0</v>
      </c>
      <c r="P265">
        <v>30.023399999999999</v>
      </c>
      <c r="Q265">
        <v>20.68</v>
      </c>
      <c r="R265" t="s">
        <v>9</v>
      </c>
      <c r="S265">
        <f>Sheet1[[#This Row],[Ship_date]]-Sheet1[[#This Row],[Order_date]]</f>
        <v>6</v>
      </c>
      <c r="T265">
        <f>Sheet1[[#This Row],[Quantity]]*Sheet1[[#This Row],[Sales]]</f>
        <v>819</v>
      </c>
      <c r="U265">
        <f>Sheet1[[#This Row],[Total Sales]]*Sheet1[[#This Row],[Discount]]</f>
        <v>0</v>
      </c>
      <c r="V265" s="4">
        <f>Sheet1[[#This Row],[Total Sales]]-Sheet1[[#This Row],[Total Sales]]*Sheet1[[#This Row],[Discount]]</f>
        <v>819</v>
      </c>
      <c r="W265" s="4">
        <f>Sheet1[[#This Row],[Quantity]]*Sheet1[[#This Row],[Profit]]</f>
        <v>90.0702</v>
      </c>
      <c r="X265" s="5">
        <f>Sheet1[[#This Row],[Total Profit]]/Sheet1[[#This Row],[Sales After Discount]]</f>
        <v>0.10997582417582417</v>
      </c>
      <c r="Y265" s="4">
        <f>Sheet1[[#This Row],[Shipping_cost]]*Sheet1[[#This Row],[Quantity]]</f>
        <v>62.04</v>
      </c>
      <c r="Z265" s="4">
        <f>Sheet1[[#This Row],[Total Profit]]-Sheet1[[#This Row],[Total Shipping Cost]]</f>
        <v>28.030200000000001</v>
      </c>
      <c r="AA265" s="4" t="str">
        <f>IF(Sheet1[[#This Row],[Net Profit]]&gt;0,"Profit","Loss")</f>
        <v>Profit</v>
      </c>
    </row>
    <row r="266" spans="1:27" x14ac:dyDescent="0.25">
      <c r="A266" t="s">
        <v>457</v>
      </c>
      <c r="B266" s="1">
        <v>40564</v>
      </c>
      <c r="C266" s="1">
        <v>40570</v>
      </c>
      <c r="D266" t="s">
        <v>1</v>
      </c>
      <c r="E266" t="s">
        <v>458</v>
      </c>
      <c r="F266" t="s">
        <v>3</v>
      </c>
      <c r="G266" t="s">
        <v>459</v>
      </c>
      <c r="H266" t="s">
        <v>345</v>
      </c>
      <c r="I266" t="s">
        <v>75</v>
      </c>
      <c r="J266" t="s">
        <v>76</v>
      </c>
      <c r="K266" t="s">
        <v>38</v>
      </c>
      <c r="L266" t="s">
        <v>77</v>
      </c>
      <c r="M266">
        <v>182</v>
      </c>
      <c r="N266">
        <v>2</v>
      </c>
      <c r="O266">
        <v>0</v>
      </c>
      <c r="P266">
        <v>16.399999999999999</v>
      </c>
      <c r="Q266">
        <v>19.100000000000001</v>
      </c>
      <c r="R266" t="s">
        <v>51</v>
      </c>
      <c r="S266">
        <f>Sheet1[[#This Row],[Ship_date]]-Sheet1[[#This Row],[Order_date]]</f>
        <v>6</v>
      </c>
      <c r="T266">
        <f>Sheet1[[#This Row],[Quantity]]*Sheet1[[#This Row],[Sales]]</f>
        <v>364</v>
      </c>
      <c r="U266">
        <f>Sheet1[[#This Row],[Total Sales]]*Sheet1[[#This Row],[Discount]]</f>
        <v>0</v>
      </c>
      <c r="V266" s="4">
        <f>Sheet1[[#This Row],[Total Sales]]-Sheet1[[#This Row],[Total Sales]]*Sheet1[[#This Row],[Discount]]</f>
        <v>364</v>
      </c>
      <c r="W266" s="4">
        <f>Sheet1[[#This Row],[Quantity]]*Sheet1[[#This Row],[Profit]]</f>
        <v>32.799999999999997</v>
      </c>
      <c r="X266" s="5">
        <f>Sheet1[[#This Row],[Total Profit]]/Sheet1[[#This Row],[Sales After Discount]]</f>
        <v>9.0109890109890109E-2</v>
      </c>
      <c r="Y266" s="4">
        <f>Sheet1[[#This Row],[Shipping_cost]]*Sheet1[[#This Row],[Quantity]]</f>
        <v>38.200000000000003</v>
      </c>
      <c r="Z266" s="4">
        <f>Sheet1[[#This Row],[Total Profit]]-Sheet1[[#This Row],[Total Shipping Cost]]</f>
        <v>-5.4000000000000057</v>
      </c>
      <c r="AA266" s="4" t="str">
        <f>IF(Sheet1[[#This Row],[Net Profit]]&gt;0,"Profit","Loss")</f>
        <v>Loss</v>
      </c>
    </row>
    <row r="267" spans="1:27" x14ac:dyDescent="0.25">
      <c r="A267" t="s">
        <v>469</v>
      </c>
      <c r="B267" s="1">
        <v>40564</v>
      </c>
      <c r="C267" s="1">
        <v>40569</v>
      </c>
      <c r="D267" t="s">
        <v>1</v>
      </c>
      <c r="E267" t="s">
        <v>470</v>
      </c>
      <c r="F267" t="s">
        <v>3</v>
      </c>
      <c r="G267" t="s">
        <v>471</v>
      </c>
      <c r="H267" t="s">
        <v>305</v>
      </c>
      <c r="I267" t="s">
        <v>29</v>
      </c>
      <c r="J267" t="s">
        <v>76</v>
      </c>
      <c r="K267" t="s">
        <v>38</v>
      </c>
      <c r="L267" t="s">
        <v>82</v>
      </c>
      <c r="M267">
        <v>495</v>
      </c>
      <c r="N267">
        <v>2</v>
      </c>
      <c r="O267">
        <v>0</v>
      </c>
      <c r="P267">
        <v>232.8</v>
      </c>
      <c r="Q267">
        <v>18.43</v>
      </c>
      <c r="R267" t="s">
        <v>9</v>
      </c>
      <c r="S267">
        <f>Sheet1[[#This Row],[Ship_date]]-Sheet1[[#This Row],[Order_date]]</f>
        <v>5</v>
      </c>
      <c r="T267">
        <f>Sheet1[[#This Row],[Quantity]]*Sheet1[[#This Row],[Sales]]</f>
        <v>990</v>
      </c>
      <c r="U267">
        <f>Sheet1[[#This Row],[Total Sales]]*Sheet1[[#This Row],[Discount]]</f>
        <v>0</v>
      </c>
      <c r="V267" s="4">
        <f>Sheet1[[#This Row],[Total Sales]]-Sheet1[[#This Row],[Total Sales]]*Sheet1[[#This Row],[Discount]]</f>
        <v>990</v>
      </c>
      <c r="W267" s="4">
        <f>Sheet1[[#This Row],[Quantity]]*Sheet1[[#This Row],[Profit]]</f>
        <v>465.6</v>
      </c>
      <c r="X267" s="5">
        <f>Sheet1[[#This Row],[Total Profit]]/Sheet1[[#This Row],[Sales After Discount]]</f>
        <v>0.47030303030303033</v>
      </c>
      <c r="Y267" s="4">
        <f>Sheet1[[#This Row],[Shipping_cost]]*Sheet1[[#This Row],[Quantity]]</f>
        <v>36.86</v>
      </c>
      <c r="Z267" s="4">
        <f>Sheet1[[#This Row],[Total Profit]]-Sheet1[[#This Row],[Total Shipping Cost]]</f>
        <v>428.74</v>
      </c>
      <c r="AA267" s="4" t="str">
        <f>IF(Sheet1[[#This Row],[Net Profit]]&gt;0,"Profit","Loss")</f>
        <v>Profit</v>
      </c>
    </row>
    <row r="268" spans="1:27" x14ac:dyDescent="0.25">
      <c r="A268" t="s">
        <v>466</v>
      </c>
      <c r="B268" s="1">
        <v>40564</v>
      </c>
      <c r="C268" s="1">
        <v>40570</v>
      </c>
      <c r="D268" t="s">
        <v>1</v>
      </c>
      <c r="E268" t="s">
        <v>467</v>
      </c>
      <c r="F268" t="s">
        <v>3</v>
      </c>
      <c r="G268" t="s">
        <v>468</v>
      </c>
      <c r="H268" t="s">
        <v>126</v>
      </c>
      <c r="I268" t="s">
        <v>127</v>
      </c>
      <c r="J268" t="s">
        <v>76</v>
      </c>
      <c r="K268" t="s">
        <v>7</v>
      </c>
      <c r="L268" t="s">
        <v>44</v>
      </c>
      <c r="M268">
        <v>248</v>
      </c>
      <c r="N268">
        <v>4</v>
      </c>
      <c r="O268">
        <v>0.1</v>
      </c>
      <c r="P268">
        <v>93.581599999999995</v>
      </c>
      <c r="Q268">
        <v>14.53</v>
      </c>
      <c r="R268" t="s">
        <v>9</v>
      </c>
      <c r="S268">
        <f>Sheet1[[#This Row],[Ship_date]]-Sheet1[[#This Row],[Order_date]]</f>
        <v>6</v>
      </c>
      <c r="T268">
        <f>Sheet1[[#This Row],[Quantity]]*Sheet1[[#This Row],[Sales]]</f>
        <v>992</v>
      </c>
      <c r="U268">
        <f>Sheet1[[#This Row],[Total Sales]]*Sheet1[[#This Row],[Discount]]</f>
        <v>99.2</v>
      </c>
      <c r="V268" s="4">
        <f>Sheet1[[#This Row],[Total Sales]]-Sheet1[[#This Row],[Total Sales]]*Sheet1[[#This Row],[Discount]]</f>
        <v>892.8</v>
      </c>
      <c r="W268" s="4">
        <f>Sheet1[[#This Row],[Quantity]]*Sheet1[[#This Row],[Profit]]</f>
        <v>374.32639999999998</v>
      </c>
      <c r="X268" s="5">
        <f>Sheet1[[#This Row],[Total Profit]]/Sheet1[[#This Row],[Sales After Discount]]</f>
        <v>0.41927240143369177</v>
      </c>
      <c r="Y268" s="4">
        <f>Sheet1[[#This Row],[Shipping_cost]]*Sheet1[[#This Row],[Quantity]]</f>
        <v>58.12</v>
      </c>
      <c r="Z268" s="4">
        <f>Sheet1[[#This Row],[Total Profit]]-Sheet1[[#This Row],[Total Shipping Cost]]</f>
        <v>316.20639999999997</v>
      </c>
      <c r="AA268" s="4" t="str">
        <f>IF(Sheet1[[#This Row],[Net Profit]]&gt;0,"Profit","Loss")</f>
        <v>Profit</v>
      </c>
    </row>
    <row r="269" spans="1:27" x14ac:dyDescent="0.25">
      <c r="A269" t="s">
        <v>457</v>
      </c>
      <c r="B269" s="1">
        <v>40564</v>
      </c>
      <c r="C269" s="1">
        <v>40570</v>
      </c>
      <c r="D269" t="s">
        <v>1</v>
      </c>
      <c r="E269" t="s">
        <v>458</v>
      </c>
      <c r="F269" t="s">
        <v>3</v>
      </c>
      <c r="G269" t="s">
        <v>459</v>
      </c>
      <c r="H269" t="s">
        <v>345</v>
      </c>
      <c r="I269" t="s">
        <v>75</v>
      </c>
      <c r="J269" t="s">
        <v>76</v>
      </c>
      <c r="K269" t="s">
        <v>7</v>
      </c>
      <c r="L269" t="s">
        <v>16</v>
      </c>
      <c r="M269">
        <v>107</v>
      </c>
      <c r="N269">
        <v>5</v>
      </c>
      <c r="O269">
        <v>0</v>
      </c>
      <c r="P269">
        <v>46.1</v>
      </c>
      <c r="Q269">
        <v>8.92</v>
      </c>
      <c r="R269" t="s">
        <v>51</v>
      </c>
      <c r="S269">
        <f>Sheet1[[#This Row],[Ship_date]]-Sheet1[[#This Row],[Order_date]]</f>
        <v>6</v>
      </c>
      <c r="T269">
        <f>Sheet1[[#This Row],[Quantity]]*Sheet1[[#This Row],[Sales]]</f>
        <v>535</v>
      </c>
      <c r="U269">
        <f>Sheet1[[#This Row],[Total Sales]]*Sheet1[[#This Row],[Discount]]</f>
        <v>0</v>
      </c>
      <c r="V269" s="4">
        <f>Sheet1[[#This Row],[Total Sales]]-Sheet1[[#This Row],[Total Sales]]*Sheet1[[#This Row],[Discount]]</f>
        <v>535</v>
      </c>
      <c r="W269" s="4">
        <f>Sheet1[[#This Row],[Quantity]]*Sheet1[[#This Row],[Profit]]</f>
        <v>230.5</v>
      </c>
      <c r="X269" s="5">
        <f>Sheet1[[#This Row],[Total Profit]]/Sheet1[[#This Row],[Sales After Discount]]</f>
        <v>0.43084112149532711</v>
      </c>
      <c r="Y269" s="4">
        <f>Sheet1[[#This Row],[Shipping_cost]]*Sheet1[[#This Row],[Quantity]]</f>
        <v>44.6</v>
      </c>
      <c r="Z269" s="4">
        <f>Sheet1[[#This Row],[Total Profit]]-Sheet1[[#This Row],[Total Shipping Cost]]</f>
        <v>185.9</v>
      </c>
      <c r="AA269" s="4" t="str">
        <f>IF(Sheet1[[#This Row],[Net Profit]]&gt;0,"Profit","Loss")</f>
        <v>Profit</v>
      </c>
    </row>
    <row r="270" spans="1:27" x14ac:dyDescent="0.25">
      <c r="A270" t="s">
        <v>466</v>
      </c>
      <c r="B270" s="1">
        <v>40564</v>
      </c>
      <c r="C270" s="1">
        <v>40570</v>
      </c>
      <c r="D270" t="s">
        <v>1</v>
      </c>
      <c r="E270" t="s">
        <v>467</v>
      </c>
      <c r="F270" t="s">
        <v>3</v>
      </c>
      <c r="G270" t="s">
        <v>468</v>
      </c>
      <c r="H270" t="s">
        <v>126</v>
      </c>
      <c r="I270" t="s">
        <v>127</v>
      </c>
      <c r="J270" t="s">
        <v>76</v>
      </c>
      <c r="K270" t="s">
        <v>7</v>
      </c>
      <c r="L270" t="s">
        <v>8</v>
      </c>
      <c r="M270">
        <v>67</v>
      </c>
      <c r="N270">
        <v>2</v>
      </c>
      <c r="O270">
        <v>0</v>
      </c>
      <c r="P270">
        <v>15.979200000000001</v>
      </c>
      <c r="Q270">
        <v>8.4</v>
      </c>
      <c r="R270" t="s">
        <v>9</v>
      </c>
      <c r="S270">
        <f>Sheet1[[#This Row],[Ship_date]]-Sheet1[[#This Row],[Order_date]]</f>
        <v>6</v>
      </c>
      <c r="T270">
        <f>Sheet1[[#This Row],[Quantity]]*Sheet1[[#This Row],[Sales]]</f>
        <v>134</v>
      </c>
      <c r="U270">
        <f>Sheet1[[#This Row],[Total Sales]]*Sheet1[[#This Row],[Discount]]</f>
        <v>0</v>
      </c>
      <c r="V270" s="4">
        <f>Sheet1[[#This Row],[Total Sales]]-Sheet1[[#This Row],[Total Sales]]*Sheet1[[#This Row],[Discount]]</f>
        <v>134</v>
      </c>
      <c r="W270" s="4">
        <f>Sheet1[[#This Row],[Quantity]]*Sheet1[[#This Row],[Profit]]</f>
        <v>31.958400000000001</v>
      </c>
      <c r="X270" s="5">
        <f>Sheet1[[#This Row],[Total Profit]]/Sheet1[[#This Row],[Sales After Discount]]</f>
        <v>0.23849552238805971</v>
      </c>
      <c r="Y270" s="4">
        <f>Sheet1[[#This Row],[Shipping_cost]]*Sheet1[[#This Row],[Quantity]]</f>
        <v>16.8</v>
      </c>
      <c r="Z270" s="4">
        <f>Sheet1[[#This Row],[Total Profit]]-Sheet1[[#This Row],[Total Shipping Cost]]</f>
        <v>15.1584</v>
      </c>
      <c r="AA270" s="4" t="str">
        <f>IF(Sheet1[[#This Row],[Net Profit]]&gt;0,"Profit","Loss")</f>
        <v>Profit</v>
      </c>
    </row>
    <row r="271" spans="1:27" x14ac:dyDescent="0.25">
      <c r="A271" t="s">
        <v>460</v>
      </c>
      <c r="B271" s="1">
        <v>40564</v>
      </c>
      <c r="C271" s="1">
        <v>40570</v>
      </c>
      <c r="D271" t="s">
        <v>1</v>
      </c>
      <c r="E271" t="s">
        <v>461</v>
      </c>
      <c r="F271" t="s">
        <v>43</v>
      </c>
      <c r="G271" t="s">
        <v>462</v>
      </c>
      <c r="H271" t="s">
        <v>463</v>
      </c>
      <c r="I271" t="s">
        <v>22</v>
      </c>
      <c r="J271" t="s">
        <v>22</v>
      </c>
      <c r="K271" t="s">
        <v>7</v>
      </c>
      <c r="L271" t="s">
        <v>16</v>
      </c>
      <c r="M271">
        <v>85</v>
      </c>
      <c r="N271">
        <v>2</v>
      </c>
      <c r="O271">
        <v>0</v>
      </c>
      <c r="P271">
        <v>12.66</v>
      </c>
      <c r="Q271">
        <v>6.06</v>
      </c>
      <c r="R271" t="s">
        <v>9</v>
      </c>
      <c r="S271">
        <f>Sheet1[[#This Row],[Ship_date]]-Sheet1[[#This Row],[Order_date]]</f>
        <v>6</v>
      </c>
      <c r="T271">
        <f>Sheet1[[#This Row],[Quantity]]*Sheet1[[#This Row],[Sales]]</f>
        <v>170</v>
      </c>
      <c r="U271">
        <f>Sheet1[[#This Row],[Total Sales]]*Sheet1[[#This Row],[Discount]]</f>
        <v>0</v>
      </c>
      <c r="V271" s="4">
        <f>Sheet1[[#This Row],[Total Sales]]-Sheet1[[#This Row],[Total Sales]]*Sheet1[[#This Row],[Discount]]</f>
        <v>170</v>
      </c>
      <c r="W271" s="4">
        <f>Sheet1[[#This Row],[Quantity]]*Sheet1[[#This Row],[Profit]]</f>
        <v>25.32</v>
      </c>
      <c r="X271" s="5">
        <f>Sheet1[[#This Row],[Total Profit]]/Sheet1[[#This Row],[Sales After Discount]]</f>
        <v>0.14894117647058824</v>
      </c>
      <c r="Y271" s="4">
        <f>Sheet1[[#This Row],[Shipping_cost]]*Sheet1[[#This Row],[Quantity]]</f>
        <v>12.12</v>
      </c>
      <c r="Z271" s="4">
        <f>Sheet1[[#This Row],[Total Profit]]-Sheet1[[#This Row],[Total Shipping Cost]]</f>
        <v>13.200000000000001</v>
      </c>
      <c r="AA271" s="4" t="str">
        <f>IF(Sheet1[[#This Row],[Net Profit]]&gt;0,"Profit","Loss")</f>
        <v>Profit</v>
      </c>
    </row>
    <row r="272" spans="1:27" x14ac:dyDescent="0.25">
      <c r="A272" t="s">
        <v>457</v>
      </c>
      <c r="B272" s="1">
        <v>40564</v>
      </c>
      <c r="C272" s="1">
        <v>40570</v>
      </c>
      <c r="D272" t="s">
        <v>1</v>
      </c>
      <c r="E272" t="s">
        <v>458</v>
      </c>
      <c r="F272" t="s">
        <v>3</v>
      </c>
      <c r="G272" t="s">
        <v>459</v>
      </c>
      <c r="H272" t="s">
        <v>345</v>
      </c>
      <c r="I272" t="s">
        <v>75</v>
      </c>
      <c r="J272" t="s">
        <v>76</v>
      </c>
      <c r="K272" t="s">
        <v>7</v>
      </c>
      <c r="L272" t="s">
        <v>137</v>
      </c>
      <c r="M272">
        <v>61</v>
      </c>
      <c r="N272">
        <v>8</v>
      </c>
      <c r="O272">
        <v>0</v>
      </c>
      <c r="P272">
        <v>28.64</v>
      </c>
      <c r="Q272">
        <v>5.22</v>
      </c>
      <c r="R272" t="s">
        <v>51</v>
      </c>
      <c r="S272">
        <f>Sheet1[[#This Row],[Ship_date]]-Sheet1[[#This Row],[Order_date]]</f>
        <v>6</v>
      </c>
      <c r="T272">
        <f>Sheet1[[#This Row],[Quantity]]*Sheet1[[#This Row],[Sales]]</f>
        <v>488</v>
      </c>
      <c r="U272">
        <f>Sheet1[[#This Row],[Total Sales]]*Sheet1[[#This Row],[Discount]]</f>
        <v>0</v>
      </c>
      <c r="V272" s="4">
        <f>Sheet1[[#This Row],[Total Sales]]-Sheet1[[#This Row],[Total Sales]]*Sheet1[[#This Row],[Discount]]</f>
        <v>488</v>
      </c>
      <c r="W272" s="4">
        <f>Sheet1[[#This Row],[Quantity]]*Sheet1[[#This Row],[Profit]]</f>
        <v>229.12</v>
      </c>
      <c r="X272" s="5">
        <f>Sheet1[[#This Row],[Total Profit]]/Sheet1[[#This Row],[Sales After Discount]]</f>
        <v>0.4695081967213115</v>
      </c>
      <c r="Y272" s="4">
        <f>Sheet1[[#This Row],[Shipping_cost]]*Sheet1[[#This Row],[Quantity]]</f>
        <v>41.76</v>
      </c>
      <c r="Z272" s="4">
        <f>Sheet1[[#This Row],[Total Profit]]-Sheet1[[#This Row],[Total Shipping Cost]]</f>
        <v>187.36</v>
      </c>
      <c r="AA272" s="4" t="str">
        <f>IF(Sheet1[[#This Row],[Net Profit]]&gt;0,"Profit","Loss")</f>
        <v>Profit</v>
      </c>
    </row>
    <row r="273" spans="1:27" x14ac:dyDescent="0.25">
      <c r="A273" t="s">
        <v>466</v>
      </c>
      <c r="B273" s="1">
        <v>40564</v>
      </c>
      <c r="C273" s="1">
        <v>40570</v>
      </c>
      <c r="D273" t="s">
        <v>1</v>
      </c>
      <c r="E273" t="s">
        <v>467</v>
      </c>
      <c r="F273" t="s">
        <v>3</v>
      </c>
      <c r="G273" t="s">
        <v>468</v>
      </c>
      <c r="H273" t="s">
        <v>126</v>
      </c>
      <c r="I273" t="s">
        <v>127</v>
      </c>
      <c r="J273" t="s">
        <v>76</v>
      </c>
      <c r="K273" t="s">
        <v>7</v>
      </c>
      <c r="L273" t="s">
        <v>91</v>
      </c>
      <c r="M273">
        <v>44</v>
      </c>
      <c r="N273">
        <v>3</v>
      </c>
      <c r="O273">
        <v>0</v>
      </c>
      <c r="P273">
        <v>12.736800000000001</v>
      </c>
      <c r="Q273">
        <v>4.88</v>
      </c>
      <c r="R273" t="s">
        <v>9</v>
      </c>
      <c r="S273">
        <f>Sheet1[[#This Row],[Ship_date]]-Sheet1[[#This Row],[Order_date]]</f>
        <v>6</v>
      </c>
      <c r="T273">
        <f>Sheet1[[#This Row],[Quantity]]*Sheet1[[#This Row],[Sales]]</f>
        <v>132</v>
      </c>
      <c r="U273">
        <f>Sheet1[[#This Row],[Total Sales]]*Sheet1[[#This Row],[Discount]]</f>
        <v>0</v>
      </c>
      <c r="V273" s="4">
        <f>Sheet1[[#This Row],[Total Sales]]-Sheet1[[#This Row],[Total Sales]]*Sheet1[[#This Row],[Discount]]</f>
        <v>132</v>
      </c>
      <c r="W273" s="4">
        <f>Sheet1[[#This Row],[Quantity]]*Sheet1[[#This Row],[Profit]]</f>
        <v>38.2104</v>
      </c>
      <c r="X273" s="5">
        <f>Sheet1[[#This Row],[Total Profit]]/Sheet1[[#This Row],[Sales After Discount]]</f>
        <v>0.28947272727272727</v>
      </c>
      <c r="Y273" s="4">
        <f>Sheet1[[#This Row],[Shipping_cost]]*Sheet1[[#This Row],[Quantity]]</f>
        <v>14.64</v>
      </c>
      <c r="Z273" s="4">
        <f>Sheet1[[#This Row],[Total Profit]]-Sheet1[[#This Row],[Total Shipping Cost]]</f>
        <v>23.570399999999999</v>
      </c>
      <c r="AA273" s="4" t="str">
        <f>IF(Sheet1[[#This Row],[Net Profit]]&gt;0,"Profit","Loss")</f>
        <v>Profit</v>
      </c>
    </row>
    <row r="274" spans="1:27" x14ac:dyDescent="0.25">
      <c r="A274" t="s">
        <v>472</v>
      </c>
      <c r="B274" s="1">
        <v>40564</v>
      </c>
      <c r="C274" s="1">
        <v>40569</v>
      </c>
      <c r="D274" t="s">
        <v>1</v>
      </c>
      <c r="E274" t="s">
        <v>473</v>
      </c>
      <c r="F274" t="s">
        <v>43</v>
      </c>
      <c r="G274" t="s">
        <v>90</v>
      </c>
      <c r="H274" t="s">
        <v>81</v>
      </c>
      <c r="I274" t="s">
        <v>22</v>
      </c>
      <c r="J274" t="s">
        <v>22</v>
      </c>
      <c r="K274" t="s">
        <v>7</v>
      </c>
      <c r="L274" t="s">
        <v>8</v>
      </c>
      <c r="M274">
        <v>61</v>
      </c>
      <c r="N274">
        <v>1</v>
      </c>
      <c r="O274">
        <v>0</v>
      </c>
      <c r="P274">
        <v>18.96</v>
      </c>
      <c r="Q274">
        <v>4.6100000000000003</v>
      </c>
      <c r="R274" t="s">
        <v>9</v>
      </c>
      <c r="S274">
        <f>Sheet1[[#This Row],[Ship_date]]-Sheet1[[#This Row],[Order_date]]</f>
        <v>5</v>
      </c>
      <c r="T274">
        <f>Sheet1[[#This Row],[Quantity]]*Sheet1[[#This Row],[Sales]]</f>
        <v>61</v>
      </c>
      <c r="U274">
        <f>Sheet1[[#This Row],[Total Sales]]*Sheet1[[#This Row],[Discount]]</f>
        <v>0</v>
      </c>
      <c r="V274" s="4">
        <f>Sheet1[[#This Row],[Total Sales]]-Sheet1[[#This Row],[Total Sales]]*Sheet1[[#This Row],[Discount]]</f>
        <v>61</v>
      </c>
      <c r="W274" s="4">
        <f>Sheet1[[#This Row],[Quantity]]*Sheet1[[#This Row],[Profit]]</f>
        <v>18.96</v>
      </c>
      <c r="X274" s="5">
        <f>Sheet1[[#This Row],[Total Profit]]/Sheet1[[#This Row],[Sales After Discount]]</f>
        <v>0.31081967213114753</v>
      </c>
      <c r="Y274" s="4">
        <f>Sheet1[[#This Row],[Shipping_cost]]*Sheet1[[#This Row],[Quantity]]</f>
        <v>4.6100000000000003</v>
      </c>
      <c r="Z274" s="4">
        <f>Sheet1[[#This Row],[Total Profit]]-Sheet1[[#This Row],[Total Shipping Cost]]</f>
        <v>14.350000000000001</v>
      </c>
      <c r="AA274" s="4" t="str">
        <f>IF(Sheet1[[#This Row],[Net Profit]]&gt;0,"Profit","Loss")</f>
        <v>Profit</v>
      </c>
    </row>
    <row r="275" spans="1:27" x14ac:dyDescent="0.25">
      <c r="A275" t="s">
        <v>474</v>
      </c>
      <c r="B275" s="1">
        <v>40564</v>
      </c>
      <c r="C275" s="1">
        <v>40570</v>
      </c>
      <c r="D275" t="s">
        <v>1</v>
      </c>
      <c r="E275" t="s">
        <v>475</v>
      </c>
      <c r="F275" t="s">
        <v>43</v>
      </c>
      <c r="G275" t="s">
        <v>476</v>
      </c>
      <c r="H275" t="s">
        <v>126</v>
      </c>
      <c r="I275" t="s">
        <v>127</v>
      </c>
      <c r="J275" t="s">
        <v>102</v>
      </c>
      <c r="K275" t="s">
        <v>7</v>
      </c>
      <c r="L275" t="s">
        <v>137</v>
      </c>
      <c r="M275">
        <v>67</v>
      </c>
      <c r="N275">
        <v>1</v>
      </c>
      <c r="O275">
        <v>0.7</v>
      </c>
      <c r="P275">
        <v>-51.5154</v>
      </c>
      <c r="Q275">
        <v>3</v>
      </c>
      <c r="R275" t="s">
        <v>9</v>
      </c>
      <c r="S275">
        <f>Sheet1[[#This Row],[Ship_date]]-Sheet1[[#This Row],[Order_date]]</f>
        <v>6</v>
      </c>
      <c r="T275">
        <f>Sheet1[[#This Row],[Quantity]]*Sheet1[[#This Row],[Sales]]</f>
        <v>67</v>
      </c>
      <c r="U275">
        <f>Sheet1[[#This Row],[Total Sales]]*Sheet1[[#This Row],[Discount]]</f>
        <v>46.9</v>
      </c>
      <c r="V275" s="4">
        <f>Sheet1[[#This Row],[Total Sales]]-Sheet1[[#This Row],[Total Sales]]*Sheet1[[#This Row],[Discount]]</f>
        <v>20.100000000000001</v>
      </c>
      <c r="W275" s="4">
        <f>Sheet1[[#This Row],[Quantity]]*Sheet1[[#This Row],[Profit]]</f>
        <v>-51.5154</v>
      </c>
      <c r="X275" s="5">
        <f>Sheet1[[#This Row],[Total Profit]]/Sheet1[[#This Row],[Sales After Discount]]</f>
        <v>-2.5629552238805968</v>
      </c>
      <c r="Y275" s="4">
        <f>Sheet1[[#This Row],[Shipping_cost]]*Sheet1[[#This Row],[Quantity]]</f>
        <v>3</v>
      </c>
      <c r="Z275" s="4">
        <f>Sheet1[[#This Row],[Total Profit]]-Sheet1[[#This Row],[Total Shipping Cost]]</f>
        <v>-54.5154</v>
      </c>
      <c r="AA275" s="4" t="str">
        <f>IF(Sheet1[[#This Row],[Net Profit]]&gt;0,"Profit","Loss")</f>
        <v>Loss</v>
      </c>
    </row>
    <row r="276" spans="1:27" x14ac:dyDescent="0.25">
      <c r="A276" t="s">
        <v>464</v>
      </c>
      <c r="B276" s="1">
        <v>40564</v>
      </c>
      <c r="C276" s="1">
        <v>40570</v>
      </c>
      <c r="D276" t="s">
        <v>1</v>
      </c>
      <c r="E276" t="s">
        <v>458</v>
      </c>
      <c r="F276" t="s">
        <v>3</v>
      </c>
      <c r="G276" t="s">
        <v>465</v>
      </c>
      <c r="H276" t="s">
        <v>126</v>
      </c>
      <c r="I276" t="s">
        <v>127</v>
      </c>
      <c r="J276" t="s">
        <v>102</v>
      </c>
      <c r="K276" t="s">
        <v>7</v>
      </c>
      <c r="L276" t="s">
        <v>96</v>
      </c>
      <c r="M276">
        <v>23</v>
      </c>
      <c r="N276">
        <v>3</v>
      </c>
      <c r="O276">
        <v>0</v>
      </c>
      <c r="P276">
        <v>10.969799999999999</v>
      </c>
      <c r="Q276">
        <v>2.6</v>
      </c>
      <c r="R276" t="s">
        <v>9</v>
      </c>
      <c r="S276">
        <f>Sheet1[[#This Row],[Ship_date]]-Sheet1[[#This Row],[Order_date]]</f>
        <v>6</v>
      </c>
      <c r="T276">
        <f>Sheet1[[#This Row],[Quantity]]*Sheet1[[#This Row],[Sales]]</f>
        <v>69</v>
      </c>
      <c r="U276">
        <f>Sheet1[[#This Row],[Total Sales]]*Sheet1[[#This Row],[Discount]]</f>
        <v>0</v>
      </c>
      <c r="V276" s="4">
        <f>Sheet1[[#This Row],[Total Sales]]-Sheet1[[#This Row],[Total Sales]]*Sheet1[[#This Row],[Discount]]</f>
        <v>69</v>
      </c>
      <c r="W276" s="4">
        <f>Sheet1[[#This Row],[Quantity]]*Sheet1[[#This Row],[Profit]]</f>
        <v>32.909399999999998</v>
      </c>
      <c r="X276" s="5">
        <f>Sheet1[[#This Row],[Total Profit]]/Sheet1[[#This Row],[Sales After Discount]]</f>
        <v>0.47694782608695652</v>
      </c>
      <c r="Y276" s="4">
        <f>Sheet1[[#This Row],[Shipping_cost]]*Sheet1[[#This Row],[Quantity]]</f>
        <v>7.8000000000000007</v>
      </c>
      <c r="Z276" s="4">
        <f>Sheet1[[#This Row],[Total Profit]]-Sheet1[[#This Row],[Total Shipping Cost]]</f>
        <v>25.109399999999997</v>
      </c>
      <c r="AA276" s="4" t="str">
        <f>IF(Sheet1[[#This Row],[Net Profit]]&gt;0,"Profit","Loss")</f>
        <v>Profit</v>
      </c>
    </row>
    <row r="277" spans="1:27" x14ac:dyDescent="0.25">
      <c r="A277" t="s">
        <v>464</v>
      </c>
      <c r="B277" s="1">
        <v>40564</v>
      </c>
      <c r="C277" s="1">
        <v>40570</v>
      </c>
      <c r="D277" t="s">
        <v>1</v>
      </c>
      <c r="E277" t="s">
        <v>458</v>
      </c>
      <c r="F277" t="s">
        <v>3</v>
      </c>
      <c r="G277" t="s">
        <v>465</v>
      </c>
      <c r="H277" t="s">
        <v>126</v>
      </c>
      <c r="I277" t="s">
        <v>127</v>
      </c>
      <c r="J277" t="s">
        <v>102</v>
      </c>
      <c r="K277" t="s">
        <v>32</v>
      </c>
      <c r="L277" t="s">
        <v>33</v>
      </c>
      <c r="M277">
        <v>39</v>
      </c>
      <c r="N277">
        <v>4</v>
      </c>
      <c r="O277">
        <v>0</v>
      </c>
      <c r="P277">
        <v>11.58</v>
      </c>
      <c r="Q277">
        <v>2.57</v>
      </c>
      <c r="R277" t="s">
        <v>9</v>
      </c>
      <c r="S277">
        <f>Sheet1[[#This Row],[Ship_date]]-Sheet1[[#This Row],[Order_date]]</f>
        <v>6</v>
      </c>
      <c r="T277">
        <f>Sheet1[[#This Row],[Quantity]]*Sheet1[[#This Row],[Sales]]</f>
        <v>156</v>
      </c>
      <c r="U277">
        <f>Sheet1[[#This Row],[Total Sales]]*Sheet1[[#This Row],[Discount]]</f>
        <v>0</v>
      </c>
      <c r="V277" s="4">
        <f>Sheet1[[#This Row],[Total Sales]]-Sheet1[[#This Row],[Total Sales]]*Sheet1[[#This Row],[Discount]]</f>
        <v>156</v>
      </c>
      <c r="W277" s="4">
        <f>Sheet1[[#This Row],[Quantity]]*Sheet1[[#This Row],[Profit]]</f>
        <v>46.32</v>
      </c>
      <c r="X277" s="5">
        <f>Sheet1[[#This Row],[Total Profit]]/Sheet1[[#This Row],[Sales After Discount]]</f>
        <v>0.2969230769230769</v>
      </c>
      <c r="Y277" s="4">
        <f>Sheet1[[#This Row],[Shipping_cost]]*Sheet1[[#This Row],[Quantity]]</f>
        <v>10.28</v>
      </c>
      <c r="Z277" s="4">
        <f>Sheet1[[#This Row],[Total Profit]]-Sheet1[[#This Row],[Total Shipping Cost]]</f>
        <v>36.04</v>
      </c>
      <c r="AA277" s="4" t="str">
        <f>IF(Sheet1[[#This Row],[Net Profit]]&gt;0,"Profit","Loss")</f>
        <v>Profit</v>
      </c>
    </row>
    <row r="278" spans="1:27" x14ac:dyDescent="0.25">
      <c r="A278" t="s">
        <v>477</v>
      </c>
      <c r="B278" s="1">
        <v>40564</v>
      </c>
      <c r="C278" s="1">
        <v>40568</v>
      </c>
      <c r="D278" t="s">
        <v>1</v>
      </c>
      <c r="E278" t="s">
        <v>421</v>
      </c>
      <c r="F278" t="s">
        <v>43</v>
      </c>
      <c r="G278" t="s">
        <v>264</v>
      </c>
      <c r="H278" t="s">
        <v>86</v>
      </c>
      <c r="I278" t="s">
        <v>14</v>
      </c>
      <c r="J278" t="s">
        <v>61</v>
      </c>
      <c r="K278" t="s">
        <v>7</v>
      </c>
      <c r="L278" t="s">
        <v>91</v>
      </c>
      <c r="M278">
        <v>52</v>
      </c>
      <c r="N278">
        <v>2</v>
      </c>
      <c r="O278">
        <v>0.47</v>
      </c>
      <c r="P278">
        <v>-24.380400000000002</v>
      </c>
      <c r="Q278">
        <v>2.02</v>
      </c>
      <c r="R278" t="s">
        <v>9</v>
      </c>
      <c r="S278">
        <f>Sheet1[[#This Row],[Ship_date]]-Sheet1[[#This Row],[Order_date]]</f>
        <v>4</v>
      </c>
      <c r="T278">
        <f>Sheet1[[#This Row],[Quantity]]*Sheet1[[#This Row],[Sales]]</f>
        <v>104</v>
      </c>
      <c r="U278">
        <f>Sheet1[[#This Row],[Total Sales]]*Sheet1[[#This Row],[Discount]]</f>
        <v>48.879999999999995</v>
      </c>
      <c r="V278" s="4">
        <f>Sheet1[[#This Row],[Total Sales]]-Sheet1[[#This Row],[Total Sales]]*Sheet1[[#This Row],[Discount]]</f>
        <v>55.120000000000005</v>
      </c>
      <c r="W278" s="4">
        <f>Sheet1[[#This Row],[Quantity]]*Sheet1[[#This Row],[Profit]]</f>
        <v>-48.760800000000003</v>
      </c>
      <c r="X278" s="5">
        <f>Sheet1[[#This Row],[Total Profit]]/Sheet1[[#This Row],[Sales After Discount]]</f>
        <v>-0.88462989840348327</v>
      </c>
      <c r="Y278" s="4">
        <f>Sheet1[[#This Row],[Shipping_cost]]*Sheet1[[#This Row],[Quantity]]</f>
        <v>4.04</v>
      </c>
      <c r="Z278" s="4">
        <f>Sheet1[[#This Row],[Total Profit]]-Sheet1[[#This Row],[Total Shipping Cost]]</f>
        <v>-52.800800000000002</v>
      </c>
      <c r="AA278" s="4" t="str">
        <f>IF(Sheet1[[#This Row],[Net Profit]]&gt;0,"Profit","Loss")</f>
        <v>Loss</v>
      </c>
    </row>
    <row r="279" spans="1:27" x14ac:dyDescent="0.25">
      <c r="A279" t="s">
        <v>466</v>
      </c>
      <c r="B279" s="1">
        <v>40564</v>
      </c>
      <c r="C279" s="1">
        <v>40570</v>
      </c>
      <c r="D279" t="s">
        <v>1</v>
      </c>
      <c r="E279" t="s">
        <v>467</v>
      </c>
      <c r="F279" t="s">
        <v>3</v>
      </c>
      <c r="G279" t="s">
        <v>468</v>
      </c>
      <c r="H279" t="s">
        <v>126</v>
      </c>
      <c r="I279" t="s">
        <v>127</v>
      </c>
      <c r="J279" t="s">
        <v>76</v>
      </c>
      <c r="K279" t="s">
        <v>7</v>
      </c>
      <c r="L279" t="s">
        <v>137</v>
      </c>
      <c r="M279">
        <v>30</v>
      </c>
      <c r="N279">
        <v>5</v>
      </c>
      <c r="O279">
        <v>0</v>
      </c>
      <c r="P279">
        <v>13.365</v>
      </c>
      <c r="Q279">
        <v>1.98</v>
      </c>
      <c r="R279" t="s">
        <v>9</v>
      </c>
      <c r="S279">
        <f>Sheet1[[#This Row],[Ship_date]]-Sheet1[[#This Row],[Order_date]]</f>
        <v>6</v>
      </c>
      <c r="T279">
        <f>Sheet1[[#This Row],[Quantity]]*Sheet1[[#This Row],[Sales]]</f>
        <v>150</v>
      </c>
      <c r="U279">
        <f>Sheet1[[#This Row],[Total Sales]]*Sheet1[[#This Row],[Discount]]</f>
        <v>0</v>
      </c>
      <c r="V279" s="4">
        <f>Sheet1[[#This Row],[Total Sales]]-Sheet1[[#This Row],[Total Sales]]*Sheet1[[#This Row],[Discount]]</f>
        <v>150</v>
      </c>
      <c r="W279" s="4">
        <f>Sheet1[[#This Row],[Quantity]]*Sheet1[[#This Row],[Profit]]</f>
        <v>66.825000000000003</v>
      </c>
      <c r="X279" s="5">
        <f>Sheet1[[#This Row],[Total Profit]]/Sheet1[[#This Row],[Sales After Discount]]</f>
        <v>0.44550000000000001</v>
      </c>
      <c r="Y279" s="4">
        <f>Sheet1[[#This Row],[Shipping_cost]]*Sheet1[[#This Row],[Quantity]]</f>
        <v>9.9</v>
      </c>
      <c r="Z279" s="4">
        <f>Sheet1[[#This Row],[Total Profit]]-Sheet1[[#This Row],[Total Shipping Cost]]</f>
        <v>56.925000000000004</v>
      </c>
      <c r="AA279" s="4" t="str">
        <f>IF(Sheet1[[#This Row],[Net Profit]]&gt;0,"Profit","Loss")</f>
        <v>Profit</v>
      </c>
    </row>
    <row r="280" spans="1:27" x14ac:dyDescent="0.25">
      <c r="A280" t="s">
        <v>460</v>
      </c>
      <c r="B280" s="1">
        <v>40564</v>
      </c>
      <c r="C280" s="1">
        <v>40570</v>
      </c>
      <c r="D280" t="s">
        <v>1</v>
      </c>
      <c r="E280" t="s">
        <v>461</v>
      </c>
      <c r="F280" t="s">
        <v>43</v>
      </c>
      <c r="G280" t="s">
        <v>462</v>
      </c>
      <c r="H280" t="s">
        <v>463</v>
      </c>
      <c r="I280" t="s">
        <v>22</v>
      </c>
      <c r="J280" t="s">
        <v>22</v>
      </c>
      <c r="K280" t="s">
        <v>7</v>
      </c>
      <c r="L280" t="s">
        <v>96</v>
      </c>
      <c r="M280">
        <v>27</v>
      </c>
      <c r="N280">
        <v>1</v>
      </c>
      <c r="O280">
        <v>0</v>
      </c>
      <c r="P280">
        <v>2.4300000000000002</v>
      </c>
      <c r="Q280">
        <v>1.58</v>
      </c>
      <c r="R280" t="s">
        <v>9</v>
      </c>
      <c r="S280">
        <f>Sheet1[[#This Row],[Ship_date]]-Sheet1[[#This Row],[Order_date]]</f>
        <v>6</v>
      </c>
      <c r="T280">
        <f>Sheet1[[#This Row],[Quantity]]*Sheet1[[#This Row],[Sales]]</f>
        <v>27</v>
      </c>
      <c r="U280">
        <f>Sheet1[[#This Row],[Total Sales]]*Sheet1[[#This Row],[Discount]]</f>
        <v>0</v>
      </c>
      <c r="V280" s="4">
        <f>Sheet1[[#This Row],[Total Sales]]-Sheet1[[#This Row],[Total Sales]]*Sheet1[[#This Row],[Discount]]</f>
        <v>27</v>
      </c>
      <c r="W280" s="4">
        <f>Sheet1[[#This Row],[Quantity]]*Sheet1[[#This Row],[Profit]]</f>
        <v>2.4300000000000002</v>
      </c>
      <c r="X280" s="5">
        <f>Sheet1[[#This Row],[Total Profit]]/Sheet1[[#This Row],[Sales After Discount]]</f>
        <v>9.0000000000000011E-2</v>
      </c>
      <c r="Y280" s="4">
        <f>Sheet1[[#This Row],[Shipping_cost]]*Sheet1[[#This Row],[Quantity]]</f>
        <v>1.58</v>
      </c>
      <c r="Z280" s="4">
        <f>Sheet1[[#This Row],[Total Profit]]-Sheet1[[#This Row],[Total Shipping Cost]]</f>
        <v>0.85000000000000009</v>
      </c>
      <c r="AA280" s="4" t="str">
        <f>IF(Sheet1[[#This Row],[Net Profit]]&gt;0,"Profit","Loss")</f>
        <v>Profit</v>
      </c>
    </row>
    <row r="281" spans="1:27" x14ac:dyDescent="0.25">
      <c r="A281" t="s">
        <v>457</v>
      </c>
      <c r="B281" s="1">
        <v>40564</v>
      </c>
      <c r="C281" s="1">
        <v>40570</v>
      </c>
      <c r="D281" t="s">
        <v>1</v>
      </c>
      <c r="E281" t="s">
        <v>458</v>
      </c>
      <c r="F281" t="s">
        <v>3</v>
      </c>
      <c r="G281" t="s">
        <v>459</v>
      </c>
      <c r="H281" t="s">
        <v>345</v>
      </c>
      <c r="I281" t="s">
        <v>75</v>
      </c>
      <c r="J281" t="s">
        <v>76</v>
      </c>
      <c r="K281" t="s">
        <v>7</v>
      </c>
      <c r="L281" t="s">
        <v>137</v>
      </c>
      <c r="M281">
        <v>18</v>
      </c>
      <c r="N281">
        <v>2</v>
      </c>
      <c r="O281">
        <v>0</v>
      </c>
      <c r="P281">
        <v>1.56</v>
      </c>
      <c r="Q281">
        <v>1.29</v>
      </c>
      <c r="R281" t="s">
        <v>51</v>
      </c>
      <c r="S281">
        <f>Sheet1[[#This Row],[Ship_date]]-Sheet1[[#This Row],[Order_date]]</f>
        <v>6</v>
      </c>
      <c r="T281">
        <f>Sheet1[[#This Row],[Quantity]]*Sheet1[[#This Row],[Sales]]</f>
        <v>36</v>
      </c>
      <c r="U281">
        <f>Sheet1[[#This Row],[Total Sales]]*Sheet1[[#This Row],[Discount]]</f>
        <v>0</v>
      </c>
      <c r="V281" s="4">
        <f>Sheet1[[#This Row],[Total Sales]]-Sheet1[[#This Row],[Total Sales]]*Sheet1[[#This Row],[Discount]]</f>
        <v>36</v>
      </c>
      <c r="W281" s="4">
        <f>Sheet1[[#This Row],[Quantity]]*Sheet1[[#This Row],[Profit]]</f>
        <v>3.12</v>
      </c>
      <c r="X281" s="5">
        <f>Sheet1[[#This Row],[Total Profit]]/Sheet1[[#This Row],[Sales After Discount]]</f>
        <v>8.666666666666667E-2</v>
      </c>
      <c r="Y281" s="4">
        <f>Sheet1[[#This Row],[Shipping_cost]]*Sheet1[[#This Row],[Quantity]]</f>
        <v>2.58</v>
      </c>
      <c r="Z281" s="4">
        <f>Sheet1[[#This Row],[Total Profit]]-Sheet1[[#This Row],[Total Shipping Cost]]</f>
        <v>0.54</v>
      </c>
      <c r="AA281" s="4" t="str">
        <f>IF(Sheet1[[#This Row],[Net Profit]]&gt;0,"Profit","Loss")</f>
        <v>Profit</v>
      </c>
    </row>
    <row r="282" spans="1:27" x14ac:dyDescent="0.25">
      <c r="A282" t="s">
        <v>464</v>
      </c>
      <c r="B282" s="1">
        <v>40564</v>
      </c>
      <c r="C282" s="1">
        <v>40570</v>
      </c>
      <c r="D282" t="s">
        <v>1</v>
      </c>
      <c r="E282" t="s">
        <v>458</v>
      </c>
      <c r="F282" t="s">
        <v>3</v>
      </c>
      <c r="G282" t="s">
        <v>465</v>
      </c>
      <c r="H282" t="s">
        <v>126</v>
      </c>
      <c r="I282" t="s">
        <v>127</v>
      </c>
      <c r="J282" t="s">
        <v>102</v>
      </c>
      <c r="K282" t="s">
        <v>7</v>
      </c>
      <c r="L282" t="s">
        <v>91</v>
      </c>
      <c r="M282">
        <v>23</v>
      </c>
      <c r="N282">
        <v>7</v>
      </c>
      <c r="O282">
        <v>0</v>
      </c>
      <c r="P282">
        <v>6.6584000000000003</v>
      </c>
      <c r="Q282">
        <v>1.22</v>
      </c>
      <c r="R282" t="s">
        <v>9</v>
      </c>
      <c r="S282">
        <f>Sheet1[[#This Row],[Ship_date]]-Sheet1[[#This Row],[Order_date]]</f>
        <v>6</v>
      </c>
      <c r="T282">
        <f>Sheet1[[#This Row],[Quantity]]*Sheet1[[#This Row],[Sales]]</f>
        <v>161</v>
      </c>
      <c r="U282">
        <f>Sheet1[[#This Row],[Total Sales]]*Sheet1[[#This Row],[Discount]]</f>
        <v>0</v>
      </c>
      <c r="V282" s="4">
        <f>Sheet1[[#This Row],[Total Sales]]-Sheet1[[#This Row],[Total Sales]]*Sheet1[[#This Row],[Discount]]</f>
        <v>161</v>
      </c>
      <c r="W282" s="4">
        <f>Sheet1[[#This Row],[Quantity]]*Sheet1[[#This Row],[Profit]]</f>
        <v>46.608800000000002</v>
      </c>
      <c r="X282" s="5">
        <f>Sheet1[[#This Row],[Total Profit]]/Sheet1[[#This Row],[Sales After Discount]]</f>
        <v>0.28949565217391304</v>
      </c>
      <c r="Y282" s="4">
        <f>Sheet1[[#This Row],[Shipping_cost]]*Sheet1[[#This Row],[Quantity]]</f>
        <v>8.5399999999999991</v>
      </c>
      <c r="Z282" s="4">
        <f>Sheet1[[#This Row],[Total Profit]]-Sheet1[[#This Row],[Total Shipping Cost]]</f>
        <v>38.068800000000003</v>
      </c>
      <c r="AA282" s="4" t="str">
        <f>IF(Sheet1[[#This Row],[Net Profit]]&gt;0,"Profit","Loss")</f>
        <v>Profit</v>
      </c>
    </row>
    <row r="283" spans="1:27" x14ac:dyDescent="0.25">
      <c r="A283" t="s">
        <v>466</v>
      </c>
      <c r="B283" s="1">
        <v>40564</v>
      </c>
      <c r="C283" s="1">
        <v>40570</v>
      </c>
      <c r="D283" t="s">
        <v>1</v>
      </c>
      <c r="E283" t="s">
        <v>467</v>
      </c>
      <c r="F283" t="s">
        <v>3</v>
      </c>
      <c r="G283" t="s">
        <v>468</v>
      </c>
      <c r="H283" t="s">
        <v>126</v>
      </c>
      <c r="I283" t="s">
        <v>127</v>
      </c>
      <c r="J283" t="s">
        <v>76</v>
      </c>
      <c r="K283" t="s">
        <v>7</v>
      </c>
      <c r="L283" t="s">
        <v>137</v>
      </c>
      <c r="M283">
        <v>19</v>
      </c>
      <c r="N283">
        <v>5</v>
      </c>
      <c r="O283">
        <v>0</v>
      </c>
      <c r="P283">
        <v>8.9535</v>
      </c>
      <c r="Q283">
        <v>1.21</v>
      </c>
      <c r="R283" t="s">
        <v>9</v>
      </c>
      <c r="S283">
        <f>Sheet1[[#This Row],[Ship_date]]-Sheet1[[#This Row],[Order_date]]</f>
        <v>6</v>
      </c>
      <c r="T283">
        <f>Sheet1[[#This Row],[Quantity]]*Sheet1[[#This Row],[Sales]]</f>
        <v>95</v>
      </c>
      <c r="U283">
        <f>Sheet1[[#This Row],[Total Sales]]*Sheet1[[#This Row],[Discount]]</f>
        <v>0</v>
      </c>
      <c r="V283" s="4">
        <f>Sheet1[[#This Row],[Total Sales]]-Sheet1[[#This Row],[Total Sales]]*Sheet1[[#This Row],[Discount]]</f>
        <v>95</v>
      </c>
      <c r="W283" s="4">
        <f>Sheet1[[#This Row],[Quantity]]*Sheet1[[#This Row],[Profit]]</f>
        <v>44.767499999999998</v>
      </c>
      <c r="X283" s="5">
        <f>Sheet1[[#This Row],[Total Profit]]/Sheet1[[#This Row],[Sales After Discount]]</f>
        <v>0.47123684210526312</v>
      </c>
      <c r="Y283" s="4">
        <f>Sheet1[[#This Row],[Shipping_cost]]*Sheet1[[#This Row],[Quantity]]</f>
        <v>6.05</v>
      </c>
      <c r="Z283" s="4">
        <f>Sheet1[[#This Row],[Total Profit]]-Sheet1[[#This Row],[Total Shipping Cost]]</f>
        <v>38.717500000000001</v>
      </c>
      <c r="AA283" s="4" t="str">
        <f>IF(Sheet1[[#This Row],[Net Profit]]&gt;0,"Profit","Loss")</f>
        <v>Profit</v>
      </c>
    </row>
    <row r="284" spans="1:27" x14ac:dyDescent="0.25">
      <c r="A284" t="s">
        <v>466</v>
      </c>
      <c r="B284" s="1">
        <v>40564</v>
      </c>
      <c r="C284" s="1">
        <v>40570</v>
      </c>
      <c r="D284" t="s">
        <v>1</v>
      </c>
      <c r="E284" t="s">
        <v>467</v>
      </c>
      <c r="F284" t="s">
        <v>3</v>
      </c>
      <c r="G284" t="s">
        <v>468</v>
      </c>
      <c r="H284" t="s">
        <v>126</v>
      </c>
      <c r="I284" t="s">
        <v>127</v>
      </c>
      <c r="J284" t="s">
        <v>76</v>
      </c>
      <c r="K284" t="s">
        <v>7</v>
      </c>
      <c r="L284" t="s">
        <v>8</v>
      </c>
      <c r="M284">
        <v>14</v>
      </c>
      <c r="N284">
        <v>1</v>
      </c>
      <c r="O284">
        <v>0</v>
      </c>
      <c r="P284">
        <v>4.0541999999999998</v>
      </c>
      <c r="Q284">
        <v>1.1399999999999999</v>
      </c>
      <c r="R284" t="s">
        <v>9</v>
      </c>
      <c r="S284">
        <f>Sheet1[[#This Row],[Ship_date]]-Sheet1[[#This Row],[Order_date]]</f>
        <v>6</v>
      </c>
      <c r="T284">
        <f>Sheet1[[#This Row],[Quantity]]*Sheet1[[#This Row],[Sales]]</f>
        <v>14</v>
      </c>
      <c r="U284">
        <f>Sheet1[[#This Row],[Total Sales]]*Sheet1[[#This Row],[Discount]]</f>
        <v>0</v>
      </c>
      <c r="V284" s="4">
        <f>Sheet1[[#This Row],[Total Sales]]-Sheet1[[#This Row],[Total Sales]]*Sheet1[[#This Row],[Discount]]</f>
        <v>14</v>
      </c>
      <c r="W284" s="4">
        <f>Sheet1[[#This Row],[Quantity]]*Sheet1[[#This Row],[Profit]]</f>
        <v>4.0541999999999998</v>
      </c>
      <c r="X284" s="5">
        <f>Sheet1[[#This Row],[Total Profit]]/Sheet1[[#This Row],[Sales After Discount]]</f>
        <v>0.28958571428571428</v>
      </c>
      <c r="Y284" s="4">
        <f>Sheet1[[#This Row],[Shipping_cost]]*Sheet1[[#This Row],[Quantity]]</f>
        <v>1.1399999999999999</v>
      </c>
      <c r="Z284" s="4">
        <f>Sheet1[[#This Row],[Total Profit]]-Sheet1[[#This Row],[Total Shipping Cost]]</f>
        <v>2.9142000000000001</v>
      </c>
      <c r="AA284" s="4" t="str">
        <f>IF(Sheet1[[#This Row],[Net Profit]]&gt;0,"Profit","Loss")</f>
        <v>Profit</v>
      </c>
    </row>
    <row r="285" spans="1:27" x14ac:dyDescent="0.25">
      <c r="A285" t="s">
        <v>478</v>
      </c>
      <c r="B285" s="1">
        <v>40564</v>
      </c>
      <c r="C285" s="1">
        <v>40569</v>
      </c>
      <c r="D285" t="s">
        <v>1</v>
      </c>
      <c r="E285" t="s">
        <v>479</v>
      </c>
      <c r="F285" t="s">
        <v>3</v>
      </c>
      <c r="G285" t="s">
        <v>191</v>
      </c>
      <c r="H285" t="s">
        <v>126</v>
      </c>
      <c r="I285" t="s">
        <v>127</v>
      </c>
      <c r="J285" t="s">
        <v>192</v>
      </c>
      <c r="K285" t="s">
        <v>7</v>
      </c>
      <c r="L285" t="s">
        <v>31</v>
      </c>
      <c r="M285">
        <v>19</v>
      </c>
      <c r="N285">
        <v>2</v>
      </c>
      <c r="O285">
        <v>0</v>
      </c>
      <c r="P285">
        <v>9.2927999999999997</v>
      </c>
      <c r="Q285">
        <v>0.94</v>
      </c>
      <c r="R285" t="s">
        <v>9</v>
      </c>
      <c r="S285">
        <f>Sheet1[[#This Row],[Ship_date]]-Sheet1[[#This Row],[Order_date]]</f>
        <v>5</v>
      </c>
      <c r="T285">
        <f>Sheet1[[#This Row],[Quantity]]*Sheet1[[#This Row],[Sales]]</f>
        <v>38</v>
      </c>
      <c r="U285">
        <f>Sheet1[[#This Row],[Total Sales]]*Sheet1[[#This Row],[Discount]]</f>
        <v>0</v>
      </c>
      <c r="V285" s="4">
        <f>Sheet1[[#This Row],[Total Sales]]-Sheet1[[#This Row],[Total Sales]]*Sheet1[[#This Row],[Discount]]</f>
        <v>38</v>
      </c>
      <c r="W285" s="4">
        <f>Sheet1[[#This Row],[Quantity]]*Sheet1[[#This Row],[Profit]]</f>
        <v>18.585599999999999</v>
      </c>
      <c r="X285" s="5">
        <f>Sheet1[[#This Row],[Total Profit]]/Sheet1[[#This Row],[Sales After Discount]]</f>
        <v>0.48909473684210525</v>
      </c>
      <c r="Y285" s="4">
        <f>Sheet1[[#This Row],[Shipping_cost]]*Sheet1[[#This Row],[Quantity]]</f>
        <v>1.88</v>
      </c>
      <c r="Z285" s="4">
        <f>Sheet1[[#This Row],[Total Profit]]-Sheet1[[#This Row],[Total Shipping Cost]]</f>
        <v>16.7056</v>
      </c>
      <c r="AA285" s="4" t="str">
        <f>IF(Sheet1[[#This Row],[Net Profit]]&gt;0,"Profit","Loss")</f>
        <v>Profit</v>
      </c>
    </row>
    <row r="286" spans="1:27" x14ac:dyDescent="0.25">
      <c r="A286" t="s">
        <v>466</v>
      </c>
      <c r="B286" s="1">
        <v>40564</v>
      </c>
      <c r="C286" s="1">
        <v>40570</v>
      </c>
      <c r="D286" t="s">
        <v>1</v>
      </c>
      <c r="E286" t="s">
        <v>467</v>
      </c>
      <c r="F286" t="s">
        <v>3</v>
      </c>
      <c r="G286" t="s">
        <v>468</v>
      </c>
      <c r="H286" t="s">
        <v>126</v>
      </c>
      <c r="I286" t="s">
        <v>127</v>
      </c>
      <c r="J286" t="s">
        <v>76</v>
      </c>
      <c r="K286" t="s">
        <v>32</v>
      </c>
      <c r="L286" t="s">
        <v>33</v>
      </c>
      <c r="M286">
        <v>15</v>
      </c>
      <c r="N286">
        <v>3</v>
      </c>
      <c r="O286">
        <v>0</v>
      </c>
      <c r="P286">
        <v>4.8609</v>
      </c>
      <c r="Q286">
        <v>0.71</v>
      </c>
      <c r="R286" t="s">
        <v>9</v>
      </c>
      <c r="S286">
        <f>Sheet1[[#This Row],[Ship_date]]-Sheet1[[#This Row],[Order_date]]</f>
        <v>6</v>
      </c>
      <c r="T286">
        <f>Sheet1[[#This Row],[Quantity]]*Sheet1[[#This Row],[Sales]]</f>
        <v>45</v>
      </c>
      <c r="U286">
        <f>Sheet1[[#This Row],[Total Sales]]*Sheet1[[#This Row],[Discount]]</f>
        <v>0</v>
      </c>
      <c r="V286" s="4">
        <f>Sheet1[[#This Row],[Total Sales]]-Sheet1[[#This Row],[Total Sales]]*Sheet1[[#This Row],[Discount]]</f>
        <v>45</v>
      </c>
      <c r="W286" s="4">
        <f>Sheet1[[#This Row],[Quantity]]*Sheet1[[#This Row],[Profit]]</f>
        <v>14.582699999999999</v>
      </c>
      <c r="X286" s="5">
        <f>Sheet1[[#This Row],[Total Profit]]/Sheet1[[#This Row],[Sales After Discount]]</f>
        <v>0.32405999999999996</v>
      </c>
      <c r="Y286" s="4">
        <f>Sheet1[[#This Row],[Shipping_cost]]*Sheet1[[#This Row],[Quantity]]</f>
        <v>2.13</v>
      </c>
      <c r="Z286" s="4">
        <f>Sheet1[[#This Row],[Total Profit]]-Sheet1[[#This Row],[Total Shipping Cost]]</f>
        <v>12.4527</v>
      </c>
      <c r="AA286" s="4" t="str">
        <f>IF(Sheet1[[#This Row],[Net Profit]]&gt;0,"Profit","Loss")</f>
        <v>Profit</v>
      </c>
    </row>
    <row r="287" spans="1:27" x14ac:dyDescent="0.25">
      <c r="A287" t="s">
        <v>478</v>
      </c>
      <c r="B287" s="1">
        <v>40564</v>
      </c>
      <c r="C287" s="1">
        <v>40569</v>
      </c>
      <c r="D287" t="s">
        <v>1</v>
      </c>
      <c r="E287" t="s">
        <v>479</v>
      </c>
      <c r="F287" t="s">
        <v>3</v>
      </c>
      <c r="G287" t="s">
        <v>191</v>
      </c>
      <c r="H287" t="s">
        <v>126</v>
      </c>
      <c r="I287" t="s">
        <v>127</v>
      </c>
      <c r="J287" t="s">
        <v>192</v>
      </c>
      <c r="K287" t="s">
        <v>32</v>
      </c>
      <c r="L287" t="s">
        <v>33</v>
      </c>
      <c r="M287">
        <v>19</v>
      </c>
      <c r="N287">
        <v>2</v>
      </c>
      <c r="O287">
        <v>0</v>
      </c>
      <c r="P287">
        <v>5.79</v>
      </c>
      <c r="Q287">
        <v>0.64</v>
      </c>
      <c r="R287" t="s">
        <v>9</v>
      </c>
      <c r="S287">
        <f>Sheet1[[#This Row],[Ship_date]]-Sheet1[[#This Row],[Order_date]]</f>
        <v>5</v>
      </c>
      <c r="T287">
        <f>Sheet1[[#This Row],[Quantity]]*Sheet1[[#This Row],[Sales]]</f>
        <v>38</v>
      </c>
      <c r="U287">
        <f>Sheet1[[#This Row],[Total Sales]]*Sheet1[[#This Row],[Discount]]</f>
        <v>0</v>
      </c>
      <c r="V287" s="4">
        <f>Sheet1[[#This Row],[Total Sales]]-Sheet1[[#This Row],[Total Sales]]*Sheet1[[#This Row],[Discount]]</f>
        <v>38</v>
      </c>
      <c r="W287" s="4">
        <f>Sheet1[[#This Row],[Quantity]]*Sheet1[[#This Row],[Profit]]</f>
        <v>11.58</v>
      </c>
      <c r="X287" s="5">
        <f>Sheet1[[#This Row],[Total Profit]]/Sheet1[[#This Row],[Sales After Discount]]</f>
        <v>0.30473684210526314</v>
      </c>
      <c r="Y287" s="4">
        <f>Sheet1[[#This Row],[Shipping_cost]]*Sheet1[[#This Row],[Quantity]]</f>
        <v>1.28</v>
      </c>
      <c r="Z287" s="4">
        <f>Sheet1[[#This Row],[Total Profit]]-Sheet1[[#This Row],[Total Shipping Cost]]</f>
        <v>10.3</v>
      </c>
      <c r="AA287" s="4" t="str">
        <f>IF(Sheet1[[#This Row],[Net Profit]]&gt;0,"Profit","Loss")</f>
        <v>Profit</v>
      </c>
    </row>
    <row r="288" spans="1:27" x14ac:dyDescent="0.25">
      <c r="A288" t="s">
        <v>464</v>
      </c>
      <c r="B288" s="1">
        <v>40564</v>
      </c>
      <c r="C288" s="1">
        <v>40570</v>
      </c>
      <c r="D288" t="s">
        <v>1</v>
      </c>
      <c r="E288" t="s">
        <v>458</v>
      </c>
      <c r="F288" t="s">
        <v>3</v>
      </c>
      <c r="G288" t="s">
        <v>465</v>
      </c>
      <c r="H288" t="s">
        <v>126</v>
      </c>
      <c r="I288" t="s">
        <v>127</v>
      </c>
      <c r="J288" t="s">
        <v>102</v>
      </c>
      <c r="K288" t="s">
        <v>7</v>
      </c>
      <c r="L288" t="s">
        <v>91</v>
      </c>
      <c r="M288">
        <v>7</v>
      </c>
      <c r="N288">
        <v>3</v>
      </c>
      <c r="O288">
        <v>0</v>
      </c>
      <c r="P288">
        <v>1.7901</v>
      </c>
      <c r="Q288">
        <v>0.47</v>
      </c>
      <c r="R288" t="s">
        <v>9</v>
      </c>
      <c r="S288">
        <f>Sheet1[[#This Row],[Ship_date]]-Sheet1[[#This Row],[Order_date]]</f>
        <v>6</v>
      </c>
      <c r="T288">
        <f>Sheet1[[#This Row],[Quantity]]*Sheet1[[#This Row],[Sales]]</f>
        <v>21</v>
      </c>
      <c r="U288">
        <f>Sheet1[[#This Row],[Total Sales]]*Sheet1[[#This Row],[Discount]]</f>
        <v>0</v>
      </c>
      <c r="V288" s="4">
        <f>Sheet1[[#This Row],[Total Sales]]-Sheet1[[#This Row],[Total Sales]]*Sheet1[[#This Row],[Discount]]</f>
        <v>21</v>
      </c>
      <c r="W288" s="4">
        <f>Sheet1[[#This Row],[Quantity]]*Sheet1[[#This Row],[Profit]]</f>
        <v>5.3703000000000003</v>
      </c>
      <c r="X288" s="5">
        <f>Sheet1[[#This Row],[Total Profit]]/Sheet1[[#This Row],[Sales After Discount]]</f>
        <v>0.25572857142857142</v>
      </c>
      <c r="Y288" s="4">
        <f>Sheet1[[#This Row],[Shipping_cost]]*Sheet1[[#This Row],[Quantity]]</f>
        <v>1.41</v>
      </c>
      <c r="Z288" s="4">
        <f>Sheet1[[#This Row],[Total Profit]]-Sheet1[[#This Row],[Total Shipping Cost]]</f>
        <v>3.9603000000000002</v>
      </c>
      <c r="AA288" s="4" t="str">
        <f>IF(Sheet1[[#This Row],[Net Profit]]&gt;0,"Profit","Loss")</f>
        <v>Profit</v>
      </c>
    </row>
    <row r="289" spans="1:27" x14ac:dyDescent="0.25">
      <c r="A289" t="s">
        <v>480</v>
      </c>
      <c r="B289" s="1">
        <v>40565</v>
      </c>
      <c r="C289" s="1">
        <v>40569</v>
      </c>
      <c r="D289" t="s">
        <v>1</v>
      </c>
      <c r="E289" t="s">
        <v>481</v>
      </c>
      <c r="F289" t="s">
        <v>26</v>
      </c>
      <c r="G289" t="s">
        <v>482</v>
      </c>
      <c r="H289" t="s">
        <v>298</v>
      </c>
      <c r="I289" t="s">
        <v>29</v>
      </c>
      <c r="J289" t="s">
        <v>102</v>
      </c>
      <c r="K289" t="s">
        <v>7</v>
      </c>
      <c r="L289" t="s">
        <v>8</v>
      </c>
      <c r="M289">
        <v>889</v>
      </c>
      <c r="N289">
        <v>7</v>
      </c>
      <c r="O289">
        <v>0.4</v>
      </c>
      <c r="P289">
        <v>59.22</v>
      </c>
      <c r="Q289">
        <v>96.45</v>
      </c>
      <c r="R289" t="s">
        <v>23</v>
      </c>
      <c r="S289">
        <f>Sheet1[[#This Row],[Ship_date]]-Sheet1[[#This Row],[Order_date]]</f>
        <v>4</v>
      </c>
      <c r="T289">
        <f>Sheet1[[#This Row],[Quantity]]*Sheet1[[#This Row],[Sales]]</f>
        <v>6223</v>
      </c>
      <c r="U289">
        <f>Sheet1[[#This Row],[Total Sales]]*Sheet1[[#This Row],[Discount]]</f>
        <v>2489.2000000000003</v>
      </c>
      <c r="V289" s="4">
        <f>Sheet1[[#This Row],[Total Sales]]-Sheet1[[#This Row],[Total Sales]]*Sheet1[[#This Row],[Discount]]</f>
        <v>3733.7999999999997</v>
      </c>
      <c r="W289" s="4">
        <f>Sheet1[[#This Row],[Quantity]]*Sheet1[[#This Row],[Profit]]</f>
        <v>414.53999999999996</v>
      </c>
      <c r="X289" s="5">
        <f>Sheet1[[#This Row],[Total Profit]]/Sheet1[[#This Row],[Sales After Discount]]</f>
        <v>0.11102362204724409</v>
      </c>
      <c r="Y289" s="4">
        <f>Sheet1[[#This Row],[Shipping_cost]]*Sheet1[[#This Row],[Quantity]]</f>
        <v>675.15</v>
      </c>
      <c r="Z289" s="4">
        <f>Sheet1[[#This Row],[Total Profit]]-Sheet1[[#This Row],[Total Shipping Cost]]</f>
        <v>-260.61</v>
      </c>
      <c r="AA289" s="4" t="str">
        <f>IF(Sheet1[[#This Row],[Net Profit]]&gt;0,"Profit","Loss")</f>
        <v>Loss</v>
      </c>
    </row>
    <row r="290" spans="1:27" x14ac:dyDescent="0.25">
      <c r="A290" t="s">
        <v>480</v>
      </c>
      <c r="B290" s="1">
        <v>40565</v>
      </c>
      <c r="C290" s="1">
        <v>40569</v>
      </c>
      <c r="D290" t="s">
        <v>1</v>
      </c>
      <c r="E290" t="s">
        <v>481</v>
      </c>
      <c r="F290" t="s">
        <v>26</v>
      </c>
      <c r="G290" t="s">
        <v>482</v>
      </c>
      <c r="H290" t="s">
        <v>298</v>
      </c>
      <c r="I290" t="s">
        <v>29</v>
      </c>
      <c r="J290" t="s">
        <v>102</v>
      </c>
      <c r="K290" t="s">
        <v>32</v>
      </c>
      <c r="L290" t="s">
        <v>67</v>
      </c>
      <c r="M290">
        <v>825</v>
      </c>
      <c r="N290">
        <v>2</v>
      </c>
      <c r="O290">
        <v>0</v>
      </c>
      <c r="P290">
        <v>338.34</v>
      </c>
      <c r="Q290">
        <v>77.08</v>
      </c>
      <c r="R290" t="s">
        <v>23</v>
      </c>
      <c r="S290">
        <f>Sheet1[[#This Row],[Ship_date]]-Sheet1[[#This Row],[Order_date]]</f>
        <v>4</v>
      </c>
      <c r="T290">
        <f>Sheet1[[#This Row],[Quantity]]*Sheet1[[#This Row],[Sales]]</f>
        <v>1650</v>
      </c>
      <c r="U290">
        <f>Sheet1[[#This Row],[Total Sales]]*Sheet1[[#This Row],[Discount]]</f>
        <v>0</v>
      </c>
      <c r="V290" s="4">
        <f>Sheet1[[#This Row],[Total Sales]]-Sheet1[[#This Row],[Total Sales]]*Sheet1[[#This Row],[Discount]]</f>
        <v>1650</v>
      </c>
      <c r="W290" s="4">
        <f>Sheet1[[#This Row],[Quantity]]*Sheet1[[#This Row],[Profit]]</f>
        <v>676.68</v>
      </c>
      <c r="X290" s="5">
        <f>Sheet1[[#This Row],[Total Profit]]/Sheet1[[#This Row],[Sales After Discount]]</f>
        <v>0.41010909090909087</v>
      </c>
      <c r="Y290" s="4">
        <f>Sheet1[[#This Row],[Shipping_cost]]*Sheet1[[#This Row],[Quantity]]</f>
        <v>154.16</v>
      </c>
      <c r="Z290" s="4">
        <f>Sheet1[[#This Row],[Total Profit]]-Sheet1[[#This Row],[Total Shipping Cost]]</f>
        <v>522.52</v>
      </c>
      <c r="AA290" s="4" t="str">
        <f>IF(Sheet1[[#This Row],[Net Profit]]&gt;0,"Profit","Loss")</f>
        <v>Profit</v>
      </c>
    </row>
    <row r="291" spans="1:27" x14ac:dyDescent="0.25">
      <c r="A291" t="s">
        <v>483</v>
      </c>
      <c r="B291" s="1">
        <v>40565</v>
      </c>
      <c r="C291" s="1">
        <v>40569</v>
      </c>
      <c r="D291" t="s">
        <v>1</v>
      </c>
      <c r="E291" t="s">
        <v>484</v>
      </c>
      <c r="F291" t="s">
        <v>26</v>
      </c>
      <c r="G291" t="s">
        <v>485</v>
      </c>
      <c r="H291" t="s">
        <v>486</v>
      </c>
      <c r="I291" t="s">
        <v>29</v>
      </c>
      <c r="J291" t="s">
        <v>76</v>
      </c>
      <c r="K291" t="s">
        <v>7</v>
      </c>
      <c r="L291" t="s">
        <v>8</v>
      </c>
      <c r="M291">
        <v>666</v>
      </c>
      <c r="N291">
        <v>5</v>
      </c>
      <c r="O291">
        <v>0</v>
      </c>
      <c r="P291">
        <v>119.85</v>
      </c>
      <c r="Q291">
        <v>73.27</v>
      </c>
      <c r="R291" t="s">
        <v>9</v>
      </c>
      <c r="S291">
        <f>Sheet1[[#This Row],[Ship_date]]-Sheet1[[#This Row],[Order_date]]</f>
        <v>4</v>
      </c>
      <c r="T291">
        <f>Sheet1[[#This Row],[Quantity]]*Sheet1[[#This Row],[Sales]]</f>
        <v>3330</v>
      </c>
      <c r="U291">
        <f>Sheet1[[#This Row],[Total Sales]]*Sheet1[[#This Row],[Discount]]</f>
        <v>0</v>
      </c>
      <c r="V291" s="4">
        <f>Sheet1[[#This Row],[Total Sales]]-Sheet1[[#This Row],[Total Sales]]*Sheet1[[#This Row],[Discount]]</f>
        <v>3330</v>
      </c>
      <c r="W291" s="4">
        <f>Sheet1[[#This Row],[Quantity]]*Sheet1[[#This Row],[Profit]]</f>
        <v>599.25</v>
      </c>
      <c r="X291" s="5">
        <f>Sheet1[[#This Row],[Total Profit]]/Sheet1[[#This Row],[Sales After Discount]]</f>
        <v>0.17995495495495495</v>
      </c>
      <c r="Y291" s="4">
        <f>Sheet1[[#This Row],[Shipping_cost]]*Sheet1[[#This Row],[Quantity]]</f>
        <v>366.34999999999997</v>
      </c>
      <c r="Z291" s="4">
        <f>Sheet1[[#This Row],[Total Profit]]-Sheet1[[#This Row],[Total Shipping Cost]]</f>
        <v>232.90000000000003</v>
      </c>
      <c r="AA291" s="4" t="str">
        <f>IF(Sheet1[[#This Row],[Net Profit]]&gt;0,"Profit","Loss")</f>
        <v>Profit</v>
      </c>
    </row>
    <row r="292" spans="1:27" x14ac:dyDescent="0.25">
      <c r="A292" t="s">
        <v>487</v>
      </c>
      <c r="B292" s="1">
        <v>40565</v>
      </c>
      <c r="C292" s="1">
        <v>40566</v>
      </c>
      <c r="D292" t="s">
        <v>142</v>
      </c>
      <c r="E292" t="s">
        <v>488</v>
      </c>
      <c r="F292" t="s">
        <v>3</v>
      </c>
      <c r="G292" t="s">
        <v>235</v>
      </c>
      <c r="H292" t="s">
        <v>13</v>
      </c>
      <c r="I292" t="s">
        <v>14</v>
      </c>
      <c r="J292" t="s">
        <v>15</v>
      </c>
      <c r="K292" t="s">
        <v>7</v>
      </c>
      <c r="L292" t="s">
        <v>91</v>
      </c>
      <c r="M292">
        <v>60</v>
      </c>
      <c r="N292">
        <v>6</v>
      </c>
      <c r="O292">
        <v>0.4</v>
      </c>
      <c r="P292">
        <v>-33.875999999999998</v>
      </c>
      <c r="Q292">
        <v>27.43</v>
      </c>
      <c r="R292" t="s">
        <v>45</v>
      </c>
      <c r="S292">
        <f>Sheet1[[#This Row],[Ship_date]]-Sheet1[[#This Row],[Order_date]]</f>
        <v>1</v>
      </c>
      <c r="T292">
        <f>Sheet1[[#This Row],[Quantity]]*Sheet1[[#This Row],[Sales]]</f>
        <v>360</v>
      </c>
      <c r="U292">
        <f>Sheet1[[#This Row],[Total Sales]]*Sheet1[[#This Row],[Discount]]</f>
        <v>144</v>
      </c>
      <c r="V292" s="4">
        <f>Sheet1[[#This Row],[Total Sales]]-Sheet1[[#This Row],[Total Sales]]*Sheet1[[#This Row],[Discount]]</f>
        <v>216</v>
      </c>
      <c r="W292" s="4">
        <f>Sheet1[[#This Row],[Quantity]]*Sheet1[[#This Row],[Profit]]</f>
        <v>-203.25599999999997</v>
      </c>
      <c r="X292" s="5">
        <f>Sheet1[[#This Row],[Total Profit]]/Sheet1[[#This Row],[Sales After Discount]]</f>
        <v>-0.94099999999999984</v>
      </c>
      <c r="Y292" s="4">
        <f>Sheet1[[#This Row],[Shipping_cost]]*Sheet1[[#This Row],[Quantity]]</f>
        <v>164.57999999999998</v>
      </c>
      <c r="Z292" s="4">
        <f>Sheet1[[#This Row],[Total Profit]]-Sheet1[[#This Row],[Total Shipping Cost]]</f>
        <v>-367.83599999999996</v>
      </c>
      <c r="AA292" s="4" t="str">
        <f>IF(Sheet1[[#This Row],[Net Profit]]&gt;0,"Profit","Loss")</f>
        <v>Loss</v>
      </c>
    </row>
    <row r="293" spans="1:27" x14ac:dyDescent="0.25">
      <c r="A293" t="s">
        <v>489</v>
      </c>
      <c r="B293" s="1">
        <v>40565</v>
      </c>
      <c r="C293" s="1">
        <v>40567</v>
      </c>
      <c r="D293" t="s">
        <v>142</v>
      </c>
      <c r="E293" t="s">
        <v>490</v>
      </c>
      <c r="F293" t="s">
        <v>43</v>
      </c>
      <c r="G293" t="s">
        <v>491</v>
      </c>
      <c r="H293" t="s">
        <v>492</v>
      </c>
      <c r="I293" t="s">
        <v>6</v>
      </c>
      <c r="J293" t="s">
        <v>6</v>
      </c>
      <c r="K293" t="s">
        <v>7</v>
      </c>
      <c r="L293" t="s">
        <v>8</v>
      </c>
      <c r="M293">
        <v>95</v>
      </c>
      <c r="N293">
        <v>2</v>
      </c>
      <c r="O293">
        <v>0</v>
      </c>
      <c r="P293">
        <v>12.36</v>
      </c>
      <c r="Q293">
        <v>21.6</v>
      </c>
      <c r="R293" t="s">
        <v>23</v>
      </c>
      <c r="S293">
        <f>Sheet1[[#This Row],[Ship_date]]-Sheet1[[#This Row],[Order_date]]</f>
        <v>2</v>
      </c>
      <c r="T293">
        <f>Sheet1[[#This Row],[Quantity]]*Sheet1[[#This Row],[Sales]]</f>
        <v>190</v>
      </c>
      <c r="U293">
        <f>Sheet1[[#This Row],[Total Sales]]*Sheet1[[#This Row],[Discount]]</f>
        <v>0</v>
      </c>
      <c r="V293" s="4">
        <f>Sheet1[[#This Row],[Total Sales]]-Sheet1[[#This Row],[Total Sales]]*Sheet1[[#This Row],[Discount]]</f>
        <v>190</v>
      </c>
      <c r="W293" s="4">
        <f>Sheet1[[#This Row],[Quantity]]*Sheet1[[#This Row],[Profit]]</f>
        <v>24.72</v>
      </c>
      <c r="X293" s="5">
        <f>Sheet1[[#This Row],[Total Profit]]/Sheet1[[#This Row],[Sales After Discount]]</f>
        <v>0.13010526315789472</v>
      </c>
      <c r="Y293" s="4">
        <f>Sheet1[[#This Row],[Shipping_cost]]*Sheet1[[#This Row],[Quantity]]</f>
        <v>43.2</v>
      </c>
      <c r="Z293" s="4">
        <f>Sheet1[[#This Row],[Total Profit]]-Sheet1[[#This Row],[Total Shipping Cost]]</f>
        <v>-18.480000000000004</v>
      </c>
      <c r="AA293" s="4" t="str">
        <f>IF(Sheet1[[#This Row],[Net Profit]]&gt;0,"Profit","Loss")</f>
        <v>Loss</v>
      </c>
    </row>
    <row r="294" spans="1:27" x14ac:dyDescent="0.25">
      <c r="A294" t="s">
        <v>493</v>
      </c>
      <c r="B294" s="1">
        <v>40565</v>
      </c>
      <c r="C294" s="1">
        <v>40569</v>
      </c>
      <c r="D294" t="s">
        <v>1</v>
      </c>
      <c r="E294" t="s">
        <v>494</v>
      </c>
      <c r="F294" t="s">
        <v>43</v>
      </c>
      <c r="G294" t="s">
        <v>495</v>
      </c>
      <c r="H294" t="s">
        <v>115</v>
      </c>
      <c r="I294" t="s">
        <v>29</v>
      </c>
      <c r="J294" t="s">
        <v>76</v>
      </c>
      <c r="K294" t="s">
        <v>7</v>
      </c>
      <c r="L294" t="s">
        <v>137</v>
      </c>
      <c r="M294">
        <v>202</v>
      </c>
      <c r="N294">
        <v>4</v>
      </c>
      <c r="O294">
        <v>0</v>
      </c>
      <c r="P294">
        <v>22.2</v>
      </c>
      <c r="Q294">
        <v>18.96</v>
      </c>
      <c r="R294" t="s">
        <v>9</v>
      </c>
      <c r="S294">
        <f>Sheet1[[#This Row],[Ship_date]]-Sheet1[[#This Row],[Order_date]]</f>
        <v>4</v>
      </c>
      <c r="T294">
        <f>Sheet1[[#This Row],[Quantity]]*Sheet1[[#This Row],[Sales]]</f>
        <v>808</v>
      </c>
      <c r="U294">
        <f>Sheet1[[#This Row],[Total Sales]]*Sheet1[[#This Row],[Discount]]</f>
        <v>0</v>
      </c>
      <c r="V294" s="4">
        <f>Sheet1[[#This Row],[Total Sales]]-Sheet1[[#This Row],[Total Sales]]*Sheet1[[#This Row],[Discount]]</f>
        <v>808</v>
      </c>
      <c r="W294" s="4">
        <f>Sheet1[[#This Row],[Quantity]]*Sheet1[[#This Row],[Profit]]</f>
        <v>88.8</v>
      </c>
      <c r="X294" s="5">
        <f>Sheet1[[#This Row],[Total Profit]]/Sheet1[[#This Row],[Sales After Discount]]</f>
        <v>0.1099009900990099</v>
      </c>
      <c r="Y294" s="4">
        <f>Sheet1[[#This Row],[Shipping_cost]]*Sheet1[[#This Row],[Quantity]]</f>
        <v>75.84</v>
      </c>
      <c r="Z294" s="4">
        <f>Sheet1[[#This Row],[Total Profit]]-Sheet1[[#This Row],[Total Shipping Cost]]</f>
        <v>12.959999999999994</v>
      </c>
      <c r="AA294" s="4" t="str">
        <f>IF(Sheet1[[#This Row],[Net Profit]]&gt;0,"Profit","Loss")</f>
        <v>Profit</v>
      </c>
    </row>
    <row r="295" spans="1:27" x14ac:dyDescent="0.25">
      <c r="A295" t="s">
        <v>496</v>
      </c>
      <c r="B295" s="1">
        <v>40565</v>
      </c>
      <c r="C295" s="1">
        <v>40570</v>
      </c>
      <c r="D295" t="s">
        <v>1</v>
      </c>
      <c r="E295" t="s">
        <v>497</v>
      </c>
      <c r="F295" t="s">
        <v>3</v>
      </c>
      <c r="G295" t="s">
        <v>498</v>
      </c>
      <c r="H295" t="s">
        <v>381</v>
      </c>
      <c r="I295" t="s">
        <v>75</v>
      </c>
      <c r="J295" t="s">
        <v>76</v>
      </c>
      <c r="K295" t="s">
        <v>32</v>
      </c>
      <c r="L295" t="s">
        <v>67</v>
      </c>
      <c r="M295">
        <v>259</v>
      </c>
      <c r="N295">
        <v>2</v>
      </c>
      <c r="O295">
        <v>0</v>
      </c>
      <c r="P295">
        <v>101.16</v>
      </c>
      <c r="Q295">
        <v>11.91</v>
      </c>
      <c r="R295" t="s">
        <v>9</v>
      </c>
      <c r="S295">
        <f>Sheet1[[#This Row],[Ship_date]]-Sheet1[[#This Row],[Order_date]]</f>
        <v>5</v>
      </c>
      <c r="T295">
        <f>Sheet1[[#This Row],[Quantity]]*Sheet1[[#This Row],[Sales]]</f>
        <v>518</v>
      </c>
      <c r="U295">
        <f>Sheet1[[#This Row],[Total Sales]]*Sheet1[[#This Row],[Discount]]</f>
        <v>0</v>
      </c>
      <c r="V295" s="4">
        <f>Sheet1[[#This Row],[Total Sales]]-Sheet1[[#This Row],[Total Sales]]*Sheet1[[#This Row],[Discount]]</f>
        <v>518</v>
      </c>
      <c r="W295" s="4">
        <f>Sheet1[[#This Row],[Quantity]]*Sheet1[[#This Row],[Profit]]</f>
        <v>202.32</v>
      </c>
      <c r="X295" s="5">
        <f>Sheet1[[#This Row],[Total Profit]]/Sheet1[[#This Row],[Sales After Discount]]</f>
        <v>0.39057915057915055</v>
      </c>
      <c r="Y295" s="4">
        <f>Sheet1[[#This Row],[Shipping_cost]]*Sheet1[[#This Row],[Quantity]]</f>
        <v>23.82</v>
      </c>
      <c r="Z295" s="4">
        <f>Sheet1[[#This Row],[Total Profit]]-Sheet1[[#This Row],[Total Shipping Cost]]</f>
        <v>178.5</v>
      </c>
      <c r="AA295" s="4" t="str">
        <f>IF(Sheet1[[#This Row],[Net Profit]]&gt;0,"Profit","Loss")</f>
        <v>Profit</v>
      </c>
    </row>
    <row r="296" spans="1:27" x14ac:dyDescent="0.25">
      <c r="A296" t="s">
        <v>499</v>
      </c>
      <c r="B296" s="1">
        <v>40565</v>
      </c>
      <c r="C296" s="1">
        <v>40569</v>
      </c>
      <c r="D296" t="s">
        <v>1</v>
      </c>
      <c r="E296" t="s">
        <v>500</v>
      </c>
      <c r="F296" t="s">
        <v>43</v>
      </c>
      <c r="G296" t="s">
        <v>501</v>
      </c>
      <c r="H296" t="s">
        <v>502</v>
      </c>
      <c r="I296" t="s">
        <v>75</v>
      </c>
      <c r="J296" t="s">
        <v>102</v>
      </c>
      <c r="K296" t="s">
        <v>32</v>
      </c>
      <c r="L296" t="s">
        <v>56</v>
      </c>
      <c r="M296">
        <v>219</v>
      </c>
      <c r="N296">
        <v>4</v>
      </c>
      <c r="O296">
        <v>0</v>
      </c>
      <c r="P296">
        <v>0</v>
      </c>
      <c r="Q296">
        <v>10.23</v>
      </c>
      <c r="R296" t="s">
        <v>9</v>
      </c>
      <c r="S296">
        <f>Sheet1[[#This Row],[Ship_date]]-Sheet1[[#This Row],[Order_date]]</f>
        <v>4</v>
      </c>
      <c r="T296">
        <f>Sheet1[[#This Row],[Quantity]]*Sheet1[[#This Row],[Sales]]</f>
        <v>876</v>
      </c>
      <c r="U296">
        <f>Sheet1[[#This Row],[Total Sales]]*Sheet1[[#This Row],[Discount]]</f>
        <v>0</v>
      </c>
      <c r="V296" s="4">
        <f>Sheet1[[#This Row],[Total Sales]]-Sheet1[[#This Row],[Total Sales]]*Sheet1[[#This Row],[Discount]]</f>
        <v>876</v>
      </c>
      <c r="W296" s="4">
        <f>Sheet1[[#This Row],[Quantity]]*Sheet1[[#This Row],[Profit]]</f>
        <v>0</v>
      </c>
      <c r="X296" s="5">
        <f>Sheet1[[#This Row],[Total Profit]]/Sheet1[[#This Row],[Sales After Discount]]</f>
        <v>0</v>
      </c>
      <c r="Y296" s="4">
        <f>Sheet1[[#This Row],[Shipping_cost]]*Sheet1[[#This Row],[Quantity]]</f>
        <v>40.92</v>
      </c>
      <c r="Z296" s="4">
        <f>Sheet1[[#This Row],[Total Profit]]-Sheet1[[#This Row],[Total Shipping Cost]]</f>
        <v>-40.92</v>
      </c>
      <c r="AA296" s="4" t="str">
        <f>IF(Sheet1[[#This Row],[Net Profit]]&gt;0,"Profit","Loss")</f>
        <v>Loss</v>
      </c>
    </row>
    <row r="297" spans="1:27" x14ac:dyDescent="0.25">
      <c r="A297" t="s">
        <v>499</v>
      </c>
      <c r="B297" s="1">
        <v>40565</v>
      </c>
      <c r="C297" s="1">
        <v>40569</v>
      </c>
      <c r="D297" t="s">
        <v>1</v>
      </c>
      <c r="E297" t="s">
        <v>500</v>
      </c>
      <c r="F297" t="s">
        <v>43</v>
      </c>
      <c r="G297" t="s">
        <v>501</v>
      </c>
      <c r="H297" t="s">
        <v>502</v>
      </c>
      <c r="I297" t="s">
        <v>75</v>
      </c>
      <c r="J297" t="s">
        <v>102</v>
      </c>
      <c r="K297" t="s">
        <v>38</v>
      </c>
      <c r="L297" t="s">
        <v>82</v>
      </c>
      <c r="M297">
        <v>109</v>
      </c>
      <c r="N297">
        <v>2</v>
      </c>
      <c r="O297">
        <v>0</v>
      </c>
      <c r="P297">
        <v>27.2</v>
      </c>
      <c r="Q297">
        <v>9</v>
      </c>
      <c r="R297" t="s">
        <v>9</v>
      </c>
      <c r="S297">
        <f>Sheet1[[#This Row],[Ship_date]]-Sheet1[[#This Row],[Order_date]]</f>
        <v>4</v>
      </c>
      <c r="T297">
        <f>Sheet1[[#This Row],[Quantity]]*Sheet1[[#This Row],[Sales]]</f>
        <v>218</v>
      </c>
      <c r="U297">
        <f>Sheet1[[#This Row],[Total Sales]]*Sheet1[[#This Row],[Discount]]</f>
        <v>0</v>
      </c>
      <c r="V297" s="4">
        <f>Sheet1[[#This Row],[Total Sales]]-Sheet1[[#This Row],[Total Sales]]*Sheet1[[#This Row],[Discount]]</f>
        <v>218</v>
      </c>
      <c r="W297" s="4">
        <f>Sheet1[[#This Row],[Quantity]]*Sheet1[[#This Row],[Profit]]</f>
        <v>54.4</v>
      </c>
      <c r="X297" s="5">
        <f>Sheet1[[#This Row],[Total Profit]]/Sheet1[[#This Row],[Sales After Discount]]</f>
        <v>0.24954128440366971</v>
      </c>
      <c r="Y297" s="4">
        <f>Sheet1[[#This Row],[Shipping_cost]]*Sheet1[[#This Row],[Quantity]]</f>
        <v>18</v>
      </c>
      <c r="Z297" s="4">
        <f>Sheet1[[#This Row],[Total Profit]]-Sheet1[[#This Row],[Total Shipping Cost]]</f>
        <v>36.4</v>
      </c>
      <c r="AA297" s="4" t="str">
        <f>IF(Sheet1[[#This Row],[Net Profit]]&gt;0,"Profit","Loss")</f>
        <v>Profit</v>
      </c>
    </row>
    <row r="298" spans="1:27" x14ac:dyDescent="0.25">
      <c r="A298" t="s">
        <v>480</v>
      </c>
      <c r="B298" s="1">
        <v>40565</v>
      </c>
      <c r="C298" s="1">
        <v>40569</v>
      </c>
      <c r="D298" t="s">
        <v>1</v>
      </c>
      <c r="E298" t="s">
        <v>481</v>
      </c>
      <c r="F298" t="s">
        <v>26</v>
      </c>
      <c r="G298" t="s">
        <v>482</v>
      </c>
      <c r="H298" t="s">
        <v>298</v>
      </c>
      <c r="I298" t="s">
        <v>29</v>
      </c>
      <c r="J298" t="s">
        <v>102</v>
      </c>
      <c r="K298" t="s">
        <v>7</v>
      </c>
      <c r="L298" t="s">
        <v>91</v>
      </c>
      <c r="M298">
        <v>54</v>
      </c>
      <c r="N298">
        <v>1</v>
      </c>
      <c r="O298">
        <v>0</v>
      </c>
      <c r="P298">
        <v>12.39</v>
      </c>
      <c r="Q298">
        <v>5.13</v>
      </c>
      <c r="R298" t="s">
        <v>23</v>
      </c>
      <c r="S298">
        <f>Sheet1[[#This Row],[Ship_date]]-Sheet1[[#This Row],[Order_date]]</f>
        <v>4</v>
      </c>
      <c r="T298">
        <f>Sheet1[[#This Row],[Quantity]]*Sheet1[[#This Row],[Sales]]</f>
        <v>54</v>
      </c>
      <c r="U298">
        <f>Sheet1[[#This Row],[Total Sales]]*Sheet1[[#This Row],[Discount]]</f>
        <v>0</v>
      </c>
      <c r="V298" s="4">
        <f>Sheet1[[#This Row],[Total Sales]]-Sheet1[[#This Row],[Total Sales]]*Sheet1[[#This Row],[Discount]]</f>
        <v>54</v>
      </c>
      <c r="W298" s="4">
        <f>Sheet1[[#This Row],[Quantity]]*Sheet1[[#This Row],[Profit]]</f>
        <v>12.39</v>
      </c>
      <c r="X298" s="5">
        <f>Sheet1[[#This Row],[Total Profit]]/Sheet1[[#This Row],[Sales After Discount]]</f>
        <v>0.22944444444444445</v>
      </c>
      <c r="Y298" s="4">
        <f>Sheet1[[#This Row],[Shipping_cost]]*Sheet1[[#This Row],[Quantity]]</f>
        <v>5.13</v>
      </c>
      <c r="Z298" s="4">
        <f>Sheet1[[#This Row],[Total Profit]]-Sheet1[[#This Row],[Total Shipping Cost]]</f>
        <v>7.2600000000000007</v>
      </c>
      <c r="AA298" s="4" t="str">
        <f>IF(Sheet1[[#This Row],[Net Profit]]&gt;0,"Profit","Loss")</f>
        <v>Profit</v>
      </c>
    </row>
    <row r="299" spans="1:27" x14ac:dyDescent="0.25">
      <c r="A299" t="s">
        <v>493</v>
      </c>
      <c r="B299" s="1">
        <v>40565</v>
      </c>
      <c r="C299" s="1">
        <v>40569</v>
      </c>
      <c r="D299" t="s">
        <v>1</v>
      </c>
      <c r="E299" t="s">
        <v>494</v>
      </c>
      <c r="F299" t="s">
        <v>43</v>
      </c>
      <c r="G299" t="s">
        <v>495</v>
      </c>
      <c r="H299" t="s">
        <v>115</v>
      </c>
      <c r="I299" t="s">
        <v>29</v>
      </c>
      <c r="J299" t="s">
        <v>76</v>
      </c>
      <c r="K299" t="s">
        <v>38</v>
      </c>
      <c r="L299" t="s">
        <v>77</v>
      </c>
      <c r="M299">
        <v>65</v>
      </c>
      <c r="N299">
        <v>1</v>
      </c>
      <c r="O299">
        <v>0.15</v>
      </c>
      <c r="P299">
        <v>24.322500000000002</v>
      </c>
      <c r="Q299">
        <v>4.38</v>
      </c>
      <c r="R299" t="s">
        <v>9</v>
      </c>
      <c r="S299">
        <f>Sheet1[[#This Row],[Ship_date]]-Sheet1[[#This Row],[Order_date]]</f>
        <v>4</v>
      </c>
      <c r="T299">
        <f>Sheet1[[#This Row],[Quantity]]*Sheet1[[#This Row],[Sales]]</f>
        <v>65</v>
      </c>
      <c r="U299">
        <f>Sheet1[[#This Row],[Total Sales]]*Sheet1[[#This Row],[Discount]]</f>
        <v>9.75</v>
      </c>
      <c r="V299" s="4">
        <f>Sheet1[[#This Row],[Total Sales]]-Sheet1[[#This Row],[Total Sales]]*Sheet1[[#This Row],[Discount]]</f>
        <v>55.25</v>
      </c>
      <c r="W299" s="4">
        <f>Sheet1[[#This Row],[Quantity]]*Sheet1[[#This Row],[Profit]]</f>
        <v>24.322500000000002</v>
      </c>
      <c r="X299" s="5">
        <f>Sheet1[[#This Row],[Total Profit]]/Sheet1[[#This Row],[Sales After Discount]]</f>
        <v>0.4402262443438914</v>
      </c>
      <c r="Y299" s="4">
        <f>Sheet1[[#This Row],[Shipping_cost]]*Sheet1[[#This Row],[Quantity]]</f>
        <v>4.38</v>
      </c>
      <c r="Z299" s="4">
        <f>Sheet1[[#This Row],[Total Profit]]-Sheet1[[#This Row],[Total Shipping Cost]]</f>
        <v>19.942500000000003</v>
      </c>
      <c r="AA299" s="4" t="str">
        <f>IF(Sheet1[[#This Row],[Net Profit]]&gt;0,"Profit","Loss")</f>
        <v>Profit</v>
      </c>
    </row>
    <row r="300" spans="1:27" x14ac:dyDescent="0.25">
      <c r="A300" t="s">
        <v>503</v>
      </c>
      <c r="B300" s="1">
        <v>40565</v>
      </c>
      <c r="C300" s="1">
        <v>40567</v>
      </c>
      <c r="D300" t="s">
        <v>18</v>
      </c>
      <c r="E300" t="s">
        <v>504</v>
      </c>
      <c r="F300" t="s">
        <v>3</v>
      </c>
      <c r="G300" t="s">
        <v>505</v>
      </c>
      <c r="H300" t="s">
        <v>126</v>
      </c>
      <c r="I300" t="s">
        <v>127</v>
      </c>
      <c r="J300" t="s">
        <v>102</v>
      </c>
      <c r="K300" t="s">
        <v>32</v>
      </c>
      <c r="L300" t="s">
        <v>33</v>
      </c>
      <c r="M300">
        <v>25</v>
      </c>
      <c r="N300">
        <v>3</v>
      </c>
      <c r="O300">
        <v>0.2</v>
      </c>
      <c r="P300">
        <v>4.1028000000000002</v>
      </c>
      <c r="Q300">
        <v>3.64</v>
      </c>
      <c r="R300" t="s">
        <v>45</v>
      </c>
      <c r="S300">
        <f>Sheet1[[#This Row],[Ship_date]]-Sheet1[[#This Row],[Order_date]]</f>
        <v>2</v>
      </c>
      <c r="T300">
        <f>Sheet1[[#This Row],[Quantity]]*Sheet1[[#This Row],[Sales]]</f>
        <v>75</v>
      </c>
      <c r="U300">
        <f>Sheet1[[#This Row],[Total Sales]]*Sheet1[[#This Row],[Discount]]</f>
        <v>15</v>
      </c>
      <c r="V300" s="4">
        <f>Sheet1[[#This Row],[Total Sales]]-Sheet1[[#This Row],[Total Sales]]*Sheet1[[#This Row],[Discount]]</f>
        <v>60</v>
      </c>
      <c r="W300" s="4">
        <f>Sheet1[[#This Row],[Quantity]]*Sheet1[[#This Row],[Profit]]</f>
        <v>12.308400000000001</v>
      </c>
      <c r="X300" s="5">
        <f>Sheet1[[#This Row],[Total Profit]]/Sheet1[[#This Row],[Sales After Discount]]</f>
        <v>0.20514000000000002</v>
      </c>
      <c r="Y300" s="4">
        <f>Sheet1[[#This Row],[Shipping_cost]]*Sheet1[[#This Row],[Quantity]]</f>
        <v>10.92</v>
      </c>
      <c r="Z300" s="4">
        <f>Sheet1[[#This Row],[Total Profit]]-Sheet1[[#This Row],[Total Shipping Cost]]</f>
        <v>1.3884000000000007</v>
      </c>
      <c r="AA300" s="4" t="str">
        <f>IF(Sheet1[[#This Row],[Net Profit]]&gt;0,"Profit","Loss")</f>
        <v>Profit</v>
      </c>
    </row>
    <row r="301" spans="1:27" x14ac:dyDescent="0.25">
      <c r="A301" t="s">
        <v>506</v>
      </c>
      <c r="B301" s="1">
        <v>40565</v>
      </c>
      <c r="C301" s="1">
        <v>40570</v>
      </c>
      <c r="D301" t="s">
        <v>1</v>
      </c>
      <c r="E301" t="s">
        <v>507</v>
      </c>
      <c r="F301" t="s">
        <v>43</v>
      </c>
      <c r="G301" t="s">
        <v>284</v>
      </c>
      <c r="H301" t="s">
        <v>285</v>
      </c>
      <c r="I301" t="s">
        <v>22</v>
      </c>
      <c r="J301" t="s">
        <v>22</v>
      </c>
      <c r="K301" t="s">
        <v>32</v>
      </c>
      <c r="L301" t="s">
        <v>33</v>
      </c>
      <c r="M301">
        <v>77</v>
      </c>
      <c r="N301">
        <v>4</v>
      </c>
      <c r="O301">
        <v>0.6</v>
      </c>
      <c r="P301">
        <v>-104.688</v>
      </c>
      <c r="Q301">
        <v>2.36</v>
      </c>
      <c r="R301" t="s">
        <v>9</v>
      </c>
      <c r="S301">
        <f>Sheet1[[#This Row],[Ship_date]]-Sheet1[[#This Row],[Order_date]]</f>
        <v>5</v>
      </c>
      <c r="T301">
        <f>Sheet1[[#This Row],[Quantity]]*Sheet1[[#This Row],[Sales]]</f>
        <v>308</v>
      </c>
      <c r="U301">
        <f>Sheet1[[#This Row],[Total Sales]]*Sheet1[[#This Row],[Discount]]</f>
        <v>184.79999999999998</v>
      </c>
      <c r="V301" s="4">
        <f>Sheet1[[#This Row],[Total Sales]]-Sheet1[[#This Row],[Total Sales]]*Sheet1[[#This Row],[Discount]]</f>
        <v>123.20000000000002</v>
      </c>
      <c r="W301" s="4">
        <f>Sheet1[[#This Row],[Quantity]]*Sheet1[[#This Row],[Profit]]</f>
        <v>-418.75200000000001</v>
      </c>
      <c r="X301" s="5">
        <f>Sheet1[[#This Row],[Total Profit]]/Sheet1[[#This Row],[Sales After Discount]]</f>
        <v>-3.3989610389610387</v>
      </c>
      <c r="Y301" s="4">
        <f>Sheet1[[#This Row],[Shipping_cost]]*Sheet1[[#This Row],[Quantity]]</f>
        <v>9.44</v>
      </c>
      <c r="Z301" s="4">
        <f>Sheet1[[#This Row],[Total Profit]]-Sheet1[[#This Row],[Total Shipping Cost]]</f>
        <v>-428.19200000000001</v>
      </c>
      <c r="AA301" s="4" t="str">
        <f>IF(Sheet1[[#This Row],[Net Profit]]&gt;0,"Profit","Loss")</f>
        <v>Loss</v>
      </c>
    </row>
    <row r="302" spans="1:27" x14ac:dyDescent="0.25">
      <c r="A302" t="s">
        <v>487</v>
      </c>
      <c r="B302" s="1">
        <v>40565</v>
      </c>
      <c r="C302" s="1">
        <v>40566</v>
      </c>
      <c r="D302" t="s">
        <v>142</v>
      </c>
      <c r="E302" t="s">
        <v>488</v>
      </c>
      <c r="F302" t="s">
        <v>3</v>
      </c>
      <c r="G302" t="s">
        <v>235</v>
      </c>
      <c r="H302" t="s">
        <v>13</v>
      </c>
      <c r="I302" t="s">
        <v>14</v>
      </c>
      <c r="J302" t="s">
        <v>15</v>
      </c>
      <c r="K302" t="s">
        <v>7</v>
      </c>
      <c r="L302" t="s">
        <v>97</v>
      </c>
      <c r="M302">
        <v>6</v>
      </c>
      <c r="N302">
        <v>1</v>
      </c>
      <c r="O302">
        <v>0.4</v>
      </c>
      <c r="P302">
        <v>-3.9119999999999999</v>
      </c>
      <c r="Q302">
        <v>1.77</v>
      </c>
      <c r="R302" t="s">
        <v>45</v>
      </c>
      <c r="S302">
        <f>Sheet1[[#This Row],[Ship_date]]-Sheet1[[#This Row],[Order_date]]</f>
        <v>1</v>
      </c>
      <c r="T302">
        <f>Sheet1[[#This Row],[Quantity]]*Sheet1[[#This Row],[Sales]]</f>
        <v>6</v>
      </c>
      <c r="U302">
        <f>Sheet1[[#This Row],[Total Sales]]*Sheet1[[#This Row],[Discount]]</f>
        <v>2.4000000000000004</v>
      </c>
      <c r="V302" s="4">
        <f>Sheet1[[#This Row],[Total Sales]]-Sheet1[[#This Row],[Total Sales]]*Sheet1[[#This Row],[Discount]]</f>
        <v>3.5999999999999996</v>
      </c>
      <c r="W302" s="4">
        <f>Sheet1[[#This Row],[Quantity]]*Sheet1[[#This Row],[Profit]]</f>
        <v>-3.9119999999999999</v>
      </c>
      <c r="X302" s="5">
        <f>Sheet1[[#This Row],[Total Profit]]/Sheet1[[#This Row],[Sales After Discount]]</f>
        <v>-1.0866666666666667</v>
      </c>
      <c r="Y302" s="4">
        <f>Sheet1[[#This Row],[Shipping_cost]]*Sheet1[[#This Row],[Quantity]]</f>
        <v>1.77</v>
      </c>
      <c r="Z302" s="4">
        <f>Sheet1[[#This Row],[Total Profit]]-Sheet1[[#This Row],[Total Shipping Cost]]</f>
        <v>-5.6820000000000004</v>
      </c>
      <c r="AA302" s="4" t="str">
        <f>IF(Sheet1[[#This Row],[Net Profit]]&gt;0,"Profit","Loss")</f>
        <v>Loss</v>
      </c>
    </row>
    <row r="303" spans="1:27" x14ac:dyDescent="0.25">
      <c r="A303" t="s">
        <v>483</v>
      </c>
      <c r="B303" s="1">
        <v>40565</v>
      </c>
      <c r="C303" s="1">
        <v>40569</v>
      </c>
      <c r="D303" t="s">
        <v>1</v>
      </c>
      <c r="E303" t="s">
        <v>484</v>
      </c>
      <c r="F303" t="s">
        <v>26</v>
      </c>
      <c r="G303" t="s">
        <v>485</v>
      </c>
      <c r="H303" t="s">
        <v>486</v>
      </c>
      <c r="I303" t="s">
        <v>29</v>
      </c>
      <c r="J303" t="s">
        <v>76</v>
      </c>
      <c r="K303" t="s">
        <v>7</v>
      </c>
      <c r="L303" t="s">
        <v>137</v>
      </c>
      <c r="M303">
        <v>12</v>
      </c>
      <c r="N303">
        <v>2</v>
      </c>
      <c r="O303">
        <v>0</v>
      </c>
      <c r="P303">
        <v>3.12</v>
      </c>
      <c r="Q303">
        <v>0.27</v>
      </c>
      <c r="R303" t="s">
        <v>9</v>
      </c>
      <c r="S303">
        <f>Sheet1[[#This Row],[Ship_date]]-Sheet1[[#This Row],[Order_date]]</f>
        <v>4</v>
      </c>
      <c r="T303">
        <f>Sheet1[[#This Row],[Quantity]]*Sheet1[[#This Row],[Sales]]</f>
        <v>24</v>
      </c>
      <c r="U303">
        <f>Sheet1[[#This Row],[Total Sales]]*Sheet1[[#This Row],[Discount]]</f>
        <v>0</v>
      </c>
      <c r="V303" s="4">
        <f>Sheet1[[#This Row],[Total Sales]]-Sheet1[[#This Row],[Total Sales]]*Sheet1[[#This Row],[Discount]]</f>
        <v>24</v>
      </c>
      <c r="W303" s="4">
        <f>Sheet1[[#This Row],[Quantity]]*Sheet1[[#This Row],[Profit]]</f>
        <v>6.24</v>
      </c>
      <c r="X303" s="5">
        <f>Sheet1[[#This Row],[Total Profit]]/Sheet1[[#This Row],[Sales After Discount]]</f>
        <v>0.26</v>
      </c>
      <c r="Y303" s="4">
        <f>Sheet1[[#This Row],[Shipping_cost]]*Sheet1[[#This Row],[Quantity]]</f>
        <v>0.54</v>
      </c>
      <c r="Z303" s="4">
        <f>Sheet1[[#This Row],[Total Profit]]-Sheet1[[#This Row],[Total Shipping Cost]]</f>
        <v>5.7</v>
      </c>
      <c r="AA303" s="4" t="str">
        <f>IF(Sheet1[[#This Row],[Net Profit]]&gt;0,"Profit","Loss")</f>
        <v>Profit</v>
      </c>
    </row>
    <row r="304" spans="1:27" x14ac:dyDescent="0.25">
      <c r="A304" t="s">
        <v>508</v>
      </c>
      <c r="B304" s="1">
        <v>40566</v>
      </c>
      <c r="C304" s="1">
        <v>40566</v>
      </c>
      <c r="D304" t="s">
        <v>41</v>
      </c>
      <c r="E304" t="s">
        <v>509</v>
      </c>
      <c r="F304" t="s">
        <v>3</v>
      </c>
      <c r="G304" t="s">
        <v>459</v>
      </c>
      <c r="H304" t="s">
        <v>345</v>
      </c>
      <c r="I304" t="s">
        <v>75</v>
      </c>
      <c r="J304" t="s">
        <v>76</v>
      </c>
      <c r="K304" t="s">
        <v>32</v>
      </c>
      <c r="L304" t="s">
        <v>67</v>
      </c>
      <c r="M304">
        <v>1102</v>
      </c>
      <c r="N304">
        <v>4</v>
      </c>
      <c r="O304">
        <v>0</v>
      </c>
      <c r="P304">
        <v>198.32</v>
      </c>
      <c r="Q304">
        <v>146.12</v>
      </c>
      <c r="R304" t="s">
        <v>9</v>
      </c>
      <c r="S304">
        <f>Sheet1[[#This Row],[Ship_date]]-Sheet1[[#This Row],[Order_date]]</f>
        <v>0</v>
      </c>
      <c r="T304">
        <f>Sheet1[[#This Row],[Quantity]]*Sheet1[[#This Row],[Sales]]</f>
        <v>4408</v>
      </c>
      <c r="U304">
        <f>Sheet1[[#This Row],[Total Sales]]*Sheet1[[#This Row],[Discount]]</f>
        <v>0</v>
      </c>
      <c r="V304" s="4">
        <f>Sheet1[[#This Row],[Total Sales]]-Sheet1[[#This Row],[Total Sales]]*Sheet1[[#This Row],[Discount]]</f>
        <v>4408</v>
      </c>
      <c r="W304" s="4">
        <f>Sheet1[[#This Row],[Quantity]]*Sheet1[[#This Row],[Profit]]</f>
        <v>793.28</v>
      </c>
      <c r="X304" s="5">
        <f>Sheet1[[#This Row],[Total Profit]]/Sheet1[[#This Row],[Sales After Discount]]</f>
        <v>0.17996370235934664</v>
      </c>
      <c r="Y304" s="4">
        <f>Sheet1[[#This Row],[Shipping_cost]]*Sheet1[[#This Row],[Quantity]]</f>
        <v>584.48</v>
      </c>
      <c r="Z304" s="4">
        <f>Sheet1[[#This Row],[Total Profit]]-Sheet1[[#This Row],[Total Shipping Cost]]</f>
        <v>208.79999999999995</v>
      </c>
      <c r="AA304" s="4" t="str">
        <f>IF(Sheet1[[#This Row],[Net Profit]]&gt;0,"Profit","Loss")</f>
        <v>Profit</v>
      </c>
    </row>
    <row r="305" spans="1:27" x14ac:dyDescent="0.25">
      <c r="A305" t="s">
        <v>508</v>
      </c>
      <c r="B305" s="1">
        <v>40566</v>
      </c>
      <c r="C305" s="1">
        <v>40566</v>
      </c>
      <c r="D305" t="s">
        <v>41</v>
      </c>
      <c r="E305" t="s">
        <v>509</v>
      </c>
      <c r="F305" t="s">
        <v>3</v>
      </c>
      <c r="G305" t="s">
        <v>459</v>
      </c>
      <c r="H305" t="s">
        <v>345</v>
      </c>
      <c r="I305" t="s">
        <v>75</v>
      </c>
      <c r="J305" t="s">
        <v>76</v>
      </c>
      <c r="K305" t="s">
        <v>32</v>
      </c>
      <c r="L305" t="s">
        <v>56</v>
      </c>
      <c r="M305">
        <v>920</v>
      </c>
      <c r="N305">
        <v>3</v>
      </c>
      <c r="O305">
        <v>0</v>
      </c>
      <c r="P305">
        <v>395.76</v>
      </c>
      <c r="Q305">
        <v>45.77</v>
      </c>
      <c r="R305" t="s">
        <v>9</v>
      </c>
      <c r="S305">
        <f>Sheet1[[#This Row],[Ship_date]]-Sheet1[[#This Row],[Order_date]]</f>
        <v>0</v>
      </c>
      <c r="T305">
        <f>Sheet1[[#This Row],[Quantity]]*Sheet1[[#This Row],[Sales]]</f>
        <v>2760</v>
      </c>
      <c r="U305">
        <f>Sheet1[[#This Row],[Total Sales]]*Sheet1[[#This Row],[Discount]]</f>
        <v>0</v>
      </c>
      <c r="V305" s="4">
        <f>Sheet1[[#This Row],[Total Sales]]-Sheet1[[#This Row],[Total Sales]]*Sheet1[[#This Row],[Discount]]</f>
        <v>2760</v>
      </c>
      <c r="W305" s="4">
        <f>Sheet1[[#This Row],[Quantity]]*Sheet1[[#This Row],[Profit]]</f>
        <v>1187.28</v>
      </c>
      <c r="X305" s="5">
        <f>Sheet1[[#This Row],[Total Profit]]/Sheet1[[#This Row],[Sales After Discount]]</f>
        <v>0.43017391304347824</v>
      </c>
      <c r="Y305" s="4">
        <f>Sheet1[[#This Row],[Shipping_cost]]*Sheet1[[#This Row],[Quantity]]</f>
        <v>137.31</v>
      </c>
      <c r="Z305" s="4">
        <f>Sheet1[[#This Row],[Total Profit]]-Sheet1[[#This Row],[Total Shipping Cost]]</f>
        <v>1049.97</v>
      </c>
      <c r="AA305" s="4" t="str">
        <f>IF(Sheet1[[#This Row],[Net Profit]]&gt;0,"Profit","Loss")</f>
        <v>Profit</v>
      </c>
    </row>
    <row r="306" spans="1:27" x14ac:dyDescent="0.25">
      <c r="A306" t="s">
        <v>508</v>
      </c>
      <c r="B306" s="1">
        <v>40566</v>
      </c>
      <c r="C306" s="1">
        <v>40566</v>
      </c>
      <c r="D306" t="s">
        <v>41</v>
      </c>
      <c r="E306" t="s">
        <v>509</v>
      </c>
      <c r="F306" t="s">
        <v>3</v>
      </c>
      <c r="G306" t="s">
        <v>459</v>
      </c>
      <c r="H306" t="s">
        <v>345</v>
      </c>
      <c r="I306" t="s">
        <v>75</v>
      </c>
      <c r="J306" t="s">
        <v>76</v>
      </c>
      <c r="K306" t="s">
        <v>7</v>
      </c>
      <c r="L306" t="s">
        <v>16</v>
      </c>
      <c r="M306">
        <v>48</v>
      </c>
      <c r="N306">
        <v>2</v>
      </c>
      <c r="O306">
        <v>0</v>
      </c>
      <c r="P306">
        <v>15.8</v>
      </c>
      <c r="Q306">
        <v>5.55</v>
      </c>
      <c r="R306" t="s">
        <v>9</v>
      </c>
      <c r="S306">
        <f>Sheet1[[#This Row],[Ship_date]]-Sheet1[[#This Row],[Order_date]]</f>
        <v>0</v>
      </c>
      <c r="T306">
        <f>Sheet1[[#This Row],[Quantity]]*Sheet1[[#This Row],[Sales]]</f>
        <v>96</v>
      </c>
      <c r="U306">
        <f>Sheet1[[#This Row],[Total Sales]]*Sheet1[[#This Row],[Discount]]</f>
        <v>0</v>
      </c>
      <c r="V306" s="4">
        <f>Sheet1[[#This Row],[Total Sales]]-Sheet1[[#This Row],[Total Sales]]*Sheet1[[#This Row],[Discount]]</f>
        <v>96</v>
      </c>
      <c r="W306" s="4">
        <f>Sheet1[[#This Row],[Quantity]]*Sheet1[[#This Row],[Profit]]</f>
        <v>31.6</v>
      </c>
      <c r="X306" s="5">
        <f>Sheet1[[#This Row],[Total Profit]]/Sheet1[[#This Row],[Sales After Discount]]</f>
        <v>0.32916666666666666</v>
      </c>
      <c r="Y306" s="4">
        <f>Sheet1[[#This Row],[Shipping_cost]]*Sheet1[[#This Row],[Quantity]]</f>
        <v>11.1</v>
      </c>
      <c r="Z306" s="4">
        <f>Sheet1[[#This Row],[Total Profit]]-Sheet1[[#This Row],[Total Shipping Cost]]</f>
        <v>20.5</v>
      </c>
      <c r="AA306" s="4" t="str">
        <f>IF(Sheet1[[#This Row],[Net Profit]]&gt;0,"Profit","Loss")</f>
        <v>Profit</v>
      </c>
    </row>
    <row r="307" spans="1:27" x14ac:dyDescent="0.25">
      <c r="A307" t="s">
        <v>508</v>
      </c>
      <c r="B307" s="1">
        <v>40566</v>
      </c>
      <c r="C307" s="1">
        <v>40566</v>
      </c>
      <c r="D307" t="s">
        <v>41</v>
      </c>
      <c r="E307" t="s">
        <v>509</v>
      </c>
      <c r="F307" t="s">
        <v>3</v>
      </c>
      <c r="G307" t="s">
        <v>459</v>
      </c>
      <c r="H307" t="s">
        <v>345</v>
      </c>
      <c r="I307" t="s">
        <v>75</v>
      </c>
      <c r="J307" t="s">
        <v>76</v>
      </c>
      <c r="K307" t="s">
        <v>7</v>
      </c>
      <c r="L307" t="s">
        <v>87</v>
      </c>
      <c r="M307">
        <v>26</v>
      </c>
      <c r="N307">
        <v>3</v>
      </c>
      <c r="O307">
        <v>0</v>
      </c>
      <c r="P307">
        <v>9.7799999999999994</v>
      </c>
      <c r="Q307">
        <v>3.61</v>
      </c>
      <c r="R307" t="s">
        <v>9</v>
      </c>
      <c r="S307">
        <f>Sheet1[[#This Row],[Ship_date]]-Sheet1[[#This Row],[Order_date]]</f>
        <v>0</v>
      </c>
      <c r="T307">
        <f>Sheet1[[#This Row],[Quantity]]*Sheet1[[#This Row],[Sales]]</f>
        <v>78</v>
      </c>
      <c r="U307">
        <f>Sheet1[[#This Row],[Total Sales]]*Sheet1[[#This Row],[Discount]]</f>
        <v>0</v>
      </c>
      <c r="V307" s="4">
        <f>Sheet1[[#This Row],[Total Sales]]-Sheet1[[#This Row],[Total Sales]]*Sheet1[[#This Row],[Discount]]</f>
        <v>78</v>
      </c>
      <c r="W307" s="4">
        <f>Sheet1[[#This Row],[Quantity]]*Sheet1[[#This Row],[Profit]]</f>
        <v>29.339999999999996</v>
      </c>
      <c r="X307" s="5">
        <f>Sheet1[[#This Row],[Total Profit]]/Sheet1[[#This Row],[Sales After Discount]]</f>
        <v>0.37615384615384612</v>
      </c>
      <c r="Y307" s="4">
        <f>Sheet1[[#This Row],[Shipping_cost]]*Sheet1[[#This Row],[Quantity]]</f>
        <v>10.83</v>
      </c>
      <c r="Z307" s="4">
        <f>Sheet1[[#This Row],[Total Profit]]-Sheet1[[#This Row],[Total Shipping Cost]]</f>
        <v>18.509999999999998</v>
      </c>
      <c r="AA307" s="4" t="str">
        <f>IF(Sheet1[[#This Row],[Net Profit]]&gt;0,"Profit","Loss")</f>
        <v>Profit</v>
      </c>
    </row>
    <row r="308" spans="1:27" x14ac:dyDescent="0.25">
      <c r="A308" t="s">
        <v>508</v>
      </c>
      <c r="B308" s="1">
        <v>40566</v>
      </c>
      <c r="C308" s="1">
        <v>40566</v>
      </c>
      <c r="D308" t="s">
        <v>41</v>
      </c>
      <c r="E308" t="s">
        <v>509</v>
      </c>
      <c r="F308" t="s">
        <v>3</v>
      </c>
      <c r="G308" t="s">
        <v>459</v>
      </c>
      <c r="H308" t="s">
        <v>345</v>
      </c>
      <c r="I308" t="s">
        <v>75</v>
      </c>
      <c r="J308" t="s">
        <v>76</v>
      </c>
      <c r="K308" t="s">
        <v>7</v>
      </c>
      <c r="L308" t="s">
        <v>31</v>
      </c>
      <c r="M308">
        <v>24</v>
      </c>
      <c r="N308">
        <v>2</v>
      </c>
      <c r="O308">
        <v>0</v>
      </c>
      <c r="P308">
        <v>1.64</v>
      </c>
      <c r="Q308">
        <v>3.27</v>
      </c>
      <c r="R308" t="s">
        <v>9</v>
      </c>
      <c r="S308">
        <f>Sheet1[[#This Row],[Ship_date]]-Sheet1[[#This Row],[Order_date]]</f>
        <v>0</v>
      </c>
      <c r="T308">
        <f>Sheet1[[#This Row],[Quantity]]*Sheet1[[#This Row],[Sales]]</f>
        <v>48</v>
      </c>
      <c r="U308">
        <f>Sheet1[[#This Row],[Total Sales]]*Sheet1[[#This Row],[Discount]]</f>
        <v>0</v>
      </c>
      <c r="V308" s="4">
        <f>Sheet1[[#This Row],[Total Sales]]-Sheet1[[#This Row],[Total Sales]]*Sheet1[[#This Row],[Discount]]</f>
        <v>48</v>
      </c>
      <c r="W308" s="4">
        <f>Sheet1[[#This Row],[Quantity]]*Sheet1[[#This Row],[Profit]]</f>
        <v>3.28</v>
      </c>
      <c r="X308" s="5">
        <f>Sheet1[[#This Row],[Total Profit]]/Sheet1[[#This Row],[Sales After Discount]]</f>
        <v>6.8333333333333329E-2</v>
      </c>
      <c r="Y308" s="4">
        <f>Sheet1[[#This Row],[Shipping_cost]]*Sheet1[[#This Row],[Quantity]]</f>
        <v>6.54</v>
      </c>
      <c r="Z308" s="4">
        <f>Sheet1[[#This Row],[Total Profit]]-Sheet1[[#This Row],[Total Shipping Cost]]</f>
        <v>-3.2600000000000002</v>
      </c>
      <c r="AA308" s="4" t="str">
        <f>IF(Sheet1[[#This Row],[Net Profit]]&gt;0,"Profit","Loss")</f>
        <v>Loss</v>
      </c>
    </row>
    <row r="309" spans="1:27" x14ac:dyDescent="0.25">
      <c r="A309" t="s">
        <v>510</v>
      </c>
      <c r="B309" s="1">
        <v>40566</v>
      </c>
      <c r="C309" s="1">
        <v>40570</v>
      </c>
      <c r="D309" t="s">
        <v>1</v>
      </c>
      <c r="E309" t="s">
        <v>511</v>
      </c>
      <c r="F309" t="s">
        <v>26</v>
      </c>
      <c r="G309" t="s">
        <v>512</v>
      </c>
      <c r="H309" t="s">
        <v>410</v>
      </c>
      <c r="I309" t="s">
        <v>22</v>
      </c>
      <c r="J309" t="s">
        <v>22</v>
      </c>
      <c r="K309" t="s">
        <v>7</v>
      </c>
      <c r="L309" t="s">
        <v>97</v>
      </c>
      <c r="M309">
        <v>34</v>
      </c>
      <c r="N309">
        <v>2</v>
      </c>
      <c r="O309">
        <v>0</v>
      </c>
      <c r="P309">
        <v>12.36</v>
      </c>
      <c r="Q309">
        <v>1.91</v>
      </c>
      <c r="R309" t="s">
        <v>9</v>
      </c>
      <c r="S309">
        <f>Sheet1[[#This Row],[Ship_date]]-Sheet1[[#This Row],[Order_date]]</f>
        <v>4</v>
      </c>
      <c r="T309">
        <f>Sheet1[[#This Row],[Quantity]]*Sheet1[[#This Row],[Sales]]</f>
        <v>68</v>
      </c>
      <c r="U309">
        <f>Sheet1[[#This Row],[Total Sales]]*Sheet1[[#This Row],[Discount]]</f>
        <v>0</v>
      </c>
      <c r="V309" s="4">
        <f>Sheet1[[#This Row],[Total Sales]]-Sheet1[[#This Row],[Total Sales]]*Sheet1[[#This Row],[Discount]]</f>
        <v>68</v>
      </c>
      <c r="W309" s="4">
        <f>Sheet1[[#This Row],[Quantity]]*Sheet1[[#This Row],[Profit]]</f>
        <v>24.72</v>
      </c>
      <c r="X309" s="5">
        <f>Sheet1[[#This Row],[Total Profit]]/Sheet1[[#This Row],[Sales After Discount]]</f>
        <v>0.36352941176470588</v>
      </c>
      <c r="Y309" s="4">
        <f>Sheet1[[#This Row],[Shipping_cost]]*Sheet1[[#This Row],[Quantity]]</f>
        <v>3.82</v>
      </c>
      <c r="Z309" s="4">
        <f>Sheet1[[#This Row],[Total Profit]]-Sheet1[[#This Row],[Total Shipping Cost]]</f>
        <v>20.9</v>
      </c>
      <c r="AA309" s="4" t="str">
        <f>IF(Sheet1[[#This Row],[Net Profit]]&gt;0,"Profit","Loss")</f>
        <v>Profit</v>
      </c>
    </row>
    <row r="310" spans="1:27" x14ac:dyDescent="0.25">
      <c r="A310" t="s">
        <v>510</v>
      </c>
      <c r="B310" s="1">
        <v>40566</v>
      </c>
      <c r="C310" s="1">
        <v>40570</v>
      </c>
      <c r="D310" t="s">
        <v>1</v>
      </c>
      <c r="E310" t="s">
        <v>511</v>
      </c>
      <c r="F310" t="s">
        <v>26</v>
      </c>
      <c r="G310" t="s">
        <v>512</v>
      </c>
      <c r="H310" t="s">
        <v>410</v>
      </c>
      <c r="I310" t="s">
        <v>22</v>
      </c>
      <c r="J310" t="s">
        <v>22</v>
      </c>
      <c r="K310" t="s">
        <v>7</v>
      </c>
      <c r="L310" t="s">
        <v>137</v>
      </c>
      <c r="M310">
        <v>9</v>
      </c>
      <c r="N310">
        <v>1</v>
      </c>
      <c r="O310">
        <v>0</v>
      </c>
      <c r="P310">
        <v>1.59</v>
      </c>
      <c r="Q310">
        <v>0.57999999999999996</v>
      </c>
      <c r="R310" t="s">
        <v>9</v>
      </c>
      <c r="S310">
        <f>Sheet1[[#This Row],[Ship_date]]-Sheet1[[#This Row],[Order_date]]</f>
        <v>4</v>
      </c>
      <c r="T310">
        <f>Sheet1[[#This Row],[Quantity]]*Sheet1[[#This Row],[Sales]]</f>
        <v>9</v>
      </c>
      <c r="U310">
        <f>Sheet1[[#This Row],[Total Sales]]*Sheet1[[#This Row],[Discount]]</f>
        <v>0</v>
      </c>
      <c r="V310" s="4">
        <f>Sheet1[[#This Row],[Total Sales]]-Sheet1[[#This Row],[Total Sales]]*Sheet1[[#This Row],[Discount]]</f>
        <v>9</v>
      </c>
      <c r="W310" s="4">
        <f>Sheet1[[#This Row],[Quantity]]*Sheet1[[#This Row],[Profit]]</f>
        <v>1.59</v>
      </c>
      <c r="X310" s="5">
        <f>Sheet1[[#This Row],[Total Profit]]/Sheet1[[#This Row],[Sales After Discount]]</f>
        <v>0.17666666666666667</v>
      </c>
      <c r="Y310" s="4">
        <f>Sheet1[[#This Row],[Shipping_cost]]*Sheet1[[#This Row],[Quantity]]</f>
        <v>0.57999999999999996</v>
      </c>
      <c r="Z310" s="4">
        <f>Sheet1[[#This Row],[Total Profit]]-Sheet1[[#This Row],[Total Shipping Cost]]</f>
        <v>1.0100000000000002</v>
      </c>
      <c r="AA310" s="4" t="str">
        <f>IF(Sheet1[[#This Row],[Net Profit]]&gt;0,"Profit","Loss")</f>
        <v>Profit</v>
      </c>
    </row>
    <row r="311" spans="1:27" x14ac:dyDescent="0.25">
      <c r="A311" t="s">
        <v>513</v>
      </c>
      <c r="B311" s="1">
        <v>40567</v>
      </c>
      <c r="C311" s="1">
        <v>40567</v>
      </c>
      <c r="D311" t="s">
        <v>41</v>
      </c>
      <c r="E311" t="s">
        <v>428</v>
      </c>
      <c r="F311" t="s">
        <v>43</v>
      </c>
      <c r="G311" t="s">
        <v>514</v>
      </c>
      <c r="H311" t="s">
        <v>515</v>
      </c>
      <c r="I311" t="s">
        <v>22</v>
      </c>
      <c r="J311" t="s">
        <v>22</v>
      </c>
      <c r="K311" t="s">
        <v>38</v>
      </c>
      <c r="L311" t="s">
        <v>77</v>
      </c>
      <c r="M311">
        <v>1303</v>
      </c>
      <c r="N311">
        <v>2</v>
      </c>
      <c r="O311">
        <v>0</v>
      </c>
      <c r="P311">
        <v>286.56</v>
      </c>
      <c r="Q311">
        <v>234.73</v>
      </c>
      <c r="R311" t="s">
        <v>9</v>
      </c>
      <c r="S311">
        <f>Sheet1[[#This Row],[Ship_date]]-Sheet1[[#This Row],[Order_date]]</f>
        <v>0</v>
      </c>
      <c r="T311">
        <f>Sheet1[[#This Row],[Quantity]]*Sheet1[[#This Row],[Sales]]</f>
        <v>2606</v>
      </c>
      <c r="U311">
        <f>Sheet1[[#This Row],[Total Sales]]*Sheet1[[#This Row],[Discount]]</f>
        <v>0</v>
      </c>
      <c r="V311" s="4">
        <f>Sheet1[[#This Row],[Total Sales]]-Sheet1[[#This Row],[Total Sales]]*Sheet1[[#This Row],[Discount]]</f>
        <v>2606</v>
      </c>
      <c r="W311" s="4">
        <f>Sheet1[[#This Row],[Quantity]]*Sheet1[[#This Row],[Profit]]</f>
        <v>573.12</v>
      </c>
      <c r="X311" s="5">
        <f>Sheet1[[#This Row],[Total Profit]]/Sheet1[[#This Row],[Sales After Discount]]</f>
        <v>0.21992325402916346</v>
      </c>
      <c r="Y311" s="4">
        <f>Sheet1[[#This Row],[Shipping_cost]]*Sheet1[[#This Row],[Quantity]]</f>
        <v>469.46</v>
      </c>
      <c r="Z311" s="4">
        <f>Sheet1[[#This Row],[Total Profit]]-Sheet1[[#This Row],[Total Shipping Cost]]</f>
        <v>103.66000000000003</v>
      </c>
      <c r="AA311" s="4" t="str">
        <f>IF(Sheet1[[#This Row],[Net Profit]]&gt;0,"Profit","Loss")</f>
        <v>Profit</v>
      </c>
    </row>
    <row r="312" spans="1:27" x14ac:dyDescent="0.25">
      <c r="A312" t="s">
        <v>513</v>
      </c>
      <c r="B312" s="1">
        <v>40567</v>
      </c>
      <c r="C312" s="1">
        <v>40567</v>
      </c>
      <c r="D312" t="s">
        <v>41</v>
      </c>
      <c r="E312" t="s">
        <v>428</v>
      </c>
      <c r="F312" t="s">
        <v>43</v>
      </c>
      <c r="G312" t="s">
        <v>514</v>
      </c>
      <c r="H312" t="s">
        <v>515</v>
      </c>
      <c r="I312" t="s">
        <v>22</v>
      </c>
      <c r="J312" t="s">
        <v>22</v>
      </c>
      <c r="K312" t="s">
        <v>7</v>
      </c>
      <c r="L312" t="s">
        <v>44</v>
      </c>
      <c r="M312">
        <v>561</v>
      </c>
      <c r="N312">
        <v>1</v>
      </c>
      <c r="O312">
        <v>0</v>
      </c>
      <c r="P312">
        <v>61.68</v>
      </c>
      <c r="Q312">
        <v>133.57</v>
      </c>
      <c r="R312" t="s">
        <v>9</v>
      </c>
      <c r="S312">
        <f>Sheet1[[#This Row],[Ship_date]]-Sheet1[[#This Row],[Order_date]]</f>
        <v>0</v>
      </c>
      <c r="T312">
        <f>Sheet1[[#This Row],[Quantity]]*Sheet1[[#This Row],[Sales]]</f>
        <v>561</v>
      </c>
      <c r="U312">
        <f>Sheet1[[#This Row],[Total Sales]]*Sheet1[[#This Row],[Discount]]</f>
        <v>0</v>
      </c>
      <c r="V312" s="4">
        <f>Sheet1[[#This Row],[Total Sales]]-Sheet1[[#This Row],[Total Sales]]*Sheet1[[#This Row],[Discount]]</f>
        <v>561</v>
      </c>
      <c r="W312" s="4">
        <f>Sheet1[[#This Row],[Quantity]]*Sheet1[[#This Row],[Profit]]</f>
        <v>61.68</v>
      </c>
      <c r="X312" s="5">
        <f>Sheet1[[#This Row],[Total Profit]]/Sheet1[[#This Row],[Sales After Discount]]</f>
        <v>0.10994652406417112</v>
      </c>
      <c r="Y312" s="4">
        <f>Sheet1[[#This Row],[Shipping_cost]]*Sheet1[[#This Row],[Quantity]]</f>
        <v>133.57</v>
      </c>
      <c r="Z312" s="4">
        <f>Sheet1[[#This Row],[Total Profit]]-Sheet1[[#This Row],[Total Shipping Cost]]</f>
        <v>-71.889999999999986</v>
      </c>
      <c r="AA312" s="4" t="str">
        <f>IF(Sheet1[[#This Row],[Net Profit]]&gt;0,"Profit","Loss")</f>
        <v>Loss</v>
      </c>
    </row>
    <row r="313" spans="1:27" x14ac:dyDescent="0.25">
      <c r="A313" t="s">
        <v>516</v>
      </c>
      <c r="B313" s="1">
        <v>40567</v>
      </c>
      <c r="C313" s="1">
        <v>40572</v>
      </c>
      <c r="D313" t="s">
        <v>1</v>
      </c>
      <c r="E313" t="s">
        <v>517</v>
      </c>
      <c r="F313" t="s">
        <v>43</v>
      </c>
      <c r="G313" t="s">
        <v>471</v>
      </c>
      <c r="H313" t="s">
        <v>305</v>
      </c>
      <c r="I313" t="s">
        <v>29</v>
      </c>
      <c r="J313" t="s">
        <v>76</v>
      </c>
      <c r="K313" t="s">
        <v>38</v>
      </c>
      <c r="L313" t="s">
        <v>50</v>
      </c>
      <c r="M313">
        <v>591</v>
      </c>
      <c r="N313">
        <v>2</v>
      </c>
      <c r="O313">
        <v>0</v>
      </c>
      <c r="P313">
        <v>53.16</v>
      </c>
      <c r="Q313">
        <v>66.099999999999994</v>
      </c>
      <c r="R313" t="s">
        <v>9</v>
      </c>
      <c r="S313">
        <f>Sheet1[[#This Row],[Ship_date]]-Sheet1[[#This Row],[Order_date]]</f>
        <v>5</v>
      </c>
      <c r="T313">
        <f>Sheet1[[#This Row],[Quantity]]*Sheet1[[#This Row],[Sales]]</f>
        <v>1182</v>
      </c>
      <c r="U313">
        <f>Sheet1[[#This Row],[Total Sales]]*Sheet1[[#This Row],[Discount]]</f>
        <v>0</v>
      </c>
      <c r="V313" s="4">
        <f>Sheet1[[#This Row],[Total Sales]]-Sheet1[[#This Row],[Total Sales]]*Sheet1[[#This Row],[Discount]]</f>
        <v>1182</v>
      </c>
      <c r="W313" s="4">
        <f>Sheet1[[#This Row],[Quantity]]*Sheet1[[#This Row],[Profit]]</f>
        <v>106.32</v>
      </c>
      <c r="X313" s="5">
        <f>Sheet1[[#This Row],[Total Profit]]/Sheet1[[#This Row],[Sales After Discount]]</f>
        <v>8.9949238578680202E-2</v>
      </c>
      <c r="Y313" s="4">
        <f>Sheet1[[#This Row],[Shipping_cost]]*Sheet1[[#This Row],[Quantity]]</f>
        <v>132.19999999999999</v>
      </c>
      <c r="Z313" s="4">
        <f>Sheet1[[#This Row],[Total Profit]]-Sheet1[[#This Row],[Total Shipping Cost]]</f>
        <v>-25.879999999999995</v>
      </c>
      <c r="AA313" s="4" t="str">
        <f>IF(Sheet1[[#This Row],[Net Profit]]&gt;0,"Profit","Loss")</f>
        <v>Loss</v>
      </c>
    </row>
    <row r="314" spans="1:27" x14ac:dyDescent="0.25">
      <c r="A314" t="s">
        <v>518</v>
      </c>
      <c r="B314" s="1">
        <v>40567</v>
      </c>
      <c r="C314" s="1">
        <v>40569</v>
      </c>
      <c r="D314" t="s">
        <v>142</v>
      </c>
      <c r="E314" t="s">
        <v>519</v>
      </c>
      <c r="F314" t="s">
        <v>3</v>
      </c>
      <c r="G314" t="s">
        <v>520</v>
      </c>
      <c r="H314" t="s">
        <v>298</v>
      </c>
      <c r="I314" t="s">
        <v>29</v>
      </c>
      <c r="J314" t="s">
        <v>102</v>
      </c>
      <c r="K314" t="s">
        <v>32</v>
      </c>
      <c r="L314" t="s">
        <v>56</v>
      </c>
      <c r="M314">
        <v>73</v>
      </c>
      <c r="N314">
        <v>1</v>
      </c>
      <c r="O314">
        <v>0.6</v>
      </c>
      <c r="P314">
        <v>-56.561999999999998</v>
      </c>
      <c r="Q314">
        <v>29.86</v>
      </c>
      <c r="R314" t="s">
        <v>45</v>
      </c>
      <c r="S314">
        <f>Sheet1[[#This Row],[Ship_date]]-Sheet1[[#This Row],[Order_date]]</f>
        <v>2</v>
      </c>
      <c r="T314">
        <f>Sheet1[[#This Row],[Quantity]]*Sheet1[[#This Row],[Sales]]</f>
        <v>73</v>
      </c>
      <c r="U314">
        <f>Sheet1[[#This Row],[Total Sales]]*Sheet1[[#This Row],[Discount]]</f>
        <v>43.8</v>
      </c>
      <c r="V314" s="4">
        <f>Sheet1[[#This Row],[Total Sales]]-Sheet1[[#This Row],[Total Sales]]*Sheet1[[#This Row],[Discount]]</f>
        <v>29.200000000000003</v>
      </c>
      <c r="W314" s="4">
        <f>Sheet1[[#This Row],[Quantity]]*Sheet1[[#This Row],[Profit]]</f>
        <v>-56.561999999999998</v>
      </c>
      <c r="X314" s="5">
        <f>Sheet1[[#This Row],[Total Profit]]/Sheet1[[#This Row],[Sales After Discount]]</f>
        <v>-1.9370547945205476</v>
      </c>
      <c r="Y314" s="4">
        <f>Sheet1[[#This Row],[Shipping_cost]]*Sheet1[[#This Row],[Quantity]]</f>
        <v>29.86</v>
      </c>
      <c r="Z314" s="4">
        <f>Sheet1[[#This Row],[Total Profit]]-Sheet1[[#This Row],[Total Shipping Cost]]</f>
        <v>-86.421999999999997</v>
      </c>
      <c r="AA314" s="4" t="str">
        <f>IF(Sheet1[[#This Row],[Net Profit]]&gt;0,"Profit","Loss")</f>
        <v>Loss</v>
      </c>
    </row>
    <row r="315" spans="1:27" x14ac:dyDescent="0.25">
      <c r="A315" t="s">
        <v>521</v>
      </c>
      <c r="B315" s="1">
        <v>40567</v>
      </c>
      <c r="C315" s="1">
        <v>40573</v>
      </c>
      <c r="D315" t="s">
        <v>1</v>
      </c>
      <c r="E315" t="s">
        <v>522</v>
      </c>
      <c r="F315" t="s">
        <v>3</v>
      </c>
      <c r="G315" t="s">
        <v>523</v>
      </c>
      <c r="H315" t="s">
        <v>49</v>
      </c>
      <c r="I315" t="s">
        <v>14</v>
      </c>
      <c r="J315" t="s">
        <v>15</v>
      </c>
      <c r="K315" t="s">
        <v>7</v>
      </c>
      <c r="L315" t="s">
        <v>96</v>
      </c>
      <c r="M315">
        <v>420</v>
      </c>
      <c r="N315">
        <v>14</v>
      </c>
      <c r="O315">
        <v>0</v>
      </c>
      <c r="P315">
        <v>147</v>
      </c>
      <c r="Q315">
        <v>20.03</v>
      </c>
      <c r="R315" t="s">
        <v>9</v>
      </c>
      <c r="S315">
        <f>Sheet1[[#This Row],[Ship_date]]-Sheet1[[#This Row],[Order_date]]</f>
        <v>6</v>
      </c>
      <c r="T315">
        <f>Sheet1[[#This Row],[Quantity]]*Sheet1[[#This Row],[Sales]]</f>
        <v>5880</v>
      </c>
      <c r="U315">
        <f>Sheet1[[#This Row],[Total Sales]]*Sheet1[[#This Row],[Discount]]</f>
        <v>0</v>
      </c>
      <c r="V315" s="4">
        <f>Sheet1[[#This Row],[Total Sales]]-Sheet1[[#This Row],[Total Sales]]*Sheet1[[#This Row],[Discount]]</f>
        <v>5880</v>
      </c>
      <c r="W315" s="4">
        <f>Sheet1[[#This Row],[Quantity]]*Sheet1[[#This Row],[Profit]]</f>
        <v>2058</v>
      </c>
      <c r="X315" s="5">
        <f>Sheet1[[#This Row],[Total Profit]]/Sheet1[[#This Row],[Sales After Discount]]</f>
        <v>0.35</v>
      </c>
      <c r="Y315" s="4">
        <f>Sheet1[[#This Row],[Shipping_cost]]*Sheet1[[#This Row],[Quantity]]</f>
        <v>280.42</v>
      </c>
      <c r="Z315" s="4">
        <f>Sheet1[[#This Row],[Total Profit]]-Sheet1[[#This Row],[Total Shipping Cost]]</f>
        <v>1777.58</v>
      </c>
      <c r="AA315" s="4" t="str">
        <f>IF(Sheet1[[#This Row],[Net Profit]]&gt;0,"Profit","Loss")</f>
        <v>Profit</v>
      </c>
    </row>
    <row r="316" spans="1:27" x14ac:dyDescent="0.25">
      <c r="A316" t="s">
        <v>521</v>
      </c>
      <c r="B316" s="1">
        <v>40567</v>
      </c>
      <c r="C316" s="1">
        <v>40573</v>
      </c>
      <c r="D316" t="s">
        <v>1</v>
      </c>
      <c r="E316" t="s">
        <v>522</v>
      </c>
      <c r="F316" t="s">
        <v>3</v>
      </c>
      <c r="G316" t="s">
        <v>523</v>
      </c>
      <c r="H316" t="s">
        <v>49</v>
      </c>
      <c r="I316" t="s">
        <v>14</v>
      </c>
      <c r="J316" t="s">
        <v>15</v>
      </c>
      <c r="K316" t="s">
        <v>32</v>
      </c>
      <c r="L316" t="s">
        <v>33</v>
      </c>
      <c r="M316">
        <v>220</v>
      </c>
      <c r="N316">
        <v>2</v>
      </c>
      <c r="O316">
        <v>0</v>
      </c>
      <c r="P316">
        <v>8.76</v>
      </c>
      <c r="Q316">
        <v>16.920000000000002</v>
      </c>
      <c r="R316" t="s">
        <v>9</v>
      </c>
      <c r="S316">
        <f>Sheet1[[#This Row],[Ship_date]]-Sheet1[[#This Row],[Order_date]]</f>
        <v>6</v>
      </c>
      <c r="T316">
        <f>Sheet1[[#This Row],[Quantity]]*Sheet1[[#This Row],[Sales]]</f>
        <v>440</v>
      </c>
      <c r="U316">
        <f>Sheet1[[#This Row],[Total Sales]]*Sheet1[[#This Row],[Discount]]</f>
        <v>0</v>
      </c>
      <c r="V316" s="4">
        <f>Sheet1[[#This Row],[Total Sales]]-Sheet1[[#This Row],[Total Sales]]*Sheet1[[#This Row],[Discount]]</f>
        <v>440</v>
      </c>
      <c r="W316" s="4">
        <f>Sheet1[[#This Row],[Quantity]]*Sheet1[[#This Row],[Profit]]</f>
        <v>17.52</v>
      </c>
      <c r="X316" s="5">
        <f>Sheet1[[#This Row],[Total Profit]]/Sheet1[[#This Row],[Sales After Discount]]</f>
        <v>3.9818181818181815E-2</v>
      </c>
      <c r="Y316" s="4">
        <f>Sheet1[[#This Row],[Shipping_cost]]*Sheet1[[#This Row],[Quantity]]</f>
        <v>33.840000000000003</v>
      </c>
      <c r="Z316" s="4">
        <f>Sheet1[[#This Row],[Total Profit]]-Sheet1[[#This Row],[Total Shipping Cost]]</f>
        <v>-16.320000000000004</v>
      </c>
      <c r="AA316" s="4" t="str">
        <f>IF(Sheet1[[#This Row],[Net Profit]]&gt;0,"Profit","Loss")</f>
        <v>Loss</v>
      </c>
    </row>
    <row r="317" spans="1:27" x14ac:dyDescent="0.25">
      <c r="A317" t="s">
        <v>513</v>
      </c>
      <c r="B317" s="1">
        <v>40567</v>
      </c>
      <c r="C317" s="1">
        <v>40567</v>
      </c>
      <c r="D317" t="s">
        <v>41</v>
      </c>
      <c r="E317" t="s">
        <v>428</v>
      </c>
      <c r="F317" t="s">
        <v>43</v>
      </c>
      <c r="G317" t="s">
        <v>514</v>
      </c>
      <c r="H317" t="s">
        <v>515</v>
      </c>
      <c r="I317" t="s">
        <v>22</v>
      </c>
      <c r="J317" t="s">
        <v>22</v>
      </c>
      <c r="K317" t="s">
        <v>32</v>
      </c>
      <c r="L317" t="s">
        <v>56</v>
      </c>
      <c r="M317">
        <v>133</v>
      </c>
      <c r="N317">
        <v>1</v>
      </c>
      <c r="O317">
        <v>0</v>
      </c>
      <c r="P317">
        <v>63.87</v>
      </c>
      <c r="Q317">
        <v>15.16</v>
      </c>
      <c r="R317" t="s">
        <v>9</v>
      </c>
      <c r="S317">
        <f>Sheet1[[#This Row],[Ship_date]]-Sheet1[[#This Row],[Order_date]]</f>
        <v>0</v>
      </c>
      <c r="T317">
        <f>Sheet1[[#This Row],[Quantity]]*Sheet1[[#This Row],[Sales]]</f>
        <v>133</v>
      </c>
      <c r="U317">
        <f>Sheet1[[#This Row],[Total Sales]]*Sheet1[[#This Row],[Discount]]</f>
        <v>0</v>
      </c>
      <c r="V317" s="4">
        <f>Sheet1[[#This Row],[Total Sales]]-Sheet1[[#This Row],[Total Sales]]*Sheet1[[#This Row],[Discount]]</f>
        <v>133</v>
      </c>
      <c r="W317" s="4">
        <f>Sheet1[[#This Row],[Quantity]]*Sheet1[[#This Row],[Profit]]</f>
        <v>63.87</v>
      </c>
      <c r="X317" s="5">
        <f>Sheet1[[#This Row],[Total Profit]]/Sheet1[[#This Row],[Sales After Discount]]</f>
        <v>0.48022556390977444</v>
      </c>
      <c r="Y317" s="4">
        <f>Sheet1[[#This Row],[Shipping_cost]]*Sheet1[[#This Row],[Quantity]]</f>
        <v>15.16</v>
      </c>
      <c r="Z317" s="4">
        <f>Sheet1[[#This Row],[Total Profit]]-Sheet1[[#This Row],[Total Shipping Cost]]</f>
        <v>48.709999999999994</v>
      </c>
      <c r="AA317" s="4" t="str">
        <f>IF(Sheet1[[#This Row],[Net Profit]]&gt;0,"Profit","Loss")</f>
        <v>Profit</v>
      </c>
    </row>
    <row r="318" spans="1:27" x14ac:dyDescent="0.25">
      <c r="A318" t="s">
        <v>518</v>
      </c>
      <c r="B318" s="1">
        <v>40567</v>
      </c>
      <c r="C318" s="1">
        <v>40569</v>
      </c>
      <c r="D318" t="s">
        <v>142</v>
      </c>
      <c r="E318" t="s">
        <v>519</v>
      </c>
      <c r="F318" t="s">
        <v>3</v>
      </c>
      <c r="G318" t="s">
        <v>520</v>
      </c>
      <c r="H318" t="s">
        <v>298</v>
      </c>
      <c r="I318" t="s">
        <v>29</v>
      </c>
      <c r="J318" t="s">
        <v>102</v>
      </c>
      <c r="K318" t="s">
        <v>32</v>
      </c>
      <c r="L318" t="s">
        <v>56</v>
      </c>
      <c r="M318">
        <v>69</v>
      </c>
      <c r="N318">
        <v>3</v>
      </c>
      <c r="O318">
        <v>0.6</v>
      </c>
      <c r="P318">
        <v>-95.201999999999998</v>
      </c>
      <c r="Q318">
        <v>12.7</v>
      </c>
      <c r="R318" t="s">
        <v>45</v>
      </c>
      <c r="S318">
        <f>Sheet1[[#This Row],[Ship_date]]-Sheet1[[#This Row],[Order_date]]</f>
        <v>2</v>
      </c>
      <c r="T318">
        <f>Sheet1[[#This Row],[Quantity]]*Sheet1[[#This Row],[Sales]]</f>
        <v>207</v>
      </c>
      <c r="U318">
        <f>Sheet1[[#This Row],[Total Sales]]*Sheet1[[#This Row],[Discount]]</f>
        <v>124.19999999999999</v>
      </c>
      <c r="V318" s="4">
        <f>Sheet1[[#This Row],[Total Sales]]-Sheet1[[#This Row],[Total Sales]]*Sheet1[[#This Row],[Discount]]</f>
        <v>82.800000000000011</v>
      </c>
      <c r="W318" s="4">
        <f>Sheet1[[#This Row],[Quantity]]*Sheet1[[#This Row],[Profit]]</f>
        <v>-285.60599999999999</v>
      </c>
      <c r="X318" s="5">
        <f>Sheet1[[#This Row],[Total Profit]]/Sheet1[[#This Row],[Sales After Discount]]</f>
        <v>-3.4493478260869561</v>
      </c>
      <c r="Y318" s="4">
        <f>Sheet1[[#This Row],[Shipping_cost]]*Sheet1[[#This Row],[Quantity]]</f>
        <v>38.099999999999994</v>
      </c>
      <c r="Z318" s="4">
        <f>Sheet1[[#This Row],[Total Profit]]-Sheet1[[#This Row],[Total Shipping Cost]]</f>
        <v>-323.70600000000002</v>
      </c>
      <c r="AA318" s="4" t="str">
        <f>IF(Sheet1[[#This Row],[Net Profit]]&gt;0,"Profit","Loss")</f>
        <v>Loss</v>
      </c>
    </row>
    <row r="319" spans="1:27" x14ac:dyDescent="0.25">
      <c r="A319" t="s">
        <v>521</v>
      </c>
      <c r="B319" s="1">
        <v>40567</v>
      </c>
      <c r="C319" s="1">
        <v>40573</v>
      </c>
      <c r="D319" t="s">
        <v>1</v>
      </c>
      <c r="E319" t="s">
        <v>522</v>
      </c>
      <c r="F319" t="s">
        <v>3</v>
      </c>
      <c r="G319" t="s">
        <v>523</v>
      </c>
      <c r="H319" t="s">
        <v>49</v>
      </c>
      <c r="I319" t="s">
        <v>14</v>
      </c>
      <c r="J319" t="s">
        <v>15</v>
      </c>
      <c r="K319" t="s">
        <v>7</v>
      </c>
      <c r="L319" t="s">
        <v>91</v>
      </c>
      <c r="M319">
        <v>139</v>
      </c>
      <c r="N319">
        <v>8</v>
      </c>
      <c r="O319">
        <v>0</v>
      </c>
      <c r="P319">
        <v>65.28</v>
      </c>
      <c r="Q319">
        <v>11.94</v>
      </c>
      <c r="R319" t="s">
        <v>9</v>
      </c>
      <c r="S319">
        <f>Sheet1[[#This Row],[Ship_date]]-Sheet1[[#This Row],[Order_date]]</f>
        <v>6</v>
      </c>
      <c r="T319">
        <f>Sheet1[[#This Row],[Quantity]]*Sheet1[[#This Row],[Sales]]</f>
        <v>1112</v>
      </c>
      <c r="U319">
        <f>Sheet1[[#This Row],[Total Sales]]*Sheet1[[#This Row],[Discount]]</f>
        <v>0</v>
      </c>
      <c r="V319" s="4">
        <f>Sheet1[[#This Row],[Total Sales]]-Sheet1[[#This Row],[Total Sales]]*Sheet1[[#This Row],[Discount]]</f>
        <v>1112</v>
      </c>
      <c r="W319" s="4">
        <f>Sheet1[[#This Row],[Quantity]]*Sheet1[[#This Row],[Profit]]</f>
        <v>522.24</v>
      </c>
      <c r="X319" s="5">
        <f>Sheet1[[#This Row],[Total Profit]]/Sheet1[[#This Row],[Sales After Discount]]</f>
        <v>0.46964028776978417</v>
      </c>
      <c r="Y319" s="4">
        <f>Sheet1[[#This Row],[Shipping_cost]]*Sheet1[[#This Row],[Quantity]]</f>
        <v>95.52</v>
      </c>
      <c r="Z319" s="4">
        <f>Sheet1[[#This Row],[Total Profit]]-Sheet1[[#This Row],[Total Shipping Cost]]</f>
        <v>426.72</v>
      </c>
      <c r="AA319" s="4" t="str">
        <f>IF(Sheet1[[#This Row],[Net Profit]]&gt;0,"Profit","Loss")</f>
        <v>Profit</v>
      </c>
    </row>
    <row r="320" spans="1:27" x14ac:dyDescent="0.25">
      <c r="A320" t="s">
        <v>518</v>
      </c>
      <c r="B320" s="1">
        <v>40567</v>
      </c>
      <c r="C320" s="1">
        <v>40569</v>
      </c>
      <c r="D320" t="s">
        <v>142</v>
      </c>
      <c r="E320" t="s">
        <v>519</v>
      </c>
      <c r="F320" t="s">
        <v>3</v>
      </c>
      <c r="G320" t="s">
        <v>520</v>
      </c>
      <c r="H320" t="s">
        <v>298</v>
      </c>
      <c r="I320" t="s">
        <v>29</v>
      </c>
      <c r="J320" t="s">
        <v>102</v>
      </c>
      <c r="K320" t="s">
        <v>7</v>
      </c>
      <c r="L320" t="s">
        <v>31</v>
      </c>
      <c r="M320">
        <v>55</v>
      </c>
      <c r="N320">
        <v>3</v>
      </c>
      <c r="O320">
        <v>0</v>
      </c>
      <c r="P320">
        <v>2.7</v>
      </c>
      <c r="Q320">
        <v>11.16</v>
      </c>
      <c r="R320" t="s">
        <v>45</v>
      </c>
      <c r="S320">
        <f>Sheet1[[#This Row],[Ship_date]]-Sheet1[[#This Row],[Order_date]]</f>
        <v>2</v>
      </c>
      <c r="T320">
        <f>Sheet1[[#This Row],[Quantity]]*Sheet1[[#This Row],[Sales]]</f>
        <v>165</v>
      </c>
      <c r="U320">
        <f>Sheet1[[#This Row],[Total Sales]]*Sheet1[[#This Row],[Discount]]</f>
        <v>0</v>
      </c>
      <c r="V320" s="4">
        <f>Sheet1[[#This Row],[Total Sales]]-Sheet1[[#This Row],[Total Sales]]*Sheet1[[#This Row],[Discount]]</f>
        <v>165</v>
      </c>
      <c r="W320" s="4">
        <f>Sheet1[[#This Row],[Quantity]]*Sheet1[[#This Row],[Profit]]</f>
        <v>8.1000000000000014</v>
      </c>
      <c r="X320" s="5">
        <f>Sheet1[[#This Row],[Total Profit]]/Sheet1[[#This Row],[Sales After Discount]]</f>
        <v>4.9090909090909102E-2</v>
      </c>
      <c r="Y320" s="4">
        <f>Sheet1[[#This Row],[Shipping_cost]]*Sheet1[[#This Row],[Quantity]]</f>
        <v>33.480000000000004</v>
      </c>
      <c r="Z320" s="4">
        <f>Sheet1[[#This Row],[Total Profit]]-Sheet1[[#This Row],[Total Shipping Cost]]</f>
        <v>-25.380000000000003</v>
      </c>
      <c r="AA320" s="4" t="str">
        <f>IF(Sheet1[[#This Row],[Net Profit]]&gt;0,"Profit","Loss")</f>
        <v>Loss</v>
      </c>
    </row>
    <row r="321" spans="1:27" x14ac:dyDescent="0.25">
      <c r="A321" t="s">
        <v>524</v>
      </c>
      <c r="B321" s="1">
        <v>40567</v>
      </c>
      <c r="C321" s="1">
        <v>40572</v>
      </c>
      <c r="D321" t="s">
        <v>1</v>
      </c>
      <c r="E321" t="s">
        <v>525</v>
      </c>
      <c r="F321" t="s">
        <v>3</v>
      </c>
      <c r="G321" t="s">
        <v>526</v>
      </c>
      <c r="H321" t="s">
        <v>13</v>
      </c>
      <c r="I321" t="s">
        <v>14</v>
      </c>
      <c r="J321" t="s">
        <v>15</v>
      </c>
      <c r="K321" t="s">
        <v>38</v>
      </c>
      <c r="L321" t="s">
        <v>82</v>
      </c>
      <c r="M321">
        <v>111</v>
      </c>
      <c r="N321">
        <v>3</v>
      </c>
      <c r="O321">
        <v>0.1</v>
      </c>
      <c r="P321">
        <v>8.5679999999999996</v>
      </c>
      <c r="Q321">
        <v>9.92</v>
      </c>
      <c r="R321" t="s">
        <v>9</v>
      </c>
      <c r="S321">
        <f>Sheet1[[#This Row],[Ship_date]]-Sheet1[[#This Row],[Order_date]]</f>
        <v>5</v>
      </c>
      <c r="T321">
        <f>Sheet1[[#This Row],[Quantity]]*Sheet1[[#This Row],[Sales]]</f>
        <v>333</v>
      </c>
      <c r="U321">
        <f>Sheet1[[#This Row],[Total Sales]]*Sheet1[[#This Row],[Discount]]</f>
        <v>33.300000000000004</v>
      </c>
      <c r="V321" s="4">
        <f>Sheet1[[#This Row],[Total Sales]]-Sheet1[[#This Row],[Total Sales]]*Sheet1[[#This Row],[Discount]]</f>
        <v>299.7</v>
      </c>
      <c r="W321" s="4">
        <f>Sheet1[[#This Row],[Quantity]]*Sheet1[[#This Row],[Profit]]</f>
        <v>25.704000000000001</v>
      </c>
      <c r="X321" s="5">
        <f>Sheet1[[#This Row],[Total Profit]]/Sheet1[[#This Row],[Sales After Discount]]</f>
        <v>8.5765765765765778E-2</v>
      </c>
      <c r="Y321" s="4">
        <f>Sheet1[[#This Row],[Shipping_cost]]*Sheet1[[#This Row],[Quantity]]</f>
        <v>29.759999999999998</v>
      </c>
      <c r="Z321" s="4">
        <f>Sheet1[[#This Row],[Total Profit]]-Sheet1[[#This Row],[Total Shipping Cost]]</f>
        <v>-4.0559999999999974</v>
      </c>
      <c r="AA321" s="4" t="str">
        <f>IF(Sheet1[[#This Row],[Net Profit]]&gt;0,"Profit","Loss")</f>
        <v>Loss</v>
      </c>
    </row>
    <row r="322" spans="1:27" x14ac:dyDescent="0.25">
      <c r="A322" t="s">
        <v>518</v>
      </c>
      <c r="B322" s="1">
        <v>40567</v>
      </c>
      <c r="C322" s="1">
        <v>40569</v>
      </c>
      <c r="D322" t="s">
        <v>142</v>
      </c>
      <c r="E322" t="s">
        <v>519</v>
      </c>
      <c r="F322" t="s">
        <v>3</v>
      </c>
      <c r="G322" t="s">
        <v>520</v>
      </c>
      <c r="H322" t="s">
        <v>298</v>
      </c>
      <c r="I322" t="s">
        <v>29</v>
      </c>
      <c r="J322" t="s">
        <v>102</v>
      </c>
      <c r="K322" t="s">
        <v>7</v>
      </c>
      <c r="L322" t="s">
        <v>97</v>
      </c>
      <c r="M322">
        <v>41</v>
      </c>
      <c r="N322">
        <v>4</v>
      </c>
      <c r="O322">
        <v>0</v>
      </c>
      <c r="P322">
        <v>2.88</v>
      </c>
      <c r="Q322">
        <v>5.24</v>
      </c>
      <c r="R322" t="s">
        <v>45</v>
      </c>
      <c r="S322">
        <f>Sheet1[[#This Row],[Ship_date]]-Sheet1[[#This Row],[Order_date]]</f>
        <v>2</v>
      </c>
      <c r="T322">
        <f>Sheet1[[#This Row],[Quantity]]*Sheet1[[#This Row],[Sales]]</f>
        <v>164</v>
      </c>
      <c r="U322">
        <f>Sheet1[[#This Row],[Total Sales]]*Sheet1[[#This Row],[Discount]]</f>
        <v>0</v>
      </c>
      <c r="V322" s="4">
        <f>Sheet1[[#This Row],[Total Sales]]-Sheet1[[#This Row],[Total Sales]]*Sheet1[[#This Row],[Discount]]</f>
        <v>164</v>
      </c>
      <c r="W322" s="4">
        <f>Sheet1[[#This Row],[Quantity]]*Sheet1[[#This Row],[Profit]]</f>
        <v>11.52</v>
      </c>
      <c r="X322" s="5">
        <f>Sheet1[[#This Row],[Total Profit]]/Sheet1[[#This Row],[Sales After Discount]]</f>
        <v>7.0243902439024383E-2</v>
      </c>
      <c r="Y322" s="4">
        <f>Sheet1[[#This Row],[Shipping_cost]]*Sheet1[[#This Row],[Quantity]]</f>
        <v>20.96</v>
      </c>
      <c r="Z322" s="4">
        <f>Sheet1[[#This Row],[Total Profit]]-Sheet1[[#This Row],[Total Shipping Cost]]</f>
        <v>-9.4400000000000013</v>
      </c>
      <c r="AA322" s="4" t="str">
        <f>IF(Sheet1[[#This Row],[Net Profit]]&gt;0,"Profit","Loss")</f>
        <v>Loss</v>
      </c>
    </row>
    <row r="323" spans="1:27" x14ac:dyDescent="0.25">
      <c r="A323" t="s">
        <v>518</v>
      </c>
      <c r="B323" s="1">
        <v>40567</v>
      </c>
      <c r="C323" s="1">
        <v>40569</v>
      </c>
      <c r="D323" t="s">
        <v>142</v>
      </c>
      <c r="E323" t="s">
        <v>519</v>
      </c>
      <c r="F323" t="s">
        <v>3</v>
      </c>
      <c r="G323" t="s">
        <v>520</v>
      </c>
      <c r="H323" t="s">
        <v>298</v>
      </c>
      <c r="I323" t="s">
        <v>29</v>
      </c>
      <c r="J323" t="s">
        <v>102</v>
      </c>
      <c r="K323" t="s">
        <v>7</v>
      </c>
      <c r="L323" t="s">
        <v>87</v>
      </c>
      <c r="M323">
        <v>54</v>
      </c>
      <c r="N323">
        <v>5</v>
      </c>
      <c r="O323">
        <v>0</v>
      </c>
      <c r="P323">
        <v>7.5</v>
      </c>
      <c r="Q323">
        <v>4.72</v>
      </c>
      <c r="R323" t="s">
        <v>45</v>
      </c>
      <c r="S323">
        <f>Sheet1[[#This Row],[Ship_date]]-Sheet1[[#This Row],[Order_date]]</f>
        <v>2</v>
      </c>
      <c r="T323">
        <f>Sheet1[[#This Row],[Quantity]]*Sheet1[[#This Row],[Sales]]</f>
        <v>270</v>
      </c>
      <c r="U323">
        <f>Sheet1[[#This Row],[Total Sales]]*Sheet1[[#This Row],[Discount]]</f>
        <v>0</v>
      </c>
      <c r="V323" s="4">
        <f>Sheet1[[#This Row],[Total Sales]]-Sheet1[[#This Row],[Total Sales]]*Sheet1[[#This Row],[Discount]]</f>
        <v>270</v>
      </c>
      <c r="W323" s="4">
        <f>Sheet1[[#This Row],[Quantity]]*Sheet1[[#This Row],[Profit]]</f>
        <v>37.5</v>
      </c>
      <c r="X323" s="5">
        <f>Sheet1[[#This Row],[Total Profit]]/Sheet1[[#This Row],[Sales After Discount]]</f>
        <v>0.1388888888888889</v>
      </c>
      <c r="Y323" s="4">
        <f>Sheet1[[#This Row],[Shipping_cost]]*Sheet1[[#This Row],[Quantity]]</f>
        <v>23.599999999999998</v>
      </c>
      <c r="Z323" s="4">
        <f>Sheet1[[#This Row],[Total Profit]]-Sheet1[[#This Row],[Total Shipping Cost]]</f>
        <v>13.900000000000002</v>
      </c>
      <c r="AA323" s="4" t="str">
        <f>IF(Sheet1[[#This Row],[Net Profit]]&gt;0,"Profit","Loss")</f>
        <v>Profit</v>
      </c>
    </row>
    <row r="324" spans="1:27" x14ac:dyDescent="0.25">
      <c r="A324" t="s">
        <v>527</v>
      </c>
      <c r="B324" s="1">
        <v>40567</v>
      </c>
      <c r="C324" s="1">
        <v>40572</v>
      </c>
      <c r="D324" t="s">
        <v>1</v>
      </c>
      <c r="E324" t="s">
        <v>528</v>
      </c>
      <c r="F324" t="s">
        <v>3</v>
      </c>
      <c r="G324" t="s">
        <v>529</v>
      </c>
      <c r="H324" t="s">
        <v>126</v>
      </c>
      <c r="I324" t="s">
        <v>127</v>
      </c>
      <c r="J324" t="s">
        <v>192</v>
      </c>
      <c r="K324" t="s">
        <v>7</v>
      </c>
      <c r="L324" t="s">
        <v>31</v>
      </c>
      <c r="M324">
        <v>40</v>
      </c>
      <c r="N324">
        <v>6</v>
      </c>
      <c r="O324">
        <v>0</v>
      </c>
      <c r="P324">
        <v>19.238399999999999</v>
      </c>
      <c r="Q324">
        <v>4.3099999999999996</v>
      </c>
      <c r="R324" t="s">
        <v>9</v>
      </c>
      <c r="S324">
        <f>Sheet1[[#This Row],[Ship_date]]-Sheet1[[#This Row],[Order_date]]</f>
        <v>5</v>
      </c>
      <c r="T324">
        <f>Sheet1[[#This Row],[Quantity]]*Sheet1[[#This Row],[Sales]]</f>
        <v>240</v>
      </c>
      <c r="U324">
        <f>Sheet1[[#This Row],[Total Sales]]*Sheet1[[#This Row],[Discount]]</f>
        <v>0</v>
      </c>
      <c r="V324" s="4">
        <f>Sheet1[[#This Row],[Total Sales]]-Sheet1[[#This Row],[Total Sales]]*Sheet1[[#This Row],[Discount]]</f>
        <v>240</v>
      </c>
      <c r="W324" s="4">
        <f>Sheet1[[#This Row],[Quantity]]*Sheet1[[#This Row],[Profit]]</f>
        <v>115.43039999999999</v>
      </c>
      <c r="X324" s="5">
        <f>Sheet1[[#This Row],[Total Profit]]/Sheet1[[#This Row],[Sales After Discount]]</f>
        <v>0.48095999999999994</v>
      </c>
      <c r="Y324" s="4">
        <f>Sheet1[[#This Row],[Shipping_cost]]*Sheet1[[#This Row],[Quantity]]</f>
        <v>25.86</v>
      </c>
      <c r="Z324" s="4">
        <f>Sheet1[[#This Row],[Total Profit]]-Sheet1[[#This Row],[Total Shipping Cost]]</f>
        <v>89.570399999999992</v>
      </c>
      <c r="AA324" s="4" t="str">
        <f>IF(Sheet1[[#This Row],[Net Profit]]&gt;0,"Profit","Loss")</f>
        <v>Profit</v>
      </c>
    </row>
    <row r="325" spans="1:27" x14ac:dyDescent="0.25">
      <c r="A325" t="s">
        <v>530</v>
      </c>
      <c r="B325" s="1">
        <v>40567</v>
      </c>
      <c r="C325" s="1">
        <v>40573</v>
      </c>
      <c r="D325" t="s">
        <v>1</v>
      </c>
      <c r="E325" t="s">
        <v>531</v>
      </c>
      <c r="F325" t="s">
        <v>26</v>
      </c>
      <c r="G325" t="s">
        <v>532</v>
      </c>
      <c r="H325" t="s">
        <v>280</v>
      </c>
      <c r="I325" t="s">
        <v>14</v>
      </c>
      <c r="J325" t="s">
        <v>281</v>
      </c>
      <c r="K325" t="s">
        <v>7</v>
      </c>
      <c r="L325" t="s">
        <v>87</v>
      </c>
      <c r="M325">
        <v>59</v>
      </c>
      <c r="N325">
        <v>5</v>
      </c>
      <c r="O325">
        <v>0</v>
      </c>
      <c r="P325">
        <v>27.75</v>
      </c>
      <c r="Q325">
        <v>4.2699999999999996</v>
      </c>
      <c r="R325" t="s">
        <v>9</v>
      </c>
      <c r="S325">
        <f>Sheet1[[#This Row],[Ship_date]]-Sheet1[[#This Row],[Order_date]]</f>
        <v>6</v>
      </c>
      <c r="T325">
        <f>Sheet1[[#This Row],[Quantity]]*Sheet1[[#This Row],[Sales]]</f>
        <v>295</v>
      </c>
      <c r="U325">
        <f>Sheet1[[#This Row],[Total Sales]]*Sheet1[[#This Row],[Discount]]</f>
        <v>0</v>
      </c>
      <c r="V325" s="4">
        <f>Sheet1[[#This Row],[Total Sales]]-Sheet1[[#This Row],[Total Sales]]*Sheet1[[#This Row],[Discount]]</f>
        <v>295</v>
      </c>
      <c r="W325" s="4">
        <f>Sheet1[[#This Row],[Quantity]]*Sheet1[[#This Row],[Profit]]</f>
        <v>138.75</v>
      </c>
      <c r="X325" s="5">
        <f>Sheet1[[#This Row],[Total Profit]]/Sheet1[[#This Row],[Sales After Discount]]</f>
        <v>0.47033898305084748</v>
      </c>
      <c r="Y325" s="4">
        <f>Sheet1[[#This Row],[Shipping_cost]]*Sheet1[[#This Row],[Quantity]]</f>
        <v>21.349999999999998</v>
      </c>
      <c r="Z325" s="4">
        <f>Sheet1[[#This Row],[Total Profit]]-Sheet1[[#This Row],[Total Shipping Cost]]</f>
        <v>117.4</v>
      </c>
      <c r="AA325" s="4" t="str">
        <f>IF(Sheet1[[#This Row],[Net Profit]]&gt;0,"Profit","Loss")</f>
        <v>Profit</v>
      </c>
    </row>
    <row r="326" spans="1:27" x14ac:dyDescent="0.25">
      <c r="A326" t="s">
        <v>533</v>
      </c>
      <c r="B326" s="1">
        <v>40567</v>
      </c>
      <c r="C326" s="1">
        <v>40573</v>
      </c>
      <c r="D326" t="s">
        <v>1</v>
      </c>
      <c r="E326" t="s">
        <v>534</v>
      </c>
      <c r="F326" t="s">
        <v>3</v>
      </c>
      <c r="G326" t="s">
        <v>535</v>
      </c>
      <c r="H326" t="s">
        <v>536</v>
      </c>
      <c r="I326" t="s">
        <v>6</v>
      </c>
      <c r="J326" t="s">
        <v>6</v>
      </c>
      <c r="K326" t="s">
        <v>7</v>
      </c>
      <c r="L326" t="s">
        <v>87</v>
      </c>
      <c r="M326">
        <v>42</v>
      </c>
      <c r="N326">
        <v>6</v>
      </c>
      <c r="O326">
        <v>0</v>
      </c>
      <c r="P326">
        <v>9.18</v>
      </c>
      <c r="Q326">
        <v>3.57</v>
      </c>
      <c r="R326" t="s">
        <v>9</v>
      </c>
      <c r="S326">
        <f>Sheet1[[#This Row],[Ship_date]]-Sheet1[[#This Row],[Order_date]]</f>
        <v>6</v>
      </c>
      <c r="T326">
        <f>Sheet1[[#This Row],[Quantity]]*Sheet1[[#This Row],[Sales]]</f>
        <v>252</v>
      </c>
      <c r="U326">
        <f>Sheet1[[#This Row],[Total Sales]]*Sheet1[[#This Row],[Discount]]</f>
        <v>0</v>
      </c>
      <c r="V326" s="4">
        <f>Sheet1[[#This Row],[Total Sales]]-Sheet1[[#This Row],[Total Sales]]*Sheet1[[#This Row],[Discount]]</f>
        <v>252</v>
      </c>
      <c r="W326" s="4">
        <f>Sheet1[[#This Row],[Quantity]]*Sheet1[[#This Row],[Profit]]</f>
        <v>55.08</v>
      </c>
      <c r="X326" s="5">
        <f>Sheet1[[#This Row],[Total Profit]]/Sheet1[[#This Row],[Sales After Discount]]</f>
        <v>0.21857142857142856</v>
      </c>
      <c r="Y326" s="4">
        <f>Sheet1[[#This Row],[Shipping_cost]]*Sheet1[[#This Row],[Quantity]]</f>
        <v>21.419999999999998</v>
      </c>
      <c r="Z326" s="4">
        <f>Sheet1[[#This Row],[Total Profit]]-Sheet1[[#This Row],[Total Shipping Cost]]</f>
        <v>33.659999999999997</v>
      </c>
      <c r="AA326" s="4" t="str">
        <f>IF(Sheet1[[#This Row],[Net Profit]]&gt;0,"Profit","Loss")</f>
        <v>Profit</v>
      </c>
    </row>
    <row r="327" spans="1:27" x14ac:dyDescent="0.25">
      <c r="A327" t="s">
        <v>537</v>
      </c>
      <c r="B327" s="1">
        <v>40567</v>
      </c>
      <c r="C327" s="1">
        <v>40569</v>
      </c>
      <c r="D327" t="s">
        <v>18</v>
      </c>
      <c r="E327" t="s">
        <v>538</v>
      </c>
      <c r="F327" t="s">
        <v>26</v>
      </c>
      <c r="G327" t="s">
        <v>417</v>
      </c>
      <c r="H327" t="s">
        <v>298</v>
      </c>
      <c r="I327" t="s">
        <v>29</v>
      </c>
      <c r="J327" t="s">
        <v>102</v>
      </c>
      <c r="K327" t="s">
        <v>7</v>
      </c>
      <c r="L327" t="s">
        <v>91</v>
      </c>
      <c r="M327">
        <v>28</v>
      </c>
      <c r="N327">
        <v>1</v>
      </c>
      <c r="O327">
        <v>0</v>
      </c>
      <c r="P327">
        <v>4.1399999999999997</v>
      </c>
      <c r="Q327">
        <v>3.33</v>
      </c>
      <c r="R327" t="s">
        <v>23</v>
      </c>
      <c r="S327">
        <f>Sheet1[[#This Row],[Ship_date]]-Sheet1[[#This Row],[Order_date]]</f>
        <v>2</v>
      </c>
      <c r="T327">
        <f>Sheet1[[#This Row],[Quantity]]*Sheet1[[#This Row],[Sales]]</f>
        <v>28</v>
      </c>
      <c r="U327">
        <f>Sheet1[[#This Row],[Total Sales]]*Sheet1[[#This Row],[Discount]]</f>
        <v>0</v>
      </c>
      <c r="V327" s="4">
        <f>Sheet1[[#This Row],[Total Sales]]-Sheet1[[#This Row],[Total Sales]]*Sheet1[[#This Row],[Discount]]</f>
        <v>28</v>
      </c>
      <c r="W327" s="4">
        <f>Sheet1[[#This Row],[Quantity]]*Sheet1[[#This Row],[Profit]]</f>
        <v>4.1399999999999997</v>
      </c>
      <c r="X327" s="5">
        <f>Sheet1[[#This Row],[Total Profit]]/Sheet1[[#This Row],[Sales After Discount]]</f>
        <v>0.14785714285714285</v>
      </c>
      <c r="Y327" s="4">
        <f>Sheet1[[#This Row],[Shipping_cost]]*Sheet1[[#This Row],[Quantity]]</f>
        <v>3.33</v>
      </c>
      <c r="Z327" s="4">
        <f>Sheet1[[#This Row],[Total Profit]]-Sheet1[[#This Row],[Total Shipping Cost]]</f>
        <v>0.80999999999999961</v>
      </c>
      <c r="AA327" s="4" t="str">
        <f>IF(Sheet1[[#This Row],[Net Profit]]&gt;0,"Profit","Loss")</f>
        <v>Profit</v>
      </c>
    </row>
    <row r="328" spans="1:27" x14ac:dyDescent="0.25">
      <c r="A328" t="s">
        <v>539</v>
      </c>
      <c r="B328" s="1">
        <v>40567</v>
      </c>
      <c r="C328" s="1">
        <v>40572</v>
      </c>
      <c r="D328" t="s">
        <v>1</v>
      </c>
      <c r="E328" t="s">
        <v>540</v>
      </c>
      <c r="F328" t="s">
        <v>3</v>
      </c>
      <c r="G328" t="s">
        <v>541</v>
      </c>
      <c r="H328" t="s">
        <v>157</v>
      </c>
      <c r="I328" t="s">
        <v>14</v>
      </c>
      <c r="J328" t="s">
        <v>61</v>
      </c>
      <c r="K328" t="s">
        <v>7</v>
      </c>
      <c r="L328" t="s">
        <v>137</v>
      </c>
      <c r="M328">
        <v>12</v>
      </c>
      <c r="N328">
        <v>3</v>
      </c>
      <c r="O328">
        <v>0.17</v>
      </c>
      <c r="P328">
        <v>4.2272999999999996</v>
      </c>
      <c r="Q328">
        <v>1.2</v>
      </c>
      <c r="R328" t="s">
        <v>9</v>
      </c>
      <c r="S328">
        <f>Sheet1[[#This Row],[Ship_date]]-Sheet1[[#This Row],[Order_date]]</f>
        <v>5</v>
      </c>
      <c r="T328">
        <f>Sheet1[[#This Row],[Quantity]]*Sheet1[[#This Row],[Sales]]</f>
        <v>36</v>
      </c>
      <c r="U328">
        <f>Sheet1[[#This Row],[Total Sales]]*Sheet1[[#This Row],[Discount]]</f>
        <v>6.12</v>
      </c>
      <c r="V328" s="4">
        <f>Sheet1[[#This Row],[Total Sales]]-Sheet1[[#This Row],[Total Sales]]*Sheet1[[#This Row],[Discount]]</f>
        <v>29.88</v>
      </c>
      <c r="W328" s="4">
        <f>Sheet1[[#This Row],[Quantity]]*Sheet1[[#This Row],[Profit]]</f>
        <v>12.681899999999999</v>
      </c>
      <c r="X328" s="5">
        <f>Sheet1[[#This Row],[Total Profit]]/Sheet1[[#This Row],[Sales After Discount]]</f>
        <v>0.4244277108433735</v>
      </c>
      <c r="Y328" s="4">
        <f>Sheet1[[#This Row],[Shipping_cost]]*Sheet1[[#This Row],[Quantity]]</f>
        <v>3.5999999999999996</v>
      </c>
      <c r="Z328" s="4">
        <f>Sheet1[[#This Row],[Total Profit]]-Sheet1[[#This Row],[Total Shipping Cost]]</f>
        <v>9.0818999999999992</v>
      </c>
      <c r="AA328" s="4" t="str">
        <f>IF(Sheet1[[#This Row],[Net Profit]]&gt;0,"Profit","Loss")</f>
        <v>Profit</v>
      </c>
    </row>
    <row r="329" spans="1:27" x14ac:dyDescent="0.25">
      <c r="A329" t="s">
        <v>542</v>
      </c>
      <c r="B329" s="1">
        <v>40567</v>
      </c>
      <c r="C329" s="1">
        <v>40571</v>
      </c>
      <c r="D329" t="s">
        <v>1</v>
      </c>
      <c r="E329" t="s">
        <v>543</v>
      </c>
      <c r="F329" t="s">
        <v>3</v>
      </c>
      <c r="G329" t="s">
        <v>544</v>
      </c>
      <c r="H329" t="s">
        <v>126</v>
      </c>
      <c r="I329" t="s">
        <v>127</v>
      </c>
      <c r="J329" t="s">
        <v>76</v>
      </c>
      <c r="K329" t="s">
        <v>7</v>
      </c>
      <c r="L329" t="s">
        <v>97</v>
      </c>
      <c r="M329">
        <v>6</v>
      </c>
      <c r="N329">
        <v>3</v>
      </c>
      <c r="O329">
        <v>0</v>
      </c>
      <c r="P329">
        <v>0</v>
      </c>
      <c r="Q329">
        <v>0.95</v>
      </c>
      <c r="R329" t="s">
        <v>23</v>
      </c>
      <c r="S329">
        <f>Sheet1[[#This Row],[Ship_date]]-Sheet1[[#This Row],[Order_date]]</f>
        <v>4</v>
      </c>
      <c r="T329">
        <f>Sheet1[[#This Row],[Quantity]]*Sheet1[[#This Row],[Sales]]</f>
        <v>18</v>
      </c>
      <c r="U329">
        <f>Sheet1[[#This Row],[Total Sales]]*Sheet1[[#This Row],[Discount]]</f>
        <v>0</v>
      </c>
      <c r="V329" s="4">
        <f>Sheet1[[#This Row],[Total Sales]]-Sheet1[[#This Row],[Total Sales]]*Sheet1[[#This Row],[Discount]]</f>
        <v>18</v>
      </c>
      <c r="W329" s="4">
        <f>Sheet1[[#This Row],[Quantity]]*Sheet1[[#This Row],[Profit]]</f>
        <v>0</v>
      </c>
      <c r="X329" s="5">
        <f>Sheet1[[#This Row],[Total Profit]]/Sheet1[[#This Row],[Sales After Discount]]</f>
        <v>0</v>
      </c>
      <c r="Y329" s="4">
        <f>Sheet1[[#This Row],[Shipping_cost]]*Sheet1[[#This Row],[Quantity]]</f>
        <v>2.8499999999999996</v>
      </c>
      <c r="Z329" s="4">
        <f>Sheet1[[#This Row],[Total Profit]]-Sheet1[[#This Row],[Total Shipping Cost]]</f>
        <v>-2.8499999999999996</v>
      </c>
      <c r="AA329" s="4" t="str">
        <f>IF(Sheet1[[#This Row],[Net Profit]]&gt;0,"Profit","Loss")</f>
        <v>Loss</v>
      </c>
    </row>
    <row r="330" spans="1:27" x14ac:dyDescent="0.25">
      <c r="A330" t="s">
        <v>545</v>
      </c>
      <c r="B330" s="1">
        <v>40567</v>
      </c>
      <c r="C330" s="1">
        <v>40571</v>
      </c>
      <c r="D330" t="s">
        <v>1</v>
      </c>
      <c r="E330" t="s">
        <v>546</v>
      </c>
      <c r="F330" t="s">
        <v>3</v>
      </c>
      <c r="G330" t="s">
        <v>547</v>
      </c>
      <c r="H330" t="s">
        <v>285</v>
      </c>
      <c r="I330" t="s">
        <v>22</v>
      </c>
      <c r="J330" t="s">
        <v>22</v>
      </c>
      <c r="K330" t="s">
        <v>7</v>
      </c>
      <c r="L330" t="s">
        <v>97</v>
      </c>
      <c r="M330">
        <v>15</v>
      </c>
      <c r="N330">
        <v>2</v>
      </c>
      <c r="O330">
        <v>0.6</v>
      </c>
      <c r="P330">
        <v>-3.84</v>
      </c>
      <c r="Q330">
        <v>0.94</v>
      </c>
      <c r="R330" t="s">
        <v>9</v>
      </c>
      <c r="S330">
        <f>Sheet1[[#This Row],[Ship_date]]-Sheet1[[#This Row],[Order_date]]</f>
        <v>4</v>
      </c>
      <c r="T330">
        <f>Sheet1[[#This Row],[Quantity]]*Sheet1[[#This Row],[Sales]]</f>
        <v>30</v>
      </c>
      <c r="U330">
        <f>Sheet1[[#This Row],[Total Sales]]*Sheet1[[#This Row],[Discount]]</f>
        <v>18</v>
      </c>
      <c r="V330" s="4">
        <f>Sheet1[[#This Row],[Total Sales]]-Sheet1[[#This Row],[Total Sales]]*Sheet1[[#This Row],[Discount]]</f>
        <v>12</v>
      </c>
      <c r="W330" s="4">
        <f>Sheet1[[#This Row],[Quantity]]*Sheet1[[#This Row],[Profit]]</f>
        <v>-7.68</v>
      </c>
      <c r="X330" s="5">
        <f>Sheet1[[#This Row],[Total Profit]]/Sheet1[[#This Row],[Sales After Discount]]</f>
        <v>-0.64</v>
      </c>
      <c r="Y330" s="4">
        <f>Sheet1[[#This Row],[Shipping_cost]]*Sheet1[[#This Row],[Quantity]]</f>
        <v>1.88</v>
      </c>
      <c r="Z330" s="4">
        <f>Sheet1[[#This Row],[Total Profit]]-Sheet1[[#This Row],[Total Shipping Cost]]</f>
        <v>-9.5599999999999987</v>
      </c>
      <c r="AA330" s="4" t="str">
        <f>IF(Sheet1[[#This Row],[Net Profit]]&gt;0,"Profit","Loss")</f>
        <v>Loss</v>
      </c>
    </row>
    <row r="331" spans="1:27" x14ac:dyDescent="0.25">
      <c r="A331" t="s">
        <v>516</v>
      </c>
      <c r="B331" s="1">
        <v>40567</v>
      </c>
      <c r="C331" s="1">
        <v>40572</v>
      </c>
      <c r="D331" t="s">
        <v>1</v>
      </c>
      <c r="E331" t="s">
        <v>517</v>
      </c>
      <c r="F331" t="s">
        <v>43</v>
      </c>
      <c r="G331" t="s">
        <v>471</v>
      </c>
      <c r="H331" t="s">
        <v>305</v>
      </c>
      <c r="I331" t="s">
        <v>29</v>
      </c>
      <c r="J331" t="s">
        <v>76</v>
      </c>
      <c r="K331" t="s">
        <v>7</v>
      </c>
      <c r="L331" t="s">
        <v>137</v>
      </c>
      <c r="M331">
        <v>11</v>
      </c>
      <c r="N331">
        <v>1</v>
      </c>
      <c r="O331">
        <v>0</v>
      </c>
      <c r="P331">
        <v>4.1100000000000003</v>
      </c>
      <c r="Q331">
        <v>0.62</v>
      </c>
      <c r="R331" t="s">
        <v>9</v>
      </c>
      <c r="S331">
        <f>Sheet1[[#This Row],[Ship_date]]-Sheet1[[#This Row],[Order_date]]</f>
        <v>5</v>
      </c>
      <c r="T331">
        <f>Sheet1[[#This Row],[Quantity]]*Sheet1[[#This Row],[Sales]]</f>
        <v>11</v>
      </c>
      <c r="U331">
        <f>Sheet1[[#This Row],[Total Sales]]*Sheet1[[#This Row],[Discount]]</f>
        <v>0</v>
      </c>
      <c r="V331" s="4">
        <f>Sheet1[[#This Row],[Total Sales]]-Sheet1[[#This Row],[Total Sales]]*Sheet1[[#This Row],[Discount]]</f>
        <v>11</v>
      </c>
      <c r="W331" s="4">
        <f>Sheet1[[#This Row],[Quantity]]*Sheet1[[#This Row],[Profit]]</f>
        <v>4.1100000000000003</v>
      </c>
      <c r="X331" s="5">
        <f>Sheet1[[#This Row],[Total Profit]]/Sheet1[[#This Row],[Sales After Discount]]</f>
        <v>0.37363636363636366</v>
      </c>
      <c r="Y331" s="4">
        <f>Sheet1[[#This Row],[Shipping_cost]]*Sheet1[[#This Row],[Quantity]]</f>
        <v>0.62</v>
      </c>
      <c r="Z331" s="4">
        <f>Sheet1[[#This Row],[Total Profit]]-Sheet1[[#This Row],[Total Shipping Cost]]</f>
        <v>3.49</v>
      </c>
      <c r="AA331" s="4" t="str">
        <f>IF(Sheet1[[#This Row],[Net Profit]]&gt;0,"Profit","Loss")</f>
        <v>Profit</v>
      </c>
    </row>
    <row r="332" spans="1:27" x14ac:dyDescent="0.25">
      <c r="A332" t="s">
        <v>548</v>
      </c>
      <c r="B332" s="1">
        <v>40568</v>
      </c>
      <c r="C332" s="1">
        <v>40572</v>
      </c>
      <c r="D332" t="s">
        <v>1</v>
      </c>
      <c r="E332" t="s">
        <v>549</v>
      </c>
      <c r="F332" t="s">
        <v>3</v>
      </c>
      <c r="G332" t="s">
        <v>550</v>
      </c>
      <c r="H332" t="s">
        <v>115</v>
      </c>
      <c r="I332" t="s">
        <v>29</v>
      </c>
      <c r="J332" t="s">
        <v>76</v>
      </c>
      <c r="K332" t="s">
        <v>7</v>
      </c>
      <c r="L332" t="s">
        <v>91</v>
      </c>
      <c r="M332">
        <v>445</v>
      </c>
      <c r="N332">
        <v>9</v>
      </c>
      <c r="O332">
        <v>0</v>
      </c>
      <c r="P332">
        <v>71.010000000000005</v>
      </c>
      <c r="Q332">
        <v>33.54</v>
      </c>
      <c r="R332" t="s">
        <v>9</v>
      </c>
      <c r="S332">
        <f>Sheet1[[#This Row],[Ship_date]]-Sheet1[[#This Row],[Order_date]]</f>
        <v>4</v>
      </c>
      <c r="T332">
        <f>Sheet1[[#This Row],[Quantity]]*Sheet1[[#This Row],[Sales]]</f>
        <v>4005</v>
      </c>
      <c r="U332">
        <f>Sheet1[[#This Row],[Total Sales]]*Sheet1[[#This Row],[Discount]]</f>
        <v>0</v>
      </c>
      <c r="V332" s="4">
        <f>Sheet1[[#This Row],[Total Sales]]-Sheet1[[#This Row],[Total Sales]]*Sheet1[[#This Row],[Discount]]</f>
        <v>4005</v>
      </c>
      <c r="W332" s="4">
        <f>Sheet1[[#This Row],[Quantity]]*Sheet1[[#This Row],[Profit]]</f>
        <v>639.09</v>
      </c>
      <c r="X332" s="5">
        <f>Sheet1[[#This Row],[Total Profit]]/Sheet1[[#This Row],[Sales After Discount]]</f>
        <v>0.15957303370786519</v>
      </c>
      <c r="Y332" s="4">
        <f>Sheet1[[#This Row],[Shipping_cost]]*Sheet1[[#This Row],[Quantity]]</f>
        <v>301.86</v>
      </c>
      <c r="Z332" s="4">
        <f>Sheet1[[#This Row],[Total Profit]]-Sheet1[[#This Row],[Total Shipping Cost]]</f>
        <v>337.23</v>
      </c>
      <c r="AA332" s="4" t="str">
        <f>IF(Sheet1[[#This Row],[Net Profit]]&gt;0,"Profit","Loss")</f>
        <v>Profit</v>
      </c>
    </row>
    <row r="333" spans="1:27" x14ac:dyDescent="0.25">
      <c r="A333" t="s">
        <v>551</v>
      </c>
      <c r="B333" s="1">
        <v>40568</v>
      </c>
      <c r="C333" s="1">
        <v>40571</v>
      </c>
      <c r="D333" t="s">
        <v>18</v>
      </c>
      <c r="E333" t="s">
        <v>552</v>
      </c>
      <c r="F333" t="s">
        <v>3</v>
      </c>
      <c r="G333" t="s">
        <v>553</v>
      </c>
      <c r="H333" t="s">
        <v>223</v>
      </c>
      <c r="I333" t="s">
        <v>6</v>
      </c>
      <c r="J333" t="s">
        <v>6</v>
      </c>
      <c r="K333" t="s">
        <v>38</v>
      </c>
      <c r="L333" t="s">
        <v>39</v>
      </c>
      <c r="M333">
        <v>148</v>
      </c>
      <c r="N333">
        <v>6</v>
      </c>
      <c r="O333">
        <v>0.7</v>
      </c>
      <c r="P333">
        <v>-182.178</v>
      </c>
      <c r="Q333">
        <v>18.61</v>
      </c>
      <c r="R333" t="s">
        <v>9</v>
      </c>
      <c r="S333">
        <f>Sheet1[[#This Row],[Ship_date]]-Sheet1[[#This Row],[Order_date]]</f>
        <v>3</v>
      </c>
      <c r="T333">
        <f>Sheet1[[#This Row],[Quantity]]*Sheet1[[#This Row],[Sales]]</f>
        <v>888</v>
      </c>
      <c r="U333">
        <f>Sheet1[[#This Row],[Total Sales]]*Sheet1[[#This Row],[Discount]]</f>
        <v>621.59999999999991</v>
      </c>
      <c r="V333" s="4">
        <f>Sheet1[[#This Row],[Total Sales]]-Sheet1[[#This Row],[Total Sales]]*Sheet1[[#This Row],[Discount]]</f>
        <v>266.40000000000009</v>
      </c>
      <c r="W333" s="4">
        <f>Sheet1[[#This Row],[Quantity]]*Sheet1[[#This Row],[Profit]]</f>
        <v>-1093.068</v>
      </c>
      <c r="X333" s="5">
        <f>Sheet1[[#This Row],[Total Profit]]/Sheet1[[#This Row],[Sales After Discount]]</f>
        <v>-4.1031081081081062</v>
      </c>
      <c r="Y333" s="4">
        <f>Sheet1[[#This Row],[Shipping_cost]]*Sheet1[[#This Row],[Quantity]]</f>
        <v>111.66</v>
      </c>
      <c r="Z333" s="4">
        <f>Sheet1[[#This Row],[Total Profit]]-Sheet1[[#This Row],[Total Shipping Cost]]</f>
        <v>-1204.7280000000001</v>
      </c>
      <c r="AA333" s="4" t="str">
        <f>IF(Sheet1[[#This Row],[Net Profit]]&gt;0,"Profit","Loss")</f>
        <v>Loss</v>
      </c>
    </row>
    <row r="334" spans="1:27" x14ac:dyDescent="0.25">
      <c r="A334" t="s">
        <v>554</v>
      </c>
      <c r="B334" s="1">
        <v>40568</v>
      </c>
      <c r="C334" s="1">
        <v>40573</v>
      </c>
      <c r="D334" t="s">
        <v>1</v>
      </c>
      <c r="E334" t="s">
        <v>555</v>
      </c>
      <c r="F334" t="s">
        <v>3</v>
      </c>
      <c r="G334" t="s">
        <v>153</v>
      </c>
      <c r="H334" t="s">
        <v>115</v>
      </c>
      <c r="I334" t="s">
        <v>29</v>
      </c>
      <c r="J334" t="s">
        <v>76</v>
      </c>
      <c r="K334" t="s">
        <v>7</v>
      </c>
      <c r="L334" t="s">
        <v>91</v>
      </c>
      <c r="M334">
        <v>178</v>
      </c>
      <c r="N334">
        <v>7</v>
      </c>
      <c r="O334">
        <v>0</v>
      </c>
      <c r="P334">
        <v>58.59</v>
      </c>
      <c r="Q334">
        <v>16.940000000000001</v>
      </c>
      <c r="R334" t="s">
        <v>9</v>
      </c>
      <c r="S334">
        <f>Sheet1[[#This Row],[Ship_date]]-Sheet1[[#This Row],[Order_date]]</f>
        <v>5</v>
      </c>
      <c r="T334">
        <f>Sheet1[[#This Row],[Quantity]]*Sheet1[[#This Row],[Sales]]</f>
        <v>1246</v>
      </c>
      <c r="U334">
        <f>Sheet1[[#This Row],[Total Sales]]*Sheet1[[#This Row],[Discount]]</f>
        <v>0</v>
      </c>
      <c r="V334" s="4">
        <f>Sheet1[[#This Row],[Total Sales]]-Sheet1[[#This Row],[Total Sales]]*Sheet1[[#This Row],[Discount]]</f>
        <v>1246</v>
      </c>
      <c r="W334" s="4">
        <f>Sheet1[[#This Row],[Quantity]]*Sheet1[[#This Row],[Profit]]</f>
        <v>410.13</v>
      </c>
      <c r="X334" s="5">
        <f>Sheet1[[#This Row],[Total Profit]]/Sheet1[[#This Row],[Sales After Discount]]</f>
        <v>0.32915730337078652</v>
      </c>
      <c r="Y334" s="4">
        <f>Sheet1[[#This Row],[Shipping_cost]]*Sheet1[[#This Row],[Quantity]]</f>
        <v>118.58000000000001</v>
      </c>
      <c r="Z334" s="4">
        <f>Sheet1[[#This Row],[Total Profit]]-Sheet1[[#This Row],[Total Shipping Cost]]</f>
        <v>291.54999999999995</v>
      </c>
      <c r="AA334" s="4" t="str">
        <f>IF(Sheet1[[#This Row],[Net Profit]]&gt;0,"Profit","Loss")</f>
        <v>Profit</v>
      </c>
    </row>
    <row r="335" spans="1:27" x14ac:dyDescent="0.25">
      <c r="A335" t="s">
        <v>556</v>
      </c>
      <c r="B335" s="1">
        <v>40568</v>
      </c>
      <c r="C335" s="1">
        <v>40575</v>
      </c>
      <c r="D335" t="s">
        <v>1</v>
      </c>
      <c r="E335" t="s">
        <v>557</v>
      </c>
      <c r="F335" t="s">
        <v>43</v>
      </c>
      <c r="G335" t="s">
        <v>471</v>
      </c>
      <c r="H335" t="s">
        <v>305</v>
      </c>
      <c r="I335" t="s">
        <v>29</v>
      </c>
      <c r="J335" t="s">
        <v>76</v>
      </c>
      <c r="K335" t="s">
        <v>7</v>
      </c>
      <c r="L335" t="s">
        <v>137</v>
      </c>
      <c r="M335">
        <v>133</v>
      </c>
      <c r="N335">
        <v>10</v>
      </c>
      <c r="O335">
        <v>0</v>
      </c>
      <c r="P335">
        <v>3.9</v>
      </c>
      <c r="Q335">
        <v>8.94</v>
      </c>
      <c r="R335" t="s">
        <v>9</v>
      </c>
      <c r="S335">
        <f>Sheet1[[#This Row],[Ship_date]]-Sheet1[[#This Row],[Order_date]]</f>
        <v>7</v>
      </c>
      <c r="T335">
        <f>Sheet1[[#This Row],[Quantity]]*Sheet1[[#This Row],[Sales]]</f>
        <v>1330</v>
      </c>
      <c r="U335">
        <f>Sheet1[[#This Row],[Total Sales]]*Sheet1[[#This Row],[Discount]]</f>
        <v>0</v>
      </c>
      <c r="V335" s="4">
        <f>Sheet1[[#This Row],[Total Sales]]-Sheet1[[#This Row],[Total Sales]]*Sheet1[[#This Row],[Discount]]</f>
        <v>1330</v>
      </c>
      <c r="W335" s="4">
        <f>Sheet1[[#This Row],[Quantity]]*Sheet1[[#This Row],[Profit]]</f>
        <v>39</v>
      </c>
      <c r="X335" s="5">
        <f>Sheet1[[#This Row],[Total Profit]]/Sheet1[[#This Row],[Sales After Discount]]</f>
        <v>2.9323308270676692E-2</v>
      </c>
      <c r="Y335" s="4">
        <f>Sheet1[[#This Row],[Shipping_cost]]*Sheet1[[#This Row],[Quantity]]</f>
        <v>89.399999999999991</v>
      </c>
      <c r="Z335" s="4">
        <f>Sheet1[[#This Row],[Total Profit]]-Sheet1[[#This Row],[Total Shipping Cost]]</f>
        <v>-50.399999999999991</v>
      </c>
      <c r="AA335" s="4" t="str">
        <f>IF(Sheet1[[#This Row],[Net Profit]]&gt;0,"Profit","Loss")</f>
        <v>Loss</v>
      </c>
    </row>
    <row r="336" spans="1:27" x14ac:dyDescent="0.25">
      <c r="A336" t="s">
        <v>548</v>
      </c>
      <c r="B336" s="1">
        <v>40568</v>
      </c>
      <c r="C336" s="1">
        <v>40572</v>
      </c>
      <c r="D336" t="s">
        <v>1</v>
      </c>
      <c r="E336" t="s">
        <v>549</v>
      </c>
      <c r="F336" t="s">
        <v>3</v>
      </c>
      <c r="G336" t="s">
        <v>550</v>
      </c>
      <c r="H336" t="s">
        <v>115</v>
      </c>
      <c r="I336" t="s">
        <v>29</v>
      </c>
      <c r="J336" t="s">
        <v>76</v>
      </c>
      <c r="K336" t="s">
        <v>7</v>
      </c>
      <c r="L336" t="s">
        <v>91</v>
      </c>
      <c r="M336">
        <v>71</v>
      </c>
      <c r="N336">
        <v>5</v>
      </c>
      <c r="O336">
        <v>0</v>
      </c>
      <c r="P336">
        <v>1.35</v>
      </c>
      <c r="Q336">
        <v>6.64</v>
      </c>
      <c r="R336" t="s">
        <v>9</v>
      </c>
      <c r="S336">
        <f>Sheet1[[#This Row],[Ship_date]]-Sheet1[[#This Row],[Order_date]]</f>
        <v>4</v>
      </c>
      <c r="T336">
        <f>Sheet1[[#This Row],[Quantity]]*Sheet1[[#This Row],[Sales]]</f>
        <v>355</v>
      </c>
      <c r="U336">
        <f>Sheet1[[#This Row],[Total Sales]]*Sheet1[[#This Row],[Discount]]</f>
        <v>0</v>
      </c>
      <c r="V336" s="4">
        <f>Sheet1[[#This Row],[Total Sales]]-Sheet1[[#This Row],[Total Sales]]*Sheet1[[#This Row],[Discount]]</f>
        <v>355</v>
      </c>
      <c r="W336" s="4">
        <f>Sheet1[[#This Row],[Quantity]]*Sheet1[[#This Row],[Profit]]</f>
        <v>6.75</v>
      </c>
      <c r="X336" s="5">
        <f>Sheet1[[#This Row],[Total Profit]]/Sheet1[[#This Row],[Sales After Discount]]</f>
        <v>1.9014084507042252E-2</v>
      </c>
      <c r="Y336" s="4">
        <f>Sheet1[[#This Row],[Shipping_cost]]*Sheet1[[#This Row],[Quantity]]</f>
        <v>33.199999999999996</v>
      </c>
      <c r="Z336" s="4">
        <f>Sheet1[[#This Row],[Total Profit]]-Sheet1[[#This Row],[Total Shipping Cost]]</f>
        <v>-26.449999999999996</v>
      </c>
      <c r="AA336" s="4" t="str">
        <f>IF(Sheet1[[#This Row],[Net Profit]]&gt;0,"Profit","Loss")</f>
        <v>Loss</v>
      </c>
    </row>
    <row r="337" spans="1:27" x14ac:dyDescent="0.25">
      <c r="A337" t="s">
        <v>558</v>
      </c>
      <c r="B337" s="1">
        <v>40568</v>
      </c>
      <c r="C337" s="1">
        <v>40569</v>
      </c>
      <c r="D337" t="s">
        <v>142</v>
      </c>
      <c r="E337" t="s">
        <v>559</v>
      </c>
      <c r="F337" t="s">
        <v>26</v>
      </c>
      <c r="G337" t="s">
        <v>560</v>
      </c>
      <c r="H337" t="s">
        <v>259</v>
      </c>
      <c r="I337" t="s">
        <v>6</v>
      </c>
      <c r="J337" t="s">
        <v>6</v>
      </c>
      <c r="K337" t="s">
        <v>7</v>
      </c>
      <c r="L337" t="s">
        <v>91</v>
      </c>
      <c r="M337">
        <v>45</v>
      </c>
      <c r="N337">
        <v>4</v>
      </c>
      <c r="O337">
        <v>0</v>
      </c>
      <c r="P337">
        <v>10.44</v>
      </c>
      <c r="Q337">
        <v>6.53</v>
      </c>
      <c r="R337" t="s">
        <v>23</v>
      </c>
      <c r="S337">
        <f>Sheet1[[#This Row],[Ship_date]]-Sheet1[[#This Row],[Order_date]]</f>
        <v>1</v>
      </c>
      <c r="T337">
        <f>Sheet1[[#This Row],[Quantity]]*Sheet1[[#This Row],[Sales]]</f>
        <v>180</v>
      </c>
      <c r="U337">
        <f>Sheet1[[#This Row],[Total Sales]]*Sheet1[[#This Row],[Discount]]</f>
        <v>0</v>
      </c>
      <c r="V337" s="4">
        <f>Sheet1[[#This Row],[Total Sales]]-Sheet1[[#This Row],[Total Sales]]*Sheet1[[#This Row],[Discount]]</f>
        <v>180</v>
      </c>
      <c r="W337" s="4">
        <f>Sheet1[[#This Row],[Quantity]]*Sheet1[[#This Row],[Profit]]</f>
        <v>41.76</v>
      </c>
      <c r="X337" s="5">
        <f>Sheet1[[#This Row],[Total Profit]]/Sheet1[[#This Row],[Sales After Discount]]</f>
        <v>0.23199999999999998</v>
      </c>
      <c r="Y337" s="4">
        <f>Sheet1[[#This Row],[Shipping_cost]]*Sheet1[[#This Row],[Quantity]]</f>
        <v>26.12</v>
      </c>
      <c r="Z337" s="4">
        <f>Sheet1[[#This Row],[Total Profit]]-Sheet1[[#This Row],[Total Shipping Cost]]</f>
        <v>15.639999999999997</v>
      </c>
      <c r="AA337" s="4" t="str">
        <f>IF(Sheet1[[#This Row],[Net Profit]]&gt;0,"Profit","Loss")</f>
        <v>Profit</v>
      </c>
    </row>
    <row r="338" spans="1:27" x14ac:dyDescent="0.25">
      <c r="A338" t="s">
        <v>561</v>
      </c>
      <c r="B338" s="1">
        <v>40568</v>
      </c>
      <c r="C338" s="1">
        <v>40572</v>
      </c>
      <c r="D338" t="s">
        <v>1</v>
      </c>
      <c r="E338" t="s">
        <v>343</v>
      </c>
      <c r="F338" t="s">
        <v>43</v>
      </c>
      <c r="G338" t="s">
        <v>140</v>
      </c>
      <c r="H338" t="s">
        <v>106</v>
      </c>
      <c r="I338" t="s">
        <v>75</v>
      </c>
      <c r="J338" t="s">
        <v>30</v>
      </c>
      <c r="K338" t="s">
        <v>7</v>
      </c>
      <c r="L338" t="s">
        <v>96</v>
      </c>
      <c r="M338">
        <v>32</v>
      </c>
      <c r="N338">
        <v>2</v>
      </c>
      <c r="O338">
        <v>0</v>
      </c>
      <c r="P338">
        <v>10.119999999999999</v>
      </c>
      <c r="Q338">
        <v>4.45</v>
      </c>
      <c r="R338" t="s">
        <v>23</v>
      </c>
      <c r="S338">
        <f>Sheet1[[#This Row],[Ship_date]]-Sheet1[[#This Row],[Order_date]]</f>
        <v>4</v>
      </c>
      <c r="T338">
        <f>Sheet1[[#This Row],[Quantity]]*Sheet1[[#This Row],[Sales]]</f>
        <v>64</v>
      </c>
      <c r="U338">
        <f>Sheet1[[#This Row],[Total Sales]]*Sheet1[[#This Row],[Discount]]</f>
        <v>0</v>
      </c>
      <c r="V338" s="4">
        <f>Sheet1[[#This Row],[Total Sales]]-Sheet1[[#This Row],[Total Sales]]*Sheet1[[#This Row],[Discount]]</f>
        <v>64</v>
      </c>
      <c r="W338" s="4">
        <f>Sheet1[[#This Row],[Quantity]]*Sheet1[[#This Row],[Profit]]</f>
        <v>20.239999999999998</v>
      </c>
      <c r="X338" s="5">
        <f>Sheet1[[#This Row],[Total Profit]]/Sheet1[[#This Row],[Sales After Discount]]</f>
        <v>0.31624999999999998</v>
      </c>
      <c r="Y338" s="4">
        <f>Sheet1[[#This Row],[Shipping_cost]]*Sheet1[[#This Row],[Quantity]]</f>
        <v>8.9</v>
      </c>
      <c r="Z338" s="4">
        <f>Sheet1[[#This Row],[Total Profit]]-Sheet1[[#This Row],[Total Shipping Cost]]</f>
        <v>11.339999999999998</v>
      </c>
      <c r="AA338" s="4" t="str">
        <f>IF(Sheet1[[#This Row],[Net Profit]]&gt;0,"Profit","Loss")</f>
        <v>Profit</v>
      </c>
    </row>
    <row r="339" spans="1:27" x14ac:dyDescent="0.25">
      <c r="A339" t="s">
        <v>562</v>
      </c>
      <c r="B339" s="1">
        <v>40568</v>
      </c>
      <c r="C339" s="1">
        <v>40570</v>
      </c>
      <c r="D339" t="s">
        <v>142</v>
      </c>
      <c r="E339" t="s">
        <v>563</v>
      </c>
      <c r="F339" t="s">
        <v>3</v>
      </c>
      <c r="G339" t="s">
        <v>564</v>
      </c>
      <c r="H339" t="s">
        <v>169</v>
      </c>
      <c r="I339" t="s">
        <v>14</v>
      </c>
      <c r="J339" t="s">
        <v>132</v>
      </c>
      <c r="K339" t="s">
        <v>7</v>
      </c>
      <c r="L339" t="s">
        <v>31</v>
      </c>
      <c r="M339">
        <v>98</v>
      </c>
      <c r="N339">
        <v>2</v>
      </c>
      <c r="O339">
        <v>0</v>
      </c>
      <c r="P339">
        <v>34.32</v>
      </c>
      <c r="Q339">
        <v>3.17</v>
      </c>
      <c r="R339" t="s">
        <v>23</v>
      </c>
      <c r="S339">
        <f>Sheet1[[#This Row],[Ship_date]]-Sheet1[[#This Row],[Order_date]]</f>
        <v>2</v>
      </c>
      <c r="T339">
        <f>Sheet1[[#This Row],[Quantity]]*Sheet1[[#This Row],[Sales]]</f>
        <v>196</v>
      </c>
      <c r="U339">
        <f>Sheet1[[#This Row],[Total Sales]]*Sheet1[[#This Row],[Discount]]</f>
        <v>0</v>
      </c>
      <c r="V339" s="4">
        <f>Sheet1[[#This Row],[Total Sales]]-Sheet1[[#This Row],[Total Sales]]*Sheet1[[#This Row],[Discount]]</f>
        <v>196</v>
      </c>
      <c r="W339" s="4">
        <f>Sheet1[[#This Row],[Quantity]]*Sheet1[[#This Row],[Profit]]</f>
        <v>68.64</v>
      </c>
      <c r="X339" s="5">
        <f>Sheet1[[#This Row],[Total Profit]]/Sheet1[[#This Row],[Sales After Discount]]</f>
        <v>0.35020408163265304</v>
      </c>
      <c r="Y339" s="4">
        <f>Sheet1[[#This Row],[Shipping_cost]]*Sheet1[[#This Row],[Quantity]]</f>
        <v>6.34</v>
      </c>
      <c r="Z339" s="4">
        <f>Sheet1[[#This Row],[Total Profit]]-Sheet1[[#This Row],[Total Shipping Cost]]</f>
        <v>62.3</v>
      </c>
      <c r="AA339" s="4" t="str">
        <f>IF(Sheet1[[#This Row],[Net Profit]]&gt;0,"Profit","Loss")</f>
        <v>Profit</v>
      </c>
    </row>
    <row r="340" spans="1:27" x14ac:dyDescent="0.25">
      <c r="A340" t="s">
        <v>565</v>
      </c>
      <c r="B340" s="1">
        <v>40568</v>
      </c>
      <c r="C340" s="1">
        <v>40572</v>
      </c>
      <c r="D340" t="s">
        <v>18</v>
      </c>
      <c r="E340" t="s">
        <v>566</v>
      </c>
      <c r="F340" t="s">
        <v>3</v>
      </c>
      <c r="G340" t="s">
        <v>567</v>
      </c>
      <c r="H340" t="s">
        <v>110</v>
      </c>
      <c r="I340" t="s">
        <v>75</v>
      </c>
      <c r="J340" t="s">
        <v>111</v>
      </c>
      <c r="K340" t="s">
        <v>7</v>
      </c>
      <c r="L340" t="s">
        <v>31</v>
      </c>
      <c r="M340">
        <v>18</v>
      </c>
      <c r="N340">
        <v>1</v>
      </c>
      <c r="O340">
        <v>0</v>
      </c>
      <c r="P340">
        <v>5.98</v>
      </c>
      <c r="Q340">
        <v>1.76</v>
      </c>
      <c r="R340" t="s">
        <v>9</v>
      </c>
      <c r="S340">
        <f>Sheet1[[#This Row],[Ship_date]]-Sheet1[[#This Row],[Order_date]]</f>
        <v>4</v>
      </c>
      <c r="T340">
        <f>Sheet1[[#This Row],[Quantity]]*Sheet1[[#This Row],[Sales]]</f>
        <v>18</v>
      </c>
      <c r="U340">
        <f>Sheet1[[#This Row],[Total Sales]]*Sheet1[[#This Row],[Discount]]</f>
        <v>0</v>
      </c>
      <c r="V340" s="4">
        <f>Sheet1[[#This Row],[Total Sales]]-Sheet1[[#This Row],[Total Sales]]*Sheet1[[#This Row],[Discount]]</f>
        <v>18</v>
      </c>
      <c r="W340" s="4">
        <f>Sheet1[[#This Row],[Quantity]]*Sheet1[[#This Row],[Profit]]</f>
        <v>5.98</v>
      </c>
      <c r="X340" s="5">
        <f>Sheet1[[#This Row],[Total Profit]]/Sheet1[[#This Row],[Sales After Discount]]</f>
        <v>0.33222222222222225</v>
      </c>
      <c r="Y340" s="4">
        <f>Sheet1[[#This Row],[Shipping_cost]]*Sheet1[[#This Row],[Quantity]]</f>
        <v>1.76</v>
      </c>
      <c r="Z340" s="4">
        <f>Sheet1[[#This Row],[Total Profit]]-Sheet1[[#This Row],[Total Shipping Cost]]</f>
        <v>4.2200000000000006</v>
      </c>
      <c r="AA340" s="4" t="str">
        <f>IF(Sheet1[[#This Row],[Net Profit]]&gt;0,"Profit","Loss")</f>
        <v>Profit</v>
      </c>
    </row>
    <row r="341" spans="1:27" x14ac:dyDescent="0.25">
      <c r="A341" t="s">
        <v>556</v>
      </c>
      <c r="B341" s="1">
        <v>40568</v>
      </c>
      <c r="C341" s="1">
        <v>40575</v>
      </c>
      <c r="D341" t="s">
        <v>1</v>
      </c>
      <c r="E341" t="s">
        <v>557</v>
      </c>
      <c r="F341" t="s">
        <v>43</v>
      </c>
      <c r="G341" t="s">
        <v>471</v>
      </c>
      <c r="H341" t="s">
        <v>305</v>
      </c>
      <c r="I341" t="s">
        <v>29</v>
      </c>
      <c r="J341" t="s">
        <v>76</v>
      </c>
      <c r="K341" t="s">
        <v>32</v>
      </c>
      <c r="L341" t="s">
        <v>33</v>
      </c>
      <c r="M341">
        <v>20</v>
      </c>
      <c r="N341">
        <v>1</v>
      </c>
      <c r="O341">
        <v>0</v>
      </c>
      <c r="P341">
        <v>4.0199999999999996</v>
      </c>
      <c r="Q341">
        <v>1.1499999999999999</v>
      </c>
      <c r="R341" t="s">
        <v>9</v>
      </c>
      <c r="S341">
        <f>Sheet1[[#This Row],[Ship_date]]-Sheet1[[#This Row],[Order_date]]</f>
        <v>7</v>
      </c>
      <c r="T341">
        <f>Sheet1[[#This Row],[Quantity]]*Sheet1[[#This Row],[Sales]]</f>
        <v>20</v>
      </c>
      <c r="U341">
        <f>Sheet1[[#This Row],[Total Sales]]*Sheet1[[#This Row],[Discount]]</f>
        <v>0</v>
      </c>
      <c r="V341" s="4">
        <f>Sheet1[[#This Row],[Total Sales]]-Sheet1[[#This Row],[Total Sales]]*Sheet1[[#This Row],[Discount]]</f>
        <v>20</v>
      </c>
      <c r="W341" s="4">
        <f>Sheet1[[#This Row],[Quantity]]*Sheet1[[#This Row],[Profit]]</f>
        <v>4.0199999999999996</v>
      </c>
      <c r="X341" s="5">
        <f>Sheet1[[#This Row],[Total Profit]]/Sheet1[[#This Row],[Sales After Discount]]</f>
        <v>0.20099999999999998</v>
      </c>
      <c r="Y341" s="4">
        <f>Sheet1[[#This Row],[Shipping_cost]]*Sheet1[[#This Row],[Quantity]]</f>
        <v>1.1499999999999999</v>
      </c>
      <c r="Z341" s="4">
        <f>Sheet1[[#This Row],[Total Profit]]-Sheet1[[#This Row],[Total Shipping Cost]]</f>
        <v>2.8699999999999997</v>
      </c>
      <c r="AA341" s="4" t="str">
        <f>IF(Sheet1[[#This Row],[Net Profit]]&gt;0,"Profit","Loss")</f>
        <v>Profit</v>
      </c>
    </row>
    <row r="342" spans="1:27" x14ac:dyDescent="0.25">
      <c r="A342" t="s">
        <v>551</v>
      </c>
      <c r="B342" s="1">
        <v>40568</v>
      </c>
      <c r="C342" s="1">
        <v>40571</v>
      </c>
      <c r="D342" t="s">
        <v>18</v>
      </c>
      <c r="E342" t="s">
        <v>552</v>
      </c>
      <c r="F342" t="s">
        <v>3</v>
      </c>
      <c r="G342" t="s">
        <v>553</v>
      </c>
      <c r="H342" t="s">
        <v>223</v>
      </c>
      <c r="I342" t="s">
        <v>6</v>
      </c>
      <c r="J342" t="s">
        <v>6</v>
      </c>
      <c r="K342" t="s">
        <v>7</v>
      </c>
      <c r="L342" t="s">
        <v>91</v>
      </c>
      <c r="M342">
        <v>4</v>
      </c>
      <c r="N342">
        <v>1</v>
      </c>
      <c r="O342">
        <v>0.7</v>
      </c>
      <c r="P342">
        <v>-9</v>
      </c>
      <c r="Q342">
        <v>0.28000000000000003</v>
      </c>
      <c r="R342" t="s">
        <v>9</v>
      </c>
      <c r="S342">
        <f>Sheet1[[#This Row],[Ship_date]]-Sheet1[[#This Row],[Order_date]]</f>
        <v>3</v>
      </c>
      <c r="T342">
        <f>Sheet1[[#This Row],[Quantity]]*Sheet1[[#This Row],[Sales]]</f>
        <v>4</v>
      </c>
      <c r="U342">
        <f>Sheet1[[#This Row],[Total Sales]]*Sheet1[[#This Row],[Discount]]</f>
        <v>2.8</v>
      </c>
      <c r="V342" s="4">
        <f>Sheet1[[#This Row],[Total Sales]]-Sheet1[[#This Row],[Total Sales]]*Sheet1[[#This Row],[Discount]]</f>
        <v>1.2000000000000002</v>
      </c>
      <c r="W342" s="4">
        <f>Sheet1[[#This Row],[Quantity]]*Sheet1[[#This Row],[Profit]]</f>
        <v>-9</v>
      </c>
      <c r="X342" s="5">
        <f>Sheet1[[#This Row],[Total Profit]]/Sheet1[[#This Row],[Sales After Discount]]</f>
        <v>-7.4999999999999991</v>
      </c>
      <c r="Y342" s="4">
        <f>Sheet1[[#This Row],[Shipping_cost]]*Sheet1[[#This Row],[Quantity]]</f>
        <v>0.28000000000000003</v>
      </c>
      <c r="Z342" s="4">
        <f>Sheet1[[#This Row],[Total Profit]]-Sheet1[[#This Row],[Total Shipping Cost]]</f>
        <v>-9.2799999999999994</v>
      </c>
      <c r="AA342" s="4" t="str">
        <f>IF(Sheet1[[#This Row],[Net Profit]]&gt;0,"Profit","Loss")</f>
        <v>Loss</v>
      </c>
    </row>
    <row r="343" spans="1:27" x14ac:dyDescent="0.25">
      <c r="A343" t="s">
        <v>568</v>
      </c>
      <c r="B343" s="1">
        <v>40569</v>
      </c>
      <c r="C343" s="1">
        <v>40570</v>
      </c>
      <c r="D343" t="s">
        <v>142</v>
      </c>
      <c r="E343" t="s">
        <v>569</v>
      </c>
      <c r="F343" t="s">
        <v>43</v>
      </c>
      <c r="G343" t="s">
        <v>271</v>
      </c>
      <c r="H343" t="s">
        <v>157</v>
      </c>
      <c r="I343" t="s">
        <v>14</v>
      </c>
      <c r="J343" t="s">
        <v>61</v>
      </c>
      <c r="K343" t="s">
        <v>32</v>
      </c>
      <c r="L343" t="s">
        <v>56</v>
      </c>
      <c r="M343">
        <v>334</v>
      </c>
      <c r="N343">
        <v>1</v>
      </c>
      <c r="O343">
        <v>0.27</v>
      </c>
      <c r="P343">
        <v>-109.9365</v>
      </c>
      <c r="Q343">
        <v>92.67</v>
      </c>
      <c r="R343" t="s">
        <v>23</v>
      </c>
      <c r="S343">
        <f>Sheet1[[#This Row],[Ship_date]]-Sheet1[[#This Row],[Order_date]]</f>
        <v>1</v>
      </c>
      <c r="T343">
        <f>Sheet1[[#This Row],[Quantity]]*Sheet1[[#This Row],[Sales]]</f>
        <v>334</v>
      </c>
      <c r="U343">
        <f>Sheet1[[#This Row],[Total Sales]]*Sheet1[[#This Row],[Discount]]</f>
        <v>90.18</v>
      </c>
      <c r="V343" s="4">
        <f>Sheet1[[#This Row],[Total Sales]]-Sheet1[[#This Row],[Total Sales]]*Sheet1[[#This Row],[Discount]]</f>
        <v>243.82</v>
      </c>
      <c r="W343" s="4">
        <f>Sheet1[[#This Row],[Quantity]]*Sheet1[[#This Row],[Profit]]</f>
        <v>-109.9365</v>
      </c>
      <c r="X343" s="5">
        <f>Sheet1[[#This Row],[Total Profit]]/Sheet1[[#This Row],[Sales After Discount]]</f>
        <v>-0.45089205151341155</v>
      </c>
      <c r="Y343" s="4">
        <f>Sheet1[[#This Row],[Shipping_cost]]*Sheet1[[#This Row],[Quantity]]</f>
        <v>92.67</v>
      </c>
      <c r="Z343" s="4">
        <f>Sheet1[[#This Row],[Total Profit]]-Sheet1[[#This Row],[Total Shipping Cost]]</f>
        <v>-202.60649999999998</v>
      </c>
      <c r="AA343" s="4" t="str">
        <f>IF(Sheet1[[#This Row],[Net Profit]]&gt;0,"Profit","Loss")</f>
        <v>Loss</v>
      </c>
    </row>
    <row r="344" spans="1:27" x14ac:dyDescent="0.25">
      <c r="A344" t="s">
        <v>570</v>
      </c>
      <c r="B344" s="1">
        <v>40569</v>
      </c>
      <c r="C344" s="1">
        <v>40574</v>
      </c>
      <c r="D344" t="s">
        <v>1</v>
      </c>
      <c r="E344" t="s">
        <v>571</v>
      </c>
      <c r="F344" t="s">
        <v>3</v>
      </c>
      <c r="G344" t="s">
        <v>572</v>
      </c>
      <c r="H344" t="s">
        <v>285</v>
      </c>
      <c r="I344" t="s">
        <v>22</v>
      </c>
      <c r="J344" t="s">
        <v>22</v>
      </c>
      <c r="K344" t="s">
        <v>32</v>
      </c>
      <c r="L344" t="s">
        <v>56</v>
      </c>
      <c r="M344">
        <v>1113</v>
      </c>
      <c r="N344">
        <v>6</v>
      </c>
      <c r="O344">
        <v>0.6</v>
      </c>
      <c r="P344">
        <v>-1475.3520000000001</v>
      </c>
      <c r="Q344">
        <v>47.35</v>
      </c>
      <c r="R344" t="s">
        <v>9</v>
      </c>
      <c r="S344">
        <f>Sheet1[[#This Row],[Ship_date]]-Sheet1[[#This Row],[Order_date]]</f>
        <v>5</v>
      </c>
      <c r="T344">
        <f>Sheet1[[#This Row],[Quantity]]*Sheet1[[#This Row],[Sales]]</f>
        <v>6678</v>
      </c>
      <c r="U344">
        <f>Sheet1[[#This Row],[Total Sales]]*Sheet1[[#This Row],[Discount]]</f>
        <v>4006.7999999999997</v>
      </c>
      <c r="V344" s="4">
        <f>Sheet1[[#This Row],[Total Sales]]-Sheet1[[#This Row],[Total Sales]]*Sheet1[[#This Row],[Discount]]</f>
        <v>2671.2000000000003</v>
      </c>
      <c r="W344" s="4">
        <f>Sheet1[[#This Row],[Quantity]]*Sheet1[[#This Row],[Profit]]</f>
        <v>-8852.112000000001</v>
      </c>
      <c r="X344" s="5">
        <f>Sheet1[[#This Row],[Total Profit]]/Sheet1[[#This Row],[Sales After Discount]]</f>
        <v>-3.3139083557951481</v>
      </c>
      <c r="Y344" s="4">
        <f>Sheet1[[#This Row],[Shipping_cost]]*Sheet1[[#This Row],[Quantity]]</f>
        <v>284.10000000000002</v>
      </c>
      <c r="Z344" s="4">
        <f>Sheet1[[#This Row],[Total Profit]]-Sheet1[[#This Row],[Total Shipping Cost]]</f>
        <v>-9136.2120000000014</v>
      </c>
      <c r="AA344" s="4" t="str">
        <f>IF(Sheet1[[#This Row],[Net Profit]]&gt;0,"Profit","Loss")</f>
        <v>Loss</v>
      </c>
    </row>
    <row r="345" spans="1:27" x14ac:dyDescent="0.25">
      <c r="A345" t="s">
        <v>573</v>
      </c>
      <c r="B345" s="1">
        <v>40569</v>
      </c>
      <c r="C345" s="1">
        <v>40573</v>
      </c>
      <c r="D345" t="s">
        <v>1</v>
      </c>
      <c r="E345" t="s">
        <v>574</v>
      </c>
      <c r="F345" t="s">
        <v>43</v>
      </c>
      <c r="G345" t="s">
        <v>575</v>
      </c>
      <c r="H345" t="s">
        <v>576</v>
      </c>
      <c r="I345" t="s">
        <v>29</v>
      </c>
      <c r="J345" t="s">
        <v>102</v>
      </c>
      <c r="K345" t="s">
        <v>38</v>
      </c>
      <c r="L345" t="s">
        <v>50</v>
      </c>
      <c r="M345">
        <v>570</v>
      </c>
      <c r="N345">
        <v>3</v>
      </c>
      <c r="O345">
        <v>0.5</v>
      </c>
      <c r="P345">
        <v>-216.76499999999999</v>
      </c>
      <c r="Q345">
        <v>33.99</v>
      </c>
      <c r="R345" t="s">
        <v>9</v>
      </c>
      <c r="S345">
        <f>Sheet1[[#This Row],[Ship_date]]-Sheet1[[#This Row],[Order_date]]</f>
        <v>4</v>
      </c>
      <c r="T345">
        <f>Sheet1[[#This Row],[Quantity]]*Sheet1[[#This Row],[Sales]]</f>
        <v>1710</v>
      </c>
      <c r="U345">
        <f>Sheet1[[#This Row],[Total Sales]]*Sheet1[[#This Row],[Discount]]</f>
        <v>855</v>
      </c>
      <c r="V345" s="4">
        <f>Sheet1[[#This Row],[Total Sales]]-Sheet1[[#This Row],[Total Sales]]*Sheet1[[#This Row],[Discount]]</f>
        <v>855</v>
      </c>
      <c r="W345" s="4">
        <f>Sheet1[[#This Row],[Quantity]]*Sheet1[[#This Row],[Profit]]</f>
        <v>-650.29499999999996</v>
      </c>
      <c r="X345" s="5">
        <f>Sheet1[[#This Row],[Total Profit]]/Sheet1[[#This Row],[Sales After Discount]]</f>
        <v>-0.76057894736842102</v>
      </c>
      <c r="Y345" s="4">
        <f>Sheet1[[#This Row],[Shipping_cost]]*Sheet1[[#This Row],[Quantity]]</f>
        <v>101.97</v>
      </c>
      <c r="Z345" s="4">
        <f>Sheet1[[#This Row],[Total Profit]]-Sheet1[[#This Row],[Total Shipping Cost]]</f>
        <v>-752.26499999999999</v>
      </c>
      <c r="AA345" s="4" t="str">
        <f>IF(Sheet1[[#This Row],[Net Profit]]&gt;0,"Profit","Loss")</f>
        <v>Loss</v>
      </c>
    </row>
    <row r="346" spans="1:27" x14ac:dyDescent="0.25">
      <c r="A346" t="s">
        <v>577</v>
      </c>
      <c r="B346" s="1">
        <v>40569</v>
      </c>
      <c r="C346" s="1">
        <v>40574</v>
      </c>
      <c r="D346" t="s">
        <v>1</v>
      </c>
      <c r="E346" t="s">
        <v>578</v>
      </c>
      <c r="F346" t="s">
        <v>3</v>
      </c>
      <c r="G346" t="s">
        <v>579</v>
      </c>
      <c r="H346" t="s">
        <v>580</v>
      </c>
      <c r="I346" t="s">
        <v>6</v>
      </c>
      <c r="J346" t="s">
        <v>6</v>
      </c>
      <c r="K346" t="s">
        <v>38</v>
      </c>
      <c r="L346" t="s">
        <v>39</v>
      </c>
      <c r="M346">
        <v>311</v>
      </c>
      <c r="N346">
        <v>1</v>
      </c>
      <c r="O346">
        <v>0</v>
      </c>
      <c r="P346">
        <v>118.02</v>
      </c>
      <c r="Q346">
        <v>27.7</v>
      </c>
      <c r="R346" t="s">
        <v>23</v>
      </c>
      <c r="S346">
        <f>Sheet1[[#This Row],[Ship_date]]-Sheet1[[#This Row],[Order_date]]</f>
        <v>5</v>
      </c>
      <c r="T346">
        <f>Sheet1[[#This Row],[Quantity]]*Sheet1[[#This Row],[Sales]]</f>
        <v>311</v>
      </c>
      <c r="U346">
        <f>Sheet1[[#This Row],[Total Sales]]*Sheet1[[#This Row],[Discount]]</f>
        <v>0</v>
      </c>
      <c r="V346" s="4">
        <f>Sheet1[[#This Row],[Total Sales]]-Sheet1[[#This Row],[Total Sales]]*Sheet1[[#This Row],[Discount]]</f>
        <v>311</v>
      </c>
      <c r="W346" s="4">
        <f>Sheet1[[#This Row],[Quantity]]*Sheet1[[#This Row],[Profit]]</f>
        <v>118.02</v>
      </c>
      <c r="X346" s="5">
        <f>Sheet1[[#This Row],[Total Profit]]/Sheet1[[#This Row],[Sales After Discount]]</f>
        <v>0.37948553054662376</v>
      </c>
      <c r="Y346" s="4">
        <f>Sheet1[[#This Row],[Shipping_cost]]*Sheet1[[#This Row],[Quantity]]</f>
        <v>27.7</v>
      </c>
      <c r="Z346" s="4">
        <f>Sheet1[[#This Row],[Total Profit]]-Sheet1[[#This Row],[Total Shipping Cost]]</f>
        <v>90.32</v>
      </c>
      <c r="AA346" s="4" t="str">
        <f>IF(Sheet1[[#This Row],[Net Profit]]&gt;0,"Profit","Loss")</f>
        <v>Profit</v>
      </c>
    </row>
    <row r="347" spans="1:27" x14ac:dyDescent="0.25">
      <c r="A347" t="s">
        <v>581</v>
      </c>
      <c r="B347" s="1">
        <v>40569</v>
      </c>
      <c r="C347" s="1">
        <v>40573</v>
      </c>
      <c r="D347" t="s">
        <v>1</v>
      </c>
      <c r="E347" t="s">
        <v>461</v>
      </c>
      <c r="F347" t="s">
        <v>43</v>
      </c>
      <c r="G347" t="s">
        <v>582</v>
      </c>
      <c r="H347" t="s">
        <v>583</v>
      </c>
      <c r="I347" t="s">
        <v>6</v>
      </c>
      <c r="J347" t="s">
        <v>6</v>
      </c>
      <c r="K347" t="s">
        <v>7</v>
      </c>
      <c r="L347" t="s">
        <v>44</v>
      </c>
      <c r="M347">
        <v>285</v>
      </c>
      <c r="N347">
        <v>4</v>
      </c>
      <c r="O347">
        <v>0</v>
      </c>
      <c r="P347">
        <v>59.76</v>
      </c>
      <c r="Q347">
        <v>25.63</v>
      </c>
      <c r="R347" t="s">
        <v>9</v>
      </c>
      <c r="S347">
        <f>Sheet1[[#This Row],[Ship_date]]-Sheet1[[#This Row],[Order_date]]</f>
        <v>4</v>
      </c>
      <c r="T347">
        <f>Sheet1[[#This Row],[Quantity]]*Sheet1[[#This Row],[Sales]]</f>
        <v>1140</v>
      </c>
      <c r="U347">
        <f>Sheet1[[#This Row],[Total Sales]]*Sheet1[[#This Row],[Discount]]</f>
        <v>0</v>
      </c>
      <c r="V347" s="4">
        <f>Sheet1[[#This Row],[Total Sales]]-Sheet1[[#This Row],[Total Sales]]*Sheet1[[#This Row],[Discount]]</f>
        <v>1140</v>
      </c>
      <c r="W347" s="4">
        <f>Sheet1[[#This Row],[Quantity]]*Sheet1[[#This Row],[Profit]]</f>
        <v>239.04</v>
      </c>
      <c r="X347" s="5">
        <f>Sheet1[[#This Row],[Total Profit]]/Sheet1[[#This Row],[Sales After Discount]]</f>
        <v>0.20968421052631578</v>
      </c>
      <c r="Y347" s="4">
        <f>Sheet1[[#This Row],[Shipping_cost]]*Sheet1[[#This Row],[Quantity]]</f>
        <v>102.52</v>
      </c>
      <c r="Z347" s="4">
        <f>Sheet1[[#This Row],[Total Profit]]-Sheet1[[#This Row],[Total Shipping Cost]]</f>
        <v>136.51999999999998</v>
      </c>
      <c r="AA347" s="4" t="str">
        <f>IF(Sheet1[[#This Row],[Net Profit]]&gt;0,"Profit","Loss")</f>
        <v>Profit</v>
      </c>
    </row>
    <row r="348" spans="1:27" x14ac:dyDescent="0.25">
      <c r="A348" t="s">
        <v>584</v>
      </c>
      <c r="B348" s="1">
        <v>40569</v>
      </c>
      <c r="C348" s="1">
        <v>40569</v>
      </c>
      <c r="D348" t="s">
        <v>41</v>
      </c>
      <c r="E348" t="s">
        <v>585</v>
      </c>
      <c r="F348" t="s">
        <v>3</v>
      </c>
      <c r="G348" t="s">
        <v>495</v>
      </c>
      <c r="H348" t="s">
        <v>115</v>
      </c>
      <c r="I348" t="s">
        <v>29</v>
      </c>
      <c r="J348" t="s">
        <v>76</v>
      </c>
      <c r="K348" t="s">
        <v>32</v>
      </c>
      <c r="L348" t="s">
        <v>67</v>
      </c>
      <c r="M348">
        <v>119</v>
      </c>
      <c r="N348">
        <v>2</v>
      </c>
      <c r="O348">
        <v>0.6</v>
      </c>
      <c r="P348">
        <v>-143.07599999999999</v>
      </c>
      <c r="Q348">
        <v>24.75</v>
      </c>
      <c r="R348" t="s">
        <v>9</v>
      </c>
      <c r="S348">
        <f>Sheet1[[#This Row],[Ship_date]]-Sheet1[[#This Row],[Order_date]]</f>
        <v>0</v>
      </c>
      <c r="T348">
        <f>Sheet1[[#This Row],[Quantity]]*Sheet1[[#This Row],[Sales]]</f>
        <v>238</v>
      </c>
      <c r="U348">
        <f>Sheet1[[#This Row],[Total Sales]]*Sheet1[[#This Row],[Discount]]</f>
        <v>142.79999999999998</v>
      </c>
      <c r="V348" s="4">
        <f>Sheet1[[#This Row],[Total Sales]]-Sheet1[[#This Row],[Total Sales]]*Sheet1[[#This Row],[Discount]]</f>
        <v>95.200000000000017</v>
      </c>
      <c r="W348" s="4">
        <f>Sheet1[[#This Row],[Quantity]]*Sheet1[[#This Row],[Profit]]</f>
        <v>-286.15199999999999</v>
      </c>
      <c r="X348" s="5">
        <f>Sheet1[[#This Row],[Total Profit]]/Sheet1[[#This Row],[Sales After Discount]]</f>
        <v>-3.0057983193277305</v>
      </c>
      <c r="Y348" s="4">
        <f>Sheet1[[#This Row],[Shipping_cost]]*Sheet1[[#This Row],[Quantity]]</f>
        <v>49.5</v>
      </c>
      <c r="Z348" s="4">
        <f>Sheet1[[#This Row],[Total Profit]]-Sheet1[[#This Row],[Total Shipping Cost]]</f>
        <v>-335.65199999999999</v>
      </c>
      <c r="AA348" s="4" t="str">
        <f>IF(Sheet1[[#This Row],[Net Profit]]&gt;0,"Profit","Loss")</f>
        <v>Loss</v>
      </c>
    </row>
    <row r="349" spans="1:27" x14ac:dyDescent="0.25">
      <c r="A349" t="s">
        <v>570</v>
      </c>
      <c r="B349" s="1">
        <v>40569</v>
      </c>
      <c r="C349" s="1">
        <v>40574</v>
      </c>
      <c r="D349" t="s">
        <v>1</v>
      </c>
      <c r="E349" t="s">
        <v>571</v>
      </c>
      <c r="F349" t="s">
        <v>3</v>
      </c>
      <c r="G349" t="s">
        <v>572</v>
      </c>
      <c r="H349" t="s">
        <v>285</v>
      </c>
      <c r="I349" t="s">
        <v>22</v>
      </c>
      <c r="J349" t="s">
        <v>22</v>
      </c>
      <c r="K349" t="s">
        <v>7</v>
      </c>
      <c r="L349" t="s">
        <v>8</v>
      </c>
      <c r="M349">
        <v>318</v>
      </c>
      <c r="N349">
        <v>4</v>
      </c>
      <c r="O349">
        <v>0.6</v>
      </c>
      <c r="P349">
        <v>-254.64</v>
      </c>
      <c r="Q349">
        <v>19.93</v>
      </c>
      <c r="R349" t="s">
        <v>9</v>
      </c>
      <c r="S349">
        <f>Sheet1[[#This Row],[Ship_date]]-Sheet1[[#This Row],[Order_date]]</f>
        <v>5</v>
      </c>
      <c r="T349">
        <f>Sheet1[[#This Row],[Quantity]]*Sheet1[[#This Row],[Sales]]</f>
        <v>1272</v>
      </c>
      <c r="U349">
        <f>Sheet1[[#This Row],[Total Sales]]*Sheet1[[#This Row],[Discount]]</f>
        <v>763.19999999999993</v>
      </c>
      <c r="V349" s="4">
        <f>Sheet1[[#This Row],[Total Sales]]-Sheet1[[#This Row],[Total Sales]]*Sheet1[[#This Row],[Discount]]</f>
        <v>508.80000000000007</v>
      </c>
      <c r="W349" s="4">
        <f>Sheet1[[#This Row],[Quantity]]*Sheet1[[#This Row],[Profit]]</f>
        <v>-1018.56</v>
      </c>
      <c r="X349" s="5">
        <f>Sheet1[[#This Row],[Total Profit]]/Sheet1[[#This Row],[Sales After Discount]]</f>
        <v>-2.0018867924528299</v>
      </c>
      <c r="Y349" s="4">
        <f>Sheet1[[#This Row],[Shipping_cost]]*Sheet1[[#This Row],[Quantity]]</f>
        <v>79.72</v>
      </c>
      <c r="Z349" s="4">
        <f>Sheet1[[#This Row],[Total Profit]]-Sheet1[[#This Row],[Total Shipping Cost]]</f>
        <v>-1098.28</v>
      </c>
      <c r="AA349" s="4" t="str">
        <f>IF(Sheet1[[#This Row],[Net Profit]]&gt;0,"Profit","Loss")</f>
        <v>Loss</v>
      </c>
    </row>
    <row r="350" spans="1:27" x14ac:dyDescent="0.25">
      <c r="A350" t="s">
        <v>586</v>
      </c>
      <c r="B350" s="1">
        <v>40569</v>
      </c>
      <c r="C350" s="1">
        <v>40571</v>
      </c>
      <c r="D350" t="s">
        <v>142</v>
      </c>
      <c r="E350" t="s">
        <v>587</v>
      </c>
      <c r="F350" t="s">
        <v>26</v>
      </c>
      <c r="G350" t="s">
        <v>588</v>
      </c>
      <c r="H350" t="s">
        <v>81</v>
      </c>
      <c r="I350" t="s">
        <v>22</v>
      </c>
      <c r="J350" t="s">
        <v>22</v>
      </c>
      <c r="K350" t="s">
        <v>38</v>
      </c>
      <c r="L350" t="s">
        <v>82</v>
      </c>
      <c r="M350">
        <v>256</v>
      </c>
      <c r="N350">
        <v>1</v>
      </c>
      <c r="O350">
        <v>0</v>
      </c>
      <c r="P350">
        <v>102.45</v>
      </c>
      <c r="Q350">
        <v>19.7</v>
      </c>
      <c r="R350" t="s">
        <v>23</v>
      </c>
      <c r="S350">
        <f>Sheet1[[#This Row],[Ship_date]]-Sheet1[[#This Row],[Order_date]]</f>
        <v>2</v>
      </c>
      <c r="T350">
        <f>Sheet1[[#This Row],[Quantity]]*Sheet1[[#This Row],[Sales]]</f>
        <v>256</v>
      </c>
      <c r="U350">
        <f>Sheet1[[#This Row],[Total Sales]]*Sheet1[[#This Row],[Discount]]</f>
        <v>0</v>
      </c>
      <c r="V350" s="4">
        <f>Sheet1[[#This Row],[Total Sales]]-Sheet1[[#This Row],[Total Sales]]*Sheet1[[#This Row],[Discount]]</f>
        <v>256</v>
      </c>
      <c r="W350" s="4">
        <f>Sheet1[[#This Row],[Quantity]]*Sheet1[[#This Row],[Profit]]</f>
        <v>102.45</v>
      </c>
      <c r="X350" s="5">
        <f>Sheet1[[#This Row],[Total Profit]]/Sheet1[[#This Row],[Sales After Discount]]</f>
        <v>0.40019531250000001</v>
      </c>
      <c r="Y350" s="4">
        <f>Sheet1[[#This Row],[Shipping_cost]]*Sheet1[[#This Row],[Quantity]]</f>
        <v>19.7</v>
      </c>
      <c r="Z350" s="4">
        <f>Sheet1[[#This Row],[Total Profit]]-Sheet1[[#This Row],[Total Shipping Cost]]</f>
        <v>82.75</v>
      </c>
      <c r="AA350" s="4" t="str">
        <f>IF(Sheet1[[#This Row],[Net Profit]]&gt;0,"Profit","Loss")</f>
        <v>Profit</v>
      </c>
    </row>
    <row r="351" spans="1:27" x14ac:dyDescent="0.25">
      <c r="A351" t="s">
        <v>577</v>
      </c>
      <c r="B351" s="1">
        <v>40569</v>
      </c>
      <c r="C351" s="1">
        <v>40574</v>
      </c>
      <c r="D351" t="s">
        <v>1</v>
      </c>
      <c r="E351" t="s">
        <v>578</v>
      </c>
      <c r="F351" t="s">
        <v>3</v>
      </c>
      <c r="G351" t="s">
        <v>579</v>
      </c>
      <c r="H351" t="s">
        <v>580</v>
      </c>
      <c r="I351" t="s">
        <v>6</v>
      </c>
      <c r="J351" t="s">
        <v>6</v>
      </c>
      <c r="K351" t="s">
        <v>38</v>
      </c>
      <c r="L351" t="s">
        <v>50</v>
      </c>
      <c r="M351">
        <v>124</v>
      </c>
      <c r="N351">
        <v>1</v>
      </c>
      <c r="O351">
        <v>0</v>
      </c>
      <c r="P351">
        <v>42.24</v>
      </c>
      <c r="Q351">
        <v>17.14</v>
      </c>
      <c r="R351" t="s">
        <v>23</v>
      </c>
      <c r="S351">
        <f>Sheet1[[#This Row],[Ship_date]]-Sheet1[[#This Row],[Order_date]]</f>
        <v>5</v>
      </c>
      <c r="T351">
        <f>Sheet1[[#This Row],[Quantity]]*Sheet1[[#This Row],[Sales]]</f>
        <v>124</v>
      </c>
      <c r="U351">
        <f>Sheet1[[#This Row],[Total Sales]]*Sheet1[[#This Row],[Discount]]</f>
        <v>0</v>
      </c>
      <c r="V351" s="4">
        <f>Sheet1[[#This Row],[Total Sales]]-Sheet1[[#This Row],[Total Sales]]*Sheet1[[#This Row],[Discount]]</f>
        <v>124</v>
      </c>
      <c r="W351" s="4">
        <f>Sheet1[[#This Row],[Quantity]]*Sheet1[[#This Row],[Profit]]</f>
        <v>42.24</v>
      </c>
      <c r="X351" s="5">
        <f>Sheet1[[#This Row],[Total Profit]]/Sheet1[[#This Row],[Sales After Discount]]</f>
        <v>0.34064516129032257</v>
      </c>
      <c r="Y351" s="4">
        <f>Sheet1[[#This Row],[Shipping_cost]]*Sheet1[[#This Row],[Quantity]]</f>
        <v>17.14</v>
      </c>
      <c r="Z351" s="4">
        <f>Sheet1[[#This Row],[Total Profit]]-Sheet1[[#This Row],[Total Shipping Cost]]</f>
        <v>25.1</v>
      </c>
      <c r="AA351" s="4" t="str">
        <f>IF(Sheet1[[#This Row],[Net Profit]]&gt;0,"Profit","Loss")</f>
        <v>Profit</v>
      </c>
    </row>
    <row r="352" spans="1:27" x14ac:dyDescent="0.25">
      <c r="A352" t="s">
        <v>589</v>
      </c>
      <c r="B352" s="1">
        <v>40569</v>
      </c>
      <c r="C352" s="1">
        <v>40571</v>
      </c>
      <c r="D352" t="s">
        <v>18</v>
      </c>
      <c r="E352" t="s">
        <v>590</v>
      </c>
      <c r="F352" t="s">
        <v>26</v>
      </c>
      <c r="G352" t="s">
        <v>591</v>
      </c>
      <c r="H352" t="s">
        <v>280</v>
      </c>
      <c r="I352" t="s">
        <v>14</v>
      </c>
      <c r="J352" t="s">
        <v>281</v>
      </c>
      <c r="K352" t="s">
        <v>7</v>
      </c>
      <c r="L352" t="s">
        <v>31</v>
      </c>
      <c r="M352">
        <v>79</v>
      </c>
      <c r="N352">
        <v>3</v>
      </c>
      <c r="O352">
        <v>0</v>
      </c>
      <c r="P352">
        <v>25.38</v>
      </c>
      <c r="Q352">
        <v>13.82</v>
      </c>
      <c r="R352" t="s">
        <v>23</v>
      </c>
      <c r="S352">
        <f>Sheet1[[#This Row],[Ship_date]]-Sheet1[[#This Row],[Order_date]]</f>
        <v>2</v>
      </c>
      <c r="T352">
        <f>Sheet1[[#This Row],[Quantity]]*Sheet1[[#This Row],[Sales]]</f>
        <v>237</v>
      </c>
      <c r="U352">
        <f>Sheet1[[#This Row],[Total Sales]]*Sheet1[[#This Row],[Discount]]</f>
        <v>0</v>
      </c>
      <c r="V352" s="4">
        <f>Sheet1[[#This Row],[Total Sales]]-Sheet1[[#This Row],[Total Sales]]*Sheet1[[#This Row],[Discount]]</f>
        <v>237</v>
      </c>
      <c r="W352" s="4">
        <f>Sheet1[[#This Row],[Quantity]]*Sheet1[[#This Row],[Profit]]</f>
        <v>76.14</v>
      </c>
      <c r="X352" s="5">
        <f>Sheet1[[#This Row],[Total Profit]]/Sheet1[[#This Row],[Sales After Discount]]</f>
        <v>0.32126582278481014</v>
      </c>
      <c r="Y352" s="4">
        <f>Sheet1[[#This Row],[Shipping_cost]]*Sheet1[[#This Row],[Quantity]]</f>
        <v>41.46</v>
      </c>
      <c r="Z352" s="4">
        <f>Sheet1[[#This Row],[Total Profit]]-Sheet1[[#This Row],[Total Shipping Cost]]</f>
        <v>34.68</v>
      </c>
      <c r="AA352" s="4" t="str">
        <f>IF(Sheet1[[#This Row],[Net Profit]]&gt;0,"Profit","Loss")</f>
        <v>Profit</v>
      </c>
    </row>
    <row r="353" spans="1:27" x14ac:dyDescent="0.25">
      <c r="A353" t="s">
        <v>592</v>
      </c>
      <c r="B353" s="1">
        <v>40569</v>
      </c>
      <c r="C353" s="1">
        <v>40575</v>
      </c>
      <c r="D353" t="s">
        <v>1</v>
      </c>
      <c r="E353" t="s">
        <v>593</v>
      </c>
      <c r="F353" t="s">
        <v>3</v>
      </c>
      <c r="G353" t="s">
        <v>591</v>
      </c>
      <c r="H353" t="s">
        <v>280</v>
      </c>
      <c r="I353" t="s">
        <v>14</v>
      </c>
      <c r="J353" t="s">
        <v>281</v>
      </c>
      <c r="K353" t="s">
        <v>7</v>
      </c>
      <c r="L353" t="s">
        <v>91</v>
      </c>
      <c r="M353">
        <v>343</v>
      </c>
      <c r="N353">
        <v>7</v>
      </c>
      <c r="O353">
        <v>0</v>
      </c>
      <c r="P353">
        <v>54.6</v>
      </c>
      <c r="Q353">
        <v>13.22</v>
      </c>
      <c r="R353" t="s">
        <v>51</v>
      </c>
      <c r="S353">
        <f>Sheet1[[#This Row],[Ship_date]]-Sheet1[[#This Row],[Order_date]]</f>
        <v>6</v>
      </c>
      <c r="T353">
        <f>Sheet1[[#This Row],[Quantity]]*Sheet1[[#This Row],[Sales]]</f>
        <v>2401</v>
      </c>
      <c r="U353">
        <f>Sheet1[[#This Row],[Total Sales]]*Sheet1[[#This Row],[Discount]]</f>
        <v>0</v>
      </c>
      <c r="V353" s="4">
        <f>Sheet1[[#This Row],[Total Sales]]-Sheet1[[#This Row],[Total Sales]]*Sheet1[[#This Row],[Discount]]</f>
        <v>2401</v>
      </c>
      <c r="W353" s="4">
        <f>Sheet1[[#This Row],[Quantity]]*Sheet1[[#This Row],[Profit]]</f>
        <v>382.2</v>
      </c>
      <c r="X353" s="5">
        <f>Sheet1[[#This Row],[Total Profit]]/Sheet1[[#This Row],[Sales After Discount]]</f>
        <v>0.15918367346938775</v>
      </c>
      <c r="Y353" s="4">
        <f>Sheet1[[#This Row],[Shipping_cost]]*Sheet1[[#This Row],[Quantity]]</f>
        <v>92.54</v>
      </c>
      <c r="Z353" s="4">
        <f>Sheet1[[#This Row],[Total Profit]]-Sheet1[[#This Row],[Total Shipping Cost]]</f>
        <v>289.65999999999997</v>
      </c>
      <c r="AA353" s="4" t="str">
        <f>IF(Sheet1[[#This Row],[Net Profit]]&gt;0,"Profit","Loss")</f>
        <v>Profit</v>
      </c>
    </row>
    <row r="354" spans="1:27" x14ac:dyDescent="0.25">
      <c r="A354" t="s">
        <v>594</v>
      </c>
      <c r="B354" s="1">
        <v>40569</v>
      </c>
      <c r="C354" s="1">
        <v>40572</v>
      </c>
      <c r="D354" t="s">
        <v>18</v>
      </c>
      <c r="E354" t="s">
        <v>595</v>
      </c>
      <c r="F354" t="s">
        <v>3</v>
      </c>
      <c r="G354" t="s">
        <v>596</v>
      </c>
      <c r="H354" t="s">
        <v>115</v>
      </c>
      <c r="I354" t="s">
        <v>29</v>
      </c>
      <c r="J354" t="s">
        <v>76</v>
      </c>
      <c r="K354" t="s">
        <v>7</v>
      </c>
      <c r="L354" t="s">
        <v>16</v>
      </c>
      <c r="M354">
        <v>345</v>
      </c>
      <c r="N354">
        <v>9</v>
      </c>
      <c r="O354">
        <v>0</v>
      </c>
      <c r="P354">
        <v>162.27000000000001</v>
      </c>
      <c r="Q354">
        <v>12.46</v>
      </c>
      <c r="R354" t="s">
        <v>9</v>
      </c>
      <c r="S354">
        <f>Sheet1[[#This Row],[Ship_date]]-Sheet1[[#This Row],[Order_date]]</f>
        <v>3</v>
      </c>
      <c r="T354">
        <f>Sheet1[[#This Row],[Quantity]]*Sheet1[[#This Row],[Sales]]</f>
        <v>3105</v>
      </c>
      <c r="U354">
        <f>Sheet1[[#This Row],[Total Sales]]*Sheet1[[#This Row],[Discount]]</f>
        <v>0</v>
      </c>
      <c r="V354" s="4">
        <f>Sheet1[[#This Row],[Total Sales]]-Sheet1[[#This Row],[Total Sales]]*Sheet1[[#This Row],[Discount]]</f>
        <v>3105</v>
      </c>
      <c r="W354" s="4">
        <f>Sheet1[[#This Row],[Quantity]]*Sheet1[[#This Row],[Profit]]</f>
        <v>1460.43</v>
      </c>
      <c r="X354" s="5">
        <f>Sheet1[[#This Row],[Total Profit]]/Sheet1[[#This Row],[Sales After Discount]]</f>
        <v>0.47034782608695652</v>
      </c>
      <c r="Y354" s="4">
        <f>Sheet1[[#This Row],[Shipping_cost]]*Sheet1[[#This Row],[Quantity]]</f>
        <v>112.14000000000001</v>
      </c>
      <c r="Z354" s="4">
        <f>Sheet1[[#This Row],[Total Profit]]-Sheet1[[#This Row],[Total Shipping Cost]]</f>
        <v>1348.29</v>
      </c>
      <c r="AA354" s="4" t="str">
        <f>IF(Sheet1[[#This Row],[Net Profit]]&gt;0,"Profit","Loss")</f>
        <v>Profit</v>
      </c>
    </row>
    <row r="355" spans="1:27" x14ac:dyDescent="0.25">
      <c r="A355" t="s">
        <v>597</v>
      </c>
      <c r="B355" s="1">
        <v>40569</v>
      </c>
      <c r="C355" s="1">
        <v>40574</v>
      </c>
      <c r="D355" t="s">
        <v>1</v>
      </c>
      <c r="E355" t="s">
        <v>598</v>
      </c>
      <c r="F355" t="s">
        <v>3</v>
      </c>
      <c r="G355" t="s">
        <v>599</v>
      </c>
      <c r="H355" t="s">
        <v>157</v>
      </c>
      <c r="I355" t="s">
        <v>14</v>
      </c>
      <c r="J355" t="s">
        <v>61</v>
      </c>
      <c r="K355" t="s">
        <v>7</v>
      </c>
      <c r="L355" t="s">
        <v>8</v>
      </c>
      <c r="M355">
        <v>142</v>
      </c>
      <c r="N355">
        <v>3</v>
      </c>
      <c r="O355">
        <v>0.17</v>
      </c>
      <c r="P355">
        <v>51.165900000000001</v>
      </c>
      <c r="Q355">
        <v>12.24</v>
      </c>
      <c r="R355" t="s">
        <v>9</v>
      </c>
      <c r="S355">
        <f>Sheet1[[#This Row],[Ship_date]]-Sheet1[[#This Row],[Order_date]]</f>
        <v>5</v>
      </c>
      <c r="T355">
        <f>Sheet1[[#This Row],[Quantity]]*Sheet1[[#This Row],[Sales]]</f>
        <v>426</v>
      </c>
      <c r="U355">
        <f>Sheet1[[#This Row],[Total Sales]]*Sheet1[[#This Row],[Discount]]</f>
        <v>72.42</v>
      </c>
      <c r="V355" s="4">
        <f>Sheet1[[#This Row],[Total Sales]]-Sheet1[[#This Row],[Total Sales]]*Sheet1[[#This Row],[Discount]]</f>
        <v>353.58</v>
      </c>
      <c r="W355" s="4">
        <f>Sheet1[[#This Row],[Quantity]]*Sheet1[[#This Row],[Profit]]</f>
        <v>153.49770000000001</v>
      </c>
      <c r="X355" s="5">
        <f>Sheet1[[#This Row],[Total Profit]]/Sheet1[[#This Row],[Sales After Discount]]</f>
        <v>0.43412438486339727</v>
      </c>
      <c r="Y355" s="4">
        <f>Sheet1[[#This Row],[Shipping_cost]]*Sheet1[[#This Row],[Quantity]]</f>
        <v>36.72</v>
      </c>
      <c r="Z355" s="4">
        <f>Sheet1[[#This Row],[Total Profit]]-Sheet1[[#This Row],[Total Shipping Cost]]</f>
        <v>116.77770000000001</v>
      </c>
      <c r="AA355" s="4" t="str">
        <f>IF(Sheet1[[#This Row],[Net Profit]]&gt;0,"Profit","Loss")</f>
        <v>Profit</v>
      </c>
    </row>
    <row r="356" spans="1:27" x14ac:dyDescent="0.25">
      <c r="A356" t="s">
        <v>570</v>
      </c>
      <c r="B356" s="1">
        <v>40569</v>
      </c>
      <c r="C356" s="1">
        <v>40574</v>
      </c>
      <c r="D356" t="s">
        <v>1</v>
      </c>
      <c r="E356" t="s">
        <v>571</v>
      </c>
      <c r="F356" t="s">
        <v>3</v>
      </c>
      <c r="G356" t="s">
        <v>572</v>
      </c>
      <c r="H356" t="s">
        <v>285</v>
      </c>
      <c r="I356" t="s">
        <v>22</v>
      </c>
      <c r="J356" t="s">
        <v>22</v>
      </c>
      <c r="K356" t="s">
        <v>7</v>
      </c>
      <c r="L356" t="s">
        <v>44</v>
      </c>
      <c r="M356">
        <v>115</v>
      </c>
      <c r="N356">
        <v>4</v>
      </c>
      <c r="O356">
        <v>0.6</v>
      </c>
      <c r="P356">
        <v>-68.975999999999999</v>
      </c>
      <c r="Q356">
        <v>11.17</v>
      </c>
      <c r="R356" t="s">
        <v>9</v>
      </c>
      <c r="S356">
        <f>Sheet1[[#This Row],[Ship_date]]-Sheet1[[#This Row],[Order_date]]</f>
        <v>5</v>
      </c>
      <c r="T356">
        <f>Sheet1[[#This Row],[Quantity]]*Sheet1[[#This Row],[Sales]]</f>
        <v>460</v>
      </c>
      <c r="U356">
        <f>Sheet1[[#This Row],[Total Sales]]*Sheet1[[#This Row],[Discount]]</f>
        <v>276</v>
      </c>
      <c r="V356" s="4">
        <f>Sheet1[[#This Row],[Total Sales]]-Sheet1[[#This Row],[Total Sales]]*Sheet1[[#This Row],[Discount]]</f>
        <v>184</v>
      </c>
      <c r="W356" s="4">
        <f>Sheet1[[#This Row],[Quantity]]*Sheet1[[#This Row],[Profit]]</f>
        <v>-275.904</v>
      </c>
      <c r="X356" s="5">
        <f>Sheet1[[#This Row],[Total Profit]]/Sheet1[[#This Row],[Sales After Discount]]</f>
        <v>-1.4994782608695651</v>
      </c>
      <c r="Y356" s="4">
        <f>Sheet1[[#This Row],[Shipping_cost]]*Sheet1[[#This Row],[Quantity]]</f>
        <v>44.68</v>
      </c>
      <c r="Z356" s="4">
        <f>Sheet1[[#This Row],[Total Profit]]-Sheet1[[#This Row],[Total Shipping Cost]]</f>
        <v>-320.584</v>
      </c>
      <c r="AA356" s="4" t="str">
        <f>IF(Sheet1[[#This Row],[Net Profit]]&gt;0,"Profit","Loss")</f>
        <v>Loss</v>
      </c>
    </row>
    <row r="357" spans="1:27" x14ac:dyDescent="0.25">
      <c r="A357" t="s">
        <v>594</v>
      </c>
      <c r="B357" s="1">
        <v>40569</v>
      </c>
      <c r="C357" s="1">
        <v>40572</v>
      </c>
      <c r="D357" t="s">
        <v>18</v>
      </c>
      <c r="E357" t="s">
        <v>595</v>
      </c>
      <c r="F357" t="s">
        <v>3</v>
      </c>
      <c r="G357" t="s">
        <v>596</v>
      </c>
      <c r="H357" t="s">
        <v>115</v>
      </c>
      <c r="I357" t="s">
        <v>29</v>
      </c>
      <c r="J357" t="s">
        <v>76</v>
      </c>
      <c r="K357" t="s">
        <v>7</v>
      </c>
      <c r="L357" t="s">
        <v>8</v>
      </c>
      <c r="M357">
        <v>108</v>
      </c>
      <c r="N357">
        <v>5</v>
      </c>
      <c r="O357">
        <v>0.1</v>
      </c>
      <c r="P357">
        <v>2.4</v>
      </c>
      <c r="Q357">
        <v>11.06</v>
      </c>
      <c r="R357" t="s">
        <v>9</v>
      </c>
      <c r="S357">
        <f>Sheet1[[#This Row],[Ship_date]]-Sheet1[[#This Row],[Order_date]]</f>
        <v>3</v>
      </c>
      <c r="T357">
        <f>Sheet1[[#This Row],[Quantity]]*Sheet1[[#This Row],[Sales]]</f>
        <v>540</v>
      </c>
      <c r="U357">
        <f>Sheet1[[#This Row],[Total Sales]]*Sheet1[[#This Row],[Discount]]</f>
        <v>54</v>
      </c>
      <c r="V357" s="4">
        <f>Sheet1[[#This Row],[Total Sales]]-Sheet1[[#This Row],[Total Sales]]*Sheet1[[#This Row],[Discount]]</f>
        <v>486</v>
      </c>
      <c r="W357" s="4">
        <f>Sheet1[[#This Row],[Quantity]]*Sheet1[[#This Row],[Profit]]</f>
        <v>12</v>
      </c>
      <c r="X357" s="5">
        <f>Sheet1[[#This Row],[Total Profit]]/Sheet1[[#This Row],[Sales After Discount]]</f>
        <v>2.4691358024691357E-2</v>
      </c>
      <c r="Y357" s="4">
        <f>Sheet1[[#This Row],[Shipping_cost]]*Sheet1[[#This Row],[Quantity]]</f>
        <v>55.300000000000004</v>
      </c>
      <c r="Z357" s="4">
        <f>Sheet1[[#This Row],[Total Profit]]-Sheet1[[#This Row],[Total Shipping Cost]]</f>
        <v>-43.300000000000004</v>
      </c>
      <c r="AA357" s="4" t="str">
        <f>IF(Sheet1[[#This Row],[Net Profit]]&gt;0,"Profit","Loss")</f>
        <v>Loss</v>
      </c>
    </row>
    <row r="358" spans="1:27" x14ac:dyDescent="0.25">
      <c r="A358" t="s">
        <v>594</v>
      </c>
      <c r="B358" s="1">
        <v>40569</v>
      </c>
      <c r="C358" s="1">
        <v>40572</v>
      </c>
      <c r="D358" t="s">
        <v>18</v>
      </c>
      <c r="E358" t="s">
        <v>595</v>
      </c>
      <c r="F358" t="s">
        <v>3</v>
      </c>
      <c r="G358" t="s">
        <v>596</v>
      </c>
      <c r="H358" t="s">
        <v>115</v>
      </c>
      <c r="I358" t="s">
        <v>29</v>
      </c>
      <c r="J358" t="s">
        <v>76</v>
      </c>
      <c r="K358" t="s">
        <v>7</v>
      </c>
      <c r="L358" t="s">
        <v>137</v>
      </c>
      <c r="M358">
        <v>136</v>
      </c>
      <c r="N358">
        <v>9</v>
      </c>
      <c r="O358">
        <v>0</v>
      </c>
      <c r="P358">
        <v>16.2</v>
      </c>
      <c r="Q358">
        <v>9.44</v>
      </c>
      <c r="R358" t="s">
        <v>9</v>
      </c>
      <c r="S358">
        <f>Sheet1[[#This Row],[Ship_date]]-Sheet1[[#This Row],[Order_date]]</f>
        <v>3</v>
      </c>
      <c r="T358">
        <f>Sheet1[[#This Row],[Quantity]]*Sheet1[[#This Row],[Sales]]</f>
        <v>1224</v>
      </c>
      <c r="U358">
        <f>Sheet1[[#This Row],[Total Sales]]*Sheet1[[#This Row],[Discount]]</f>
        <v>0</v>
      </c>
      <c r="V358" s="4">
        <f>Sheet1[[#This Row],[Total Sales]]-Sheet1[[#This Row],[Total Sales]]*Sheet1[[#This Row],[Discount]]</f>
        <v>1224</v>
      </c>
      <c r="W358" s="4">
        <f>Sheet1[[#This Row],[Quantity]]*Sheet1[[#This Row],[Profit]]</f>
        <v>145.79999999999998</v>
      </c>
      <c r="X358" s="5">
        <f>Sheet1[[#This Row],[Total Profit]]/Sheet1[[#This Row],[Sales After Discount]]</f>
        <v>0.11911764705882351</v>
      </c>
      <c r="Y358" s="4">
        <f>Sheet1[[#This Row],[Shipping_cost]]*Sheet1[[#This Row],[Quantity]]</f>
        <v>84.96</v>
      </c>
      <c r="Z358" s="4">
        <f>Sheet1[[#This Row],[Total Profit]]-Sheet1[[#This Row],[Total Shipping Cost]]</f>
        <v>60.839999999999989</v>
      </c>
      <c r="AA358" s="4" t="str">
        <f>IF(Sheet1[[#This Row],[Net Profit]]&gt;0,"Profit","Loss")</f>
        <v>Profit</v>
      </c>
    </row>
    <row r="359" spans="1:27" x14ac:dyDescent="0.25">
      <c r="A359" t="s">
        <v>594</v>
      </c>
      <c r="B359" s="1">
        <v>40569</v>
      </c>
      <c r="C359" s="1">
        <v>40572</v>
      </c>
      <c r="D359" t="s">
        <v>18</v>
      </c>
      <c r="E359" t="s">
        <v>595</v>
      </c>
      <c r="F359" t="s">
        <v>3</v>
      </c>
      <c r="G359" t="s">
        <v>596</v>
      </c>
      <c r="H359" t="s">
        <v>115</v>
      </c>
      <c r="I359" t="s">
        <v>29</v>
      </c>
      <c r="J359" t="s">
        <v>76</v>
      </c>
      <c r="K359" t="s">
        <v>7</v>
      </c>
      <c r="L359" t="s">
        <v>91</v>
      </c>
      <c r="M359">
        <v>88</v>
      </c>
      <c r="N359">
        <v>4</v>
      </c>
      <c r="O359">
        <v>0</v>
      </c>
      <c r="P359">
        <v>15.84</v>
      </c>
      <c r="Q359">
        <v>7.14</v>
      </c>
      <c r="R359" t="s">
        <v>9</v>
      </c>
      <c r="S359">
        <f>Sheet1[[#This Row],[Ship_date]]-Sheet1[[#This Row],[Order_date]]</f>
        <v>3</v>
      </c>
      <c r="T359">
        <f>Sheet1[[#This Row],[Quantity]]*Sheet1[[#This Row],[Sales]]</f>
        <v>352</v>
      </c>
      <c r="U359">
        <f>Sheet1[[#This Row],[Total Sales]]*Sheet1[[#This Row],[Discount]]</f>
        <v>0</v>
      </c>
      <c r="V359" s="4">
        <f>Sheet1[[#This Row],[Total Sales]]-Sheet1[[#This Row],[Total Sales]]*Sheet1[[#This Row],[Discount]]</f>
        <v>352</v>
      </c>
      <c r="W359" s="4">
        <f>Sheet1[[#This Row],[Quantity]]*Sheet1[[#This Row],[Profit]]</f>
        <v>63.36</v>
      </c>
      <c r="X359" s="5">
        <f>Sheet1[[#This Row],[Total Profit]]/Sheet1[[#This Row],[Sales After Discount]]</f>
        <v>0.18</v>
      </c>
      <c r="Y359" s="4">
        <f>Sheet1[[#This Row],[Shipping_cost]]*Sheet1[[#This Row],[Quantity]]</f>
        <v>28.56</v>
      </c>
      <c r="Z359" s="4">
        <f>Sheet1[[#This Row],[Total Profit]]-Sheet1[[#This Row],[Total Shipping Cost]]</f>
        <v>34.799999999999997</v>
      </c>
      <c r="AA359" s="4" t="str">
        <f>IF(Sheet1[[#This Row],[Net Profit]]&gt;0,"Profit","Loss")</f>
        <v>Profit</v>
      </c>
    </row>
    <row r="360" spans="1:27" x14ac:dyDescent="0.25">
      <c r="A360" t="s">
        <v>600</v>
      </c>
      <c r="B360" s="1">
        <v>40569</v>
      </c>
      <c r="C360" s="1">
        <v>40573</v>
      </c>
      <c r="D360" t="s">
        <v>1</v>
      </c>
      <c r="E360" t="s">
        <v>358</v>
      </c>
      <c r="F360" t="s">
        <v>3</v>
      </c>
      <c r="G360" t="s">
        <v>601</v>
      </c>
      <c r="H360" t="s">
        <v>602</v>
      </c>
      <c r="I360" t="s">
        <v>29</v>
      </c>
      <c r="J360" t="s">
        <v>30</v>
      </c>
      <c r="K360" t="s">
        <v>38</v>
      </c>
      <c r="L360" t="s">
        <v>82</v>
      </c>
      <c r="M360">
        <v>88</v>
      </c>
      <c r="N360">
        <v>3</v>
      </c>
      <c r="O360">
        <v>0</v>
      </c>
      <c r="P360">
        <v>18.45</v>
      </c>
      <c r="Q360">
        <v>5.54</v>
      </c>
      <c r="R360" t="s">
        <v>9</v>
      </c>
      <c r="S360">
        <f>Sheet1[[#This Row],[Ship_date]]-Sheet1[[#This Row],[Order_date]]</f>
        <v>4</v>
      </c>
      <c r="T360">
        <f>Sheet1[[#This Row],[Quantity]]*Sheet1[[#This Row],[Sales]]</f>
        <v>264</v>
      </c>
      <c r="U360">
        <f>Sheet1[[#This Row],[Total Sales]]*Sheet1[[#This Row],[Discount]]</f>
        <v>0</v>
      </c>
      <c r="V360" s="4">
        <f>Sheet1[[#This Row],[Total Sales]]-Sheet1[[#This Row],[Total Sales]]*Sheet1[[#This Row],[Discount]]</f>
        <v>264</v>
      </c>
      <c r="W360" s="4">
        <f>Sheet1[[#This Row],[Quantity]]*Sheet1[[#This Row],[Profit]]</f>
        <v>55.349999999999994</v>
      </c>
      <c r="X360" s="5">
        <f>Sheet1[[#This Row],[Total Profit]]/Sheet1[[#This Row],[Sales After Discount]]</f>
        <v>0.20965909090909088</v>
      </c>
      <c r="Y360" s="4">
        <f>Sheet1[[#This Row],[Shipping_cost]]*Sheet1[[#This Row],[Quantity]]</f>
        <v>16.62</v>
      </c>
      <c r="Z360" s="4">
        <f>Sheet1[[#This Row],[Total Profit]]-Sheet1[[#This Row],[Total Shipping Cost]]</f>
        <v>38.72999999999999</v>
      </c>
      <c r="AA360" s="4" t="str">
        <f>IF(Sheet1[[#This Row],[Net Profit]]&gt;0,"Profit","Loss")</f>
        <v>Profit</v>
      </c>
    </row>
    <row r="361" spans="1:27" x14ac:dyDescent="0.25">
      <c r="A361" t="s">
        <v>600</v>
      </c>
      <c r="B361" s="1">
        <v>40569</v>
      </c>
      <c r="C361" s="1">
        <v>40573</v>
      </c>
      <c r="D361" t="s">
        <v>1</v>
      </c>
      <c r="E361" t="s">
        <v>358</v>
      </c>
      <c r="F361" t="s">
        <v>3</v>
      </c>
      <c r="G361" t="s">
        <v>601</v>
      </c>
      <c r="H361" t="s">
        <v>602</v>
      </c>
      <c r="I361" t="s">
        <v>29</v>
      </c>
      <c r="J361" t="s">
        <v>30</v>
      </c>
      <c r="K361" t="s">
        <v>7</v>
      </c>
      <c r="L361" t="s">
        <v>137</v>
      </c>
      <c r="M361">
        <v>52</v>
      </c>
      <c r="N361">
        <v>4</v>
      </c>
      <c r="O361">
        <v>0</v>
      </c>
      <c r="P361">
        <v>20.04</v>
      </c>
      <c r="Q361">
        <v>4.88</v>
      </c>
      <c r="R361" t="s">
        <v>9</v>
      </c>
      <c r="S361">
        <f>Sheet1[[#This Row],[Ship_date]]-Sheet1[[#This Row],[Order_date]]</f>
        <v>4</v>
      </c>
      <c r="T361">
        <f>Sheet1[[#This Row],[Quantity]]*Sheet1[[#This Row],[Sales]]</f>
        <v>208</v>
      </c>
      <c r="U361">
        <f>Sheet1[[#This Row],[Total Sales]]*Sheet1[[#This Row],[Discount]]</f>
        <v>0</v>
      </c>
      <c r="V361" s="4">
        <f>Sheet1[[#This Row],[Total Sales]]-Sheet1[[#This Row],[Total Sales]]*Sheet1[[#This Row],[Discount]]</f>
        <v>208</v>
      </c>
      <c r="W361" s="4">
        <f>Sheet1[[#This Row],[Quantity]]*Sheet1[[#This Row],[Profit]]</f>
        <v>80.16</v>
      </c>
      <c r="X361" s="5">
        <f>Sheet1[[#This Row],[Total Profit]]/Sheet1[[#This Row],[Sales After Discount]]</f>
        <v>0.38538461538461538</v>
      </c>
      <c r="Y361" s="4">
        <f>Sheet1[[#This Row],[Shipping_cost]]*Sheet1[[#This Row],[Quantity]]</f>
        <v>19.52</v>
      </c>
      <c r="Z361" s="4">
        <f>Sheet1[[#This Row],[Total Profit]]-Sheet1[[#This Row],[Total Shipping Cost]]</f>
        <v>60.64</v>
      </c>
      <c r="AA361" s="4" t="str">
        <f>IF(Sheet1[[#This Row],[Net Profit]]&gt;0,"Profit","Loss")</f>
        <v>Profit</v>
      </c>
    </row>
    <row r="362" spans="1:27" x14ac:dyDescent="0.25">
      <c r="A362" t="s">
        <v>603</v>
      </c>
      <c r="B362" s="1">
        <v>40569</v>
      </c>
      <c r="C362" s="1">
        <v>40573</v>
      </c>
      <c r="D362" t="s">
        <v>1</v>
      </c>
      <c r="E362" t="s">
        <v>604</v>
      </c>
      <c r="F362" t="s">
        <v>3</v>
      </c>
      <c r="G362" t="s">
        <v>605</v>
      </c>
      <c r="H362" t="s">
        <v>276</v>
      </c>
      <c r="I362" t="s">
        <v>29</v>
      </c>
      <c r="J362" t="s">
        <v>102</v>
      </c>
      <c r="K362" t="s">
        <v>7</v>
      </c>
      <c r="L362" t="s">
        <v>87</v>
      </c>
      <c r="M362">
        <v>32</v>
      </c>
      <c r="N362">
        <v>3</v>
      </c>
      <c r="O362">
        <v>0</v>
      </c>
      <c r="P362">
        <v>10.08</v>
      </c>
      <c r="Q362">
        <v>4.82</v>
      </c>
      <c r="R362" t="s">
        <v>23</v>
      </c>
      <c r="S362">
        <f>Sheet1[[#This Row],[Ship_date]]-Sheet1[[#This Row],[Order_date]]</f>
        <v>4</v>
      </c>
      <c r="T362">
        <f>Sheet1[[#This Row],[Quantity]]*Sheet1[[#This Row],[Sales]]</f>
        <v>96</v>
      </c>
      <c r="U362">
        <f>Sheet1[[#This Row],[Total Sales]]*Sheet1[[#This Row],[Discount]]</f>
        <v>0</v>
      </c>
      <c r="V362" s="4">
        <f>Sheet1[[#This Row],[Total Sales]]-Sheet1[[#This Row],[Total Sales]]*Sheet1[[#This Row],[Discount]]</f>
        <v>96</v>
      </c>
      <c r="W362" s="4">
        <f>Sheet1[[#This Row],[Quantity]]*Sheet1[[#This Row],[Profit]]</f>
        <v>30.240000000000002</v>
      </c>
      <c r="X362" s="5">
        <f>Sheet1[[#This Row],[Total Profit]]/Sheet1[[#This Row],[Sales After Discount]]</f>
        <v>0.315</v>
      </c>
      <c r="Y362" s="4">
        <f>Sheet1[[#This Row],[Shipping_cost]]*Sheet1[[#This Row],[Quantity]]</f>
        <v>14.46</v>
      </c>
      <c r="Z362" s="4">
        <f>Sheet1[[#This Row],[Total Profit]]-Sheet1[[#This Row],[Total Shipping Cost]]</f>
        <v>15.780000000000001</v>
      </c>
      <c r="AA362" s="4" t="str">
        <f>IF(Sheet1[[#This Row],[Net Profit]]&gt;0,"Profit","Loss")</f>
        <v>Profit</v>
      </c>
    </row>
    <row r="363" spans="1:27" x14ac:dyDescent="0.25">
      <c r="A363" t="s">
        <v>584</v>
      </c>
      <c r="B363" s="1">
        <v>40569</v>
      </c>
      <c r="C363" s="1">
        <v>40569</v>
      </c>
      <c r="D363" t="s">
        <v>41</v>
      </c>
      <c r="E363" t="s">
        <v>585</v>
      </c>
      <c r="F363" t="s">
        <v>3</v>
      </c>
      <c r="G363" t="s">
        <v>495</v>
      </c>
      <c r="H363" t="s">
        <v>115</v>
      </c>
      <c r="I363" t="s">
        <v>29</v>
      </c>
      <c r="J363" t="s">
        <v>76</v>
      </c>
      <c r="K363" t="s">
        <v>7</v>
      </c>
      <c r="L363" t="s">
        <v>137</v>
      </c>
      <c r="M363">
        <v>41</v>
      </c>
      <c r="N363">
        <v>6</v>
      </c>
      <c r="O363">
        <v>0.5</v>
      </c>
      <c r="P363">
        <v>-10.89</v>
      </c>
      <c r="Q363">
        <v>3.98</v>
      </c>
      <c r="R363" t="s">
        <v>9</v>
      </c>
      <c r="S363">
        <f>Sheet1[[#This Row],[Ship_date]]-Sheet1[[#This Row],[Order_date]]</f>
        <v>0</v>
      </c>
      <c r="T363">
        <f>Sheet1[[#This Row],[Quantity]]*Sheet1[[#This Row],[Sales]]</f>
        <v>246</v>
      </c>
      <c r="U363">
        <f>Sheet1[[#This Row],[Total Sales]]*Sheet1[[#This Row],[Discount]]</f>
        <v>123</v>
      </c>
      <c r="V363" s="4">
        <f>Sheet1[[#This Row],[Total Sales]]-Sheet1[[#This Row],[Total Sales]]*Sheet1[[#This Row],[Discount]]</f>
        <v>123</v>
      </c>
      <c r="W363" s="4">
        <f>Sheet1[[#This Row],[Quantity]]*Sheet1[[#This Row],[Profit]]</f>
        <v>-65.34</v>
      </c>
      <c r="X363" s="5">
        <f>Sheet1[[#This Row],[Total Profit]]/Sheet1[[#This Row],[Sales After Discount]]</f>
        <v>-0.53121951219512198</v>
      </c>
      <c r="Y363" s="4">
        <f>Sheet1[[#This Row],[Shipping_cost]]*Sheet1[[#This Row],[Quantity]]</f>
        <v>23.88</v>
      </c>
      <c r="Z363" s="4">
        <f>Sheet1[[#This Row],[Total Profit]]-Sheet1[[#This Row],[Total Shipping Cost]]</f>
        <v>-89.22</v>
      </c>
      <c r="AA363" s="4" t="str">
        <f>IF(Sheet1[[#This Row],[Net Profit]]&gt;0,"Profit","Loss")</f>
        <v>Loss</v>
      </c>
    </row>
    <row r="364" spans="1:27" x14ac:dyDescent="0.25">
      <c r="A364" t="s">
        <v>570</v>
      </c>
      <c r="B364" s="1">
        <v>40569</v>
      </c>
      <c r="C364" s="1">
        <v>40574</v>
      </c>
      <c r="D364" t="s">
        <v>1</v>
      </c>
      <c r="E364" t="s">
        <v>571</v>
      </c>
      <c r="F364" t="s">
        <v>3</v>
      </c>
      <c r="G364" t="s">
        <v>572</v>
      </c>
      <c r="H364" t="s">
        <v>285</v>
      </c>
      <c r="I364" t="s">
        <v>22</v>
      </c>
      <c r="J364" t="s">
        <v>22</v>
      </c>
      <c r="K364" t="s">
        <v>32</v>
      </c>
      <c r="L364" t="s">
        <v>56</v>
      </c>
      <c r="M364">
        <v>34</v>
      </c>
      <c r="N364">
        <v>1</v>
      </c>
      <c r="O364">
        <v>0.6</v>
      </c>
      <c r="P364">
        <v>-38.981999999999999</v>
      </c>
      <c r="Q364">
        <v>3.08</v>
      </c>
      <c r="R364" t="s">
        <v>9</v>
      </c>
      <c r="S364">
        <f>Sheet1[[#This Row],[Ship_date]]-Sheet1[[#This Row],[Order_date]]</f>
        <v>5</v>
      </c>
      <c r="T364">
        <f>Sheet1[[#This Row],[Quantity]]*Sheet1[[#This Row],[Sales]]</f>
        <v>34</v>
      </c>
      <c r="U364">
        <f>Sheet1[[#This Row],[Total Sales]]*Sheet1[[#This Row],[Discount]]</f>
        <v>20.399999999999999</v>
      </c>
      <c r="V364" s="4">
        <f>Sheet1[[#This Row],[Total Sales]]-Sheet1[[#This Row],[Total Sales]]*Sheet1[[#This Row],[Discount]]</f>
        <v>13.600000000000001</v>
      </c>
      <c r="W364" s="4">
        <f>Sheet1[[#This Row],[Quantity]]*Sheet1[[#This Row],[Profit]]</f>
        <v>-38.981999999999999</v>
      </c>
      <c r="X364" s="5">
        <f>Sheet1[[#This Row],[Total Profit]]/Sheet1[[#This Row],[Sales After Discount]]</f>
        <v>-2.8663235294117642</v>
      </c>
      <c r="Y364" s="4">
        <f>Sheet1[[#This Row],[Shipping_cost]]*Sheet1[[#This Row],[Quantity]]</f>
        <v>3.08</v>
      </c>
      <c r="Z364" s="4">
        <f>Sheet1[[#This Row],[Total Profit]]-Sheet1[[#This Row],[Total Shipping Cost]]</f>
        <v>-42.061999999999998</v>
      </c>
      <c r="AA364" s="4" t="str">
        <f>IF(Sheet1[[#This Row],[Net Profit]]&gt;0,"Profit","Loss")</f>
        <v>Loss</v>
      </c>
    </row>
    <row r="365" spans="1:27" x14ac:dyDescent="0.25">
      <c r="A365" t="s">
        <v>594</v>
      </c>
      <c r="B365" s="1">
        <v>40569</v>
      </c>
      <c r="C365" s="1">
        <v>40572</v>
      </c>
      <c r="D365" t="s">
        <v>18</v>
      </c>
      <c r="E365" t="s">
        <v>595</v>
      </c>
      <c r="F365" t="s">
        <v>3</v>
      </c>
      <c r="G365" t="s">
        <v>596</v>
      </c>
      <c r="H365" t="s">
        <v>115</v>
      </c>
      <c r="I365" t="s">
        <v>29</v>
      </c>
      <c r="J365" t="s">
        <v>76</v>
      </c>
      <c r="K365" t="s">
        <v>7</v>
      </c>
      <c r="L365" t="s">
        <v>8</v>
      </c>
      <c r="M365">
        <v>86</v>
      </c>
      <c r="N365">
        <v>2</v>
      </c>
      <c r="O365">
        <v>0.1</v>
      </c>
      <c r="P365">
        <v>2.85</v>
      </c>
      <c r="Q365">
        <v>2.65</v>
      </c>
      <c r="R365" t="s">
        <v>9</v>
      </c>
      <c r="S365">
        <f>Sheet1[[#This Row],[Ship_date]]-Sheet1[[#This Row],[Order_date]]</f>
        <v>3</v>
      </c>
      <c r="T365">
        <f>Sheet1[[#This Row],[Quantity]]*Sheet1[[#This Row],[Sales]]</f>
        <v>172</v>
      </c>
      <c r="U365">
        <f>Sheet1[[#This Row],[Total Sales]]*Sheet1[[#This Row],[Discount]]</f>
        <v>17.2</v>
      </c>
      <c r="V365" s="4">
        <f>Sheet1[[#This Row],[Total Sales]]-Sheet1[[#This Row],[Total Sales]]*Sheet1[[#This Row],[Discount]]</f>
        <v>154.80000000000001</v>
      </c>
      <c r="W365" s="4">
        <f>Sheet1[[#This Row],[Quantity]]*Sheet1[[#This Row],[Profit]]</f>
        <v>5.7</v>
      </c>
      <c r="X365" s="5">
        <f>Sheet1[[#This Row],[Total Profit]]/Sheet1[[#This Row],[Sales After Discount]]</f>
        <v>3.6821705426356585E-2</v>
      </c>
      <c r="Y365" s="4">
        <f>Sheet1[[#This Row],[Shipping_cost]]*Sheet1[[#This Row],[Quantity]]</f>
        <v>5.3</v>
      </c>
      <c r="Z365" s="4">
        <f>Sheet1[[#This Row],[Total Profit]]-Sheet1[[#This Row],[Total Shipping Cost]]</f>
        <v>0.40000000000000036</v>
      </c>
      <c r="AA365" s="4" t="str">
        <f>IF(Sheet1[[#This Row],[Net Profit]]&gt;0,"Profit","Loss")</f>
        <v>Profit</v>
      </c>
    </row>
    <row r="366" spans="1:27" x14ac:dyDescent="0.25">
      <c r="A366" t="s">
        <v>584</v>
      </c>
      <c r="B366" s="1">
        <v>40569</v>
      </c>
      <c r="C366" s="1">
        <v>40569</v>
      </c>
      <c r="D366" t="s">
        <v>41</v>
      </c>
      <c r="E366" t="s">
        <v>585</v>
      </c>
      <c r="F366" t="s">
        <v>3</v>
      </c>
      <c r="G366" t="s">
        <v>495</v>
      </c>
      <c r="H366" t="s">
        <v>115</v>
      </c>
      <c r="I366" t="s">
        <v>29</v>
      </c>
      <c r="J366" t="s">
        <v>76</v>
      </c>
      <c r="K366" t="s">
        <v>7</v>
      </c>
      <c r="L366" t="s">
        <v>96</v>
      </c>
      <c r="M366">
        <v>12</v>
      </c>
      <c r="N366">
        <v>3</v>
      </c>
      <c r="O366">
        <v>0.5</v>
      </c>
      <c r="P366">
        <v>-8.01</v>
      </c>
      <c r="Q366">
        <v>1.75</v>
      </c>
      <c r="R366" t="s">
        <v>9</v>
      </c>
      <c r="S366">
        <f>Sheet1[[#This Row],[Ship_date]]-Sheet1[[#This Row],[Order_date]]</f>
        <v>0</v>
      </c>
      <c r="T366">
        <f>Sheet1[[#This Row],[Quantity]]*Sheet1[[#This Row],[Sales]]</f>
        <v>36</v>
      </c>
      <c r="U366">
        <f>Sheet1[[#This Row],[Total Sales]]*Sheet1[[#This Row],[Discount]]</f>
        <v>18</v>
      </c>
      <c r="V366" s="4">
        <f>Sheet1[[#This Row],[Total Sales]]-Sheet1[[#This Row],[Total Sales]]*Sheet1[[#This Row],[Discount]]</f>
        <v>18</v>
      </c>
      <c r="W366" s="4">
        <f>Sheet1[[#This Row],[Quantity]]*Sheet1[[#This Row],[Profit]]</f>
        <v>-24.03</v>
      </c>
      <c r="X366" s="5">
        <f>Sheet1[[#This Row],[Total Profit]]/Sheet1[[#This Row],[Sales After Discount]]</f>
        <v>-1.335</v>
      </c>
      <c r="Y366" s="4">
        <f>Sheet1[[#This Row],[Shipping_cost]]*Sheet1[[#This Row],[Quantity]]</f>
        <v>5.25</v>
      </c>
      <c r="Z366" s="4">
        <f>Sheet1[[#This Row],[Total Profit]]-Sheet1[[#This Row],[Total Shipping Cost]]</f>
        <v>-29.28</v>
      </c>
      <c r="AA366" s="4" t="str">
        <f>IF(Sheet1[[#This Row],[Net Profit]]&gt;0,"Profit","Loss")</f>
        <v>Loss</v>
      </c>
    </row>
    <row r="367" spans="1:27" x14ac:dyDescent="0.25">
      <c r="A367" t="s">
        <v>594</v>
      </c>
      <c r="B367" s="1">
        <v>40569</v>
      </c>
      <c r="C367" s="1">
        <v>40572</v>
      </c>
      <c r="D367" t="s">
        <v>18</v>
      </c>
      <c r="E367" t="s">
        <v>595</v>
      </c>
      <c r="F367" t="s">
        <v>3</v>
      </c>
      <c r="G367" t="s">
        <v>596</v>
      </c>
      <c r="H367" t="s">
        <v>115</v>
      </c>
      <c r="I367" t="s">
        <v>29</v>
      </c>
      <c r="J367" t="s">
        <v>76</v>
      </c>
      <c r="K367" t="s">
        <v>7</v>
      </c>
      <c r="L367" t="s">
        <v>31</v>
      </c>
      <c r="M367">
        <v>60</v>
      </c>
      <c r="N367">
        <v>2</v>
      </c>
      <c r="O367">
        <v>0</v>
      </c>
      <c r="P367">
        <v>21.42</v>
      </c>
      <c r="Q367">
        <v>1.74</v>
      </c>
      <c r="R367" t="s">
        <v>9</v>
      </c>
      <c r="S367">
        <f>Sheet1[[#This Row],[Ship_date]]-Sheet1[[#This Row],[Order_date]]</f>
        <v>3</v>
      </c>
      <c r="T367">
        <f>Sheet1[[#This Row],[Quantity]]*Sheet1[[#This Row],[Sales]]</f>
        <v>120</v>
      </c>
      <c r="U367">
        <f>Sheet1[[#This Row],[Total Sales]]*Sheet1[[#This Row],[Discount]]</f>
        <v>0</v>
      </c>
      <c r="V367" s="4">
        <f>Sheet1[[#This Row],[Total Sales]]-Sheet1[[#This Row],[Total Sales]]*Sheet1[[#This Row],[Discount]]</f>
        <v>120</v>
      </c>
      <c r="W367" s="4">
        <f>Sheet1[[#This Row],[Quantity]]*Sheet1[[#This Row],[Profit]]</f>
        <v>42.84</v>
      </c>
      <c r="X367" s="5">
        <f>Sheet1[[#This Row],[Total Profit]]/Sheet1[[#This Row],[Sales After Discount]]</f>
        <v>0.35700000000000004</v>
      </c>
      <c r="Y367" s="4">
        <f>Sheet1[[#This Row],[Shipping_cost]]*Sheet1[[#This Row],[Quantity]]</f>
        <v>3.48</v>
      </c>
      <c r="Z367" s="4">
        <f>Sheet1[[#This Row],[Total Profit]]-Sheet1[[#This Row],[Total Shipping Cost]]</f>
        <v>39.360000000000007</v>
      </c>
      <c r="AA367" s="4" t="str">
        <f>IF(Sheet1[[#This Row],[Net Profit]]&gt;0,"Profit","Loss")</f>
        <v>Profit</v>
      </c>
    </row>
    <row r="368" spans="1:27" x14ac:dyDescent="0.25">
      <c r="A368" t="s">
        <v>577</v>
      </c>
      <c r="B368" s="1">
        <v>40569</v>
      </c>
      <c r="C368" s="1">
        <v>40574</v>
      </c>
      <c r="D368" t="s">
        <v>1</v>
      </c>
      <c r="E368" t="s">
        <v>578</v>
      </c>
      <c r="F368" t="s">
        <v>3</v>
      </c>
      <c r="G368" t="s">
        <v>579</v>
      </c>
      <c r="H368" t="s">
        <v>580</v>
      </c>
      <c r="I368" t="s">
        <v>6</v>
      </c>
      <c r="J368" t="s">
        <v>6</v>
      </c>
      <c r="K368" t="s">
        <v>7</v>
      </c>
      <c r="L368" t="s">
        <v>137</v>
      </c>
      <c r="M368">
        <v>9</v>
      </c>
      <c r="N368">
        <v>1</v>
      </c>
      <c r="O368">
        <v>0</v>
      </c>
      <c r="P368">
        <v>4.0199999999999996</v>
      </c>
      <c r="Q368">
        <v>1.43</v>
      </c>
      <c r="R368" t="s">
        <v>23</v>
      </c>
      <c r="S368">
        <f>Sheet1[[#This Row],[Ship_date]]-Sheet1[[#This Row],[Order_date]]</f>
        <v>5</v>
      </c>
      <c r="T368">
        <f>Sheet1[[#This Row],[Quantity]]*Sheet1[[#This Row],[Sales]]</f>
        <v>9</v>
      </c>
      <c r="U368">
        <f>Sheet1[[#This Row],[Total Sales]]*Sheet1[[#This Row],[Discount]]</f>
        <v>0</v>
      </c>
      <c r="V368" s="4">
        <f>Sheet1[[#This Row],[Total Sales]]-Sheet1[[#This Row],[Total Sales]]*Sheet1[[#This Row],[Discount]]</f>
        <v>9</v>
      </c>
      <c r="W368" s="4">
        <f>Sheet1[[#This Row],[Quantity]]*Sheet1[[#This Row],[Profit]]</f>
        <v>4.0199999999999996</v>
      </c>
      <c r="X368" s="5">
        <f>Sheet1[[#This Row],[Total Profit]]/Sheet1[[#This Row],[Sales After Discount]]</f>
        <v>0.4466666666666666</v>
      </c>
      <c r="Y368" s="4">
        <f>Sheet1[[#This Row],[Shipping_cost]]*Sheet1[[#This Row],[Quantity]]</f>
        <v>1.43</v>
      </c>
      <c r="Z368" s="4">
        <f>Sheet1[[#This Row],[Total Profit]]-Sheet1[[#This Row],[Total Shipping Cost]]</f>
        <v>2.59</v>
      </c>
      <c r="AA368" s="4" t="str">
        <f>IF(Sheet1[[#This Row],[Net Profit]]&gt;0,"Profit","Loss")</f>
        <v>Profit</v>
      </c>
    </row>
    <row r="369" spans="1:27" x14ac:dyDescent="0.25">
      <c r="A369" t="s">
        <v>570</v>
      </c>
      <c r="B369" s="1">
        <v>40569</v>
      </c>
      <c r="C369" s="1">
        <v>40574</v>
      </c>
      <c r="D369" t="s">
        <v>1</v>
      </c>
      <c r="E369" t="s">
        <v>571</v>
      </c>
      <c r="F369" t="s">
        <v>3</v>
      </c>
      <c r="G369" t="s">
        <v>572</v>
      </c>
      <c r="H369" t="s">
        <v>285</v>
      </c>
      <c r="I369" t="s">
        <v>22</v>
      </c>
      <c r="J369" t="s">
        <v>22</v>
      </c>
      <c r="K369" t="s">
        <v>7</v>
      </c>
      <c r="L369" t="s">
        <v>31</v>
      </c>
      <c r="M369">
        <v>16</v>
      </c>
      <c r="N369">
        <v>2</v>
      </c>
      <c r="O369">
        <v>0.6</v>
      </c>
      <c r="P369">
        <v>-5.7240000000000002</v>
      </c>
      <c r="Q369">
        <v>1.28</v>
      </c>
      <c r="R369" t="s">
        <v>9</v>
      </c>
      <c r="S369">
        <f>Sheet1[[#This Row],[Ship_date]]-Sheet1[[#This Row],[Order_date]]</f>
        <v>5</v>
      </c>
      <c r="T369">
        <f>Sheet1[[#This Row],[Quantity]]*Sheet1[[#This Row],[Sales]]</f>
        <v>32</v>
      </c>
      <c r="U369">
        <f>Sheet1[[#This Row],[Total Sales]]*Sheet1[[#This Row],[Discount]]</f>
        <v>19.2</v>
      </c>
      <c r="V369" s="4">
        <f>Sheet1[[#This Row],[Total Sales]]-Sheet1[[#This Row],[Total Sales]]*Sheet1[[#This Row],[Discount]]</f>
        <v>12.8</v>
      </c>
      <c r="W369" s="4">
        <f>Sheet1[[#This Row],[Quantity]]*Sheet1[[#This Row],[Profit]]</f>
        <v>-11.448</v>
      </c>
      <c r="X369" s="5">
        <f>Sheet1[[#This Row],[Total Profit]]/Sheet1[[#This Row],[Sales After Discount]]</f>
        <v>-0.89437500000000003</v>
      </c>
      <c r="Y369" s="4">
        <f>Sheet1[[#This Row],[Shipping_cost]]*Sheet1[[#This Row],[Quantity]]</f>
        <v>2.56</v>
      </c>
      <c r="Z369" s="4">
        <f>Sheet1[[#This Row],[Total Profit]]-Sheet1[[#This Row],[Total Shipping Cost]]</f>
        <v>-14.008000000000001</v>
      </c>
      <c r="AA369" s="4" t="str">
        <f>IF(Sheet1[[#This Row],[Net Profit]]&gt;0,"Profit","Loss")</f>
        <v>Loss</v>
      </c>
    </row>
    <row r="370" spans="1:27" x14ac:dyDescent="0.25">
      <c r="A370" t="s">
        <v>600</v>
      </c>
      <c r="B370" s="1">
        <v>40569</v>
      </c>
      <c r="C370" s="1">
        <v>40573</v>
      </c>
      <c r="D370" t="s">
        <v>1</v>
      </c>
      <c r="E370" t="s">
        <v>358</v>
      </c>
      <c r="F370" t="s">
        <v>3</v>
      </c>
      <c r="G370" t="s">
        <v>601</v>
      </c>
      <c r="H370" t="s">
        <v>602</v>
      </c>
      <c r="I370" t="s">
        <v>29</v>
      </c>
      <c r="J370" t="s">
        <v>30</v>
      </c>
      <c r="K370" t="s">
        <v>7</v>
      </c>
      <c r="L370" t="s">
        <v>137</v>
      </c>
      <c r="M370">
        <v>13</v>
      </c>
      <c r="N370">
        <v>1</v>
      </c>
      <c r="O370">
        <v>0</v>
      </c>
      <c r="P370">
        <v>5.49</v>
      </c>
      <c r="Q370">
        <v>1.2</v>
      </c>
      <c r="R370" t="s">
        <v>9</v>
      </c>
      <c r="S370">
        <f>Sheet1[[#This Row],[Ship_date]]-Sheet1[[#This Row],[Order_date]]</f>
        <v>4</v>
      </c>
      <c r="T370">
        <f>Sheet1[[#This Row],[Quantity]]*Sheet1[[#This Row],[Sales]]</f>
        <v>13</v>
      </c>
      <c r="U370">
        <f>Sheet1[[#This Row],[Total Sales]]*Sheet1[[#This Row],[Discount]]</f>
        <v>0</v>
      </c>
      <c r="V370" s="4">
        <f>Sheet1[[#This Row],[Total Sales]]-Sheet1[[#This Row],[Total Sales]]*Sheet1[[#This Row],[Discount]]</f>
        <v>13</v>
      </c>
      <c r="W370" s="4">
        <f>Sheet1[[#This Row],[Quantity]]*Sheet1[[#This Row],[Profit]]</f>
        <v>5.49</v>
      </c>
      <c r="X370" s="5">
        <f>Sheet1[[#This Row],[Total Profit]]/Sheet1[[#This Row],[Sales After Discount]]</f>
        <v>0.42230769230769233</v>
      </c>
      <c r="Y370" s="4">
        <f>Sheet1[[#This Row],[Shipping_cost]]*Sheet1[[#This Row],[Quantity]]</f>
        <v>1.2</v>
      </c>
      <c r="Z370" s="4">
        <f>Sheet1[[#This Row],[Total Profit]]-Sheet1[[#This Row],[Total Shipping Cost]]</f>
        <v>4.29</v>
      </c>
      <c r="AA370" s="4" t="str">
        <f>IF(Sheet1[[#This Row],[Net Profit]]&gt;0,"Profit","Loss")</f>
        <v>Profit</v>
      </c>
    </row>
    <row r="371" spans="1:27" x14ac:dyDescent="0.25">
      <c r="A371" t="s">
        <v>577</v>
      </c>
      <c r="B371" s="1">
        <v>40569</v>
      </c>
      <c r="C371" s="1">
        <v>40574</v>
      </c>
      <c r="D371" t="s">
        <v>1</v>
      </c>
      <c r="E371" t="s">
        <v>578</v>
      </c>
      <c r="F371" t="s">
        <v>3</v>
      </c>
      <c r="G371" t="s">
        <v>579</v>
      </c>
      <c r="H371" t="s">
        <v>580</v>
      </c>
      <c r="I371" t="s">
        <v>6</v>
      </c>
      <c r="J371" t="s">
        <v>6</v>
      </c>
      <c r="K371" t="s">
        <v>7</v>
      </c>
      <c r="L371" t="s">
        <v>87</v>
      </c>
      <c r="M371">
        <v>11</v>
      </c>
      <c r="N371">
        <v>1</v>
      </c>
      <c r="O371">
        <v>0</v>
      </c>
      <c r="P371">
        <v>4.83</v>
      </c>
      <c r="Q371">
        <v>0.88</v>
      </c>
      <c r="R371" t="s">
        <v>23</v>
      </c>
      <c r="S371">
        <f>Sheet1[[#This Row],[Ship_date]]-Sheet1[[#This Row],[Order_date]]</f>
        <v>5</v>
      </c>
      <c r="T371">
        <f>Sheet1[[#This Row],[Quantity]]*Sheet1[[#This Row],[Sales]]</f>
        <v>11</v>
      </c>
      <c r="U371">
        <f>Sheet1[[#This Row],[Total Sales]]*Sheet1[[#This Row],[Discount]]</f>
        <v>0</v>
      </c>
      <c r="V371" s="4">
        <f>Sheet1[[#This Row],[Total Sales]]-Sheet1[[#This Row],[Total Sales]]*Sheet1[[#This Row],[Discount]]</f>
        <v>11</v>
      </c>
      <c r="W371" s="4">
        <f>Sheet1[[#This Row],[Quantity]]*Sheet1[[#This Row],[Profit]]</f>
        <v>4.83</v>
      </c>
      <c r="X371" s="5">
        <f>Sheet1[[#This Row],[Total Profit]]/Sheet1[[#This Row],[Sales After Discount]]</f>
        <v>0.43909090909090909</v>
      </c>
      <c r="Y371" s="4">
        <f>Sheet1[[#This Row],[Shipping_cost]]*Sheet1[[#This Row],[Quantity]]</f>
        <v>0.88</v>
      </c>
      <c r="Z371" s="4">
        <f>Sheet1[[#This Row],[Total Profit]]-Sheet1[[#This Row],[Total Shipping Cost]]</f>
        <v>3.95</v>
      </c>
      <c r="AA371" s="4" t="str">
        <f>IF(Sheet1[[#This Row],[Net Profit]]&gt;0,"Profit","Loss")</f>
        <v>Profit</v>
      </c>
    </row>
    <row r="372" spans="1:27" x14ac:dyDescent="0.25">
      <c r="A372" t="s">
        <v>594</v>
      </c>
      <c r="B372" s="1">
        <v>40569</v>
      </c>
      <c r="C372" s="1">
        <v>40572</v>
      </c>
      <c r="D372" t="s">
        <v>18</v>
      </c>
      <c r="E372" t="s">
        <v>595</v>
      </c>
      <c r="F372" t="s">
        <v>3</v>
      </c>
      <c r="G372" t="s">
        <v>596</v>
      </c>
      <c r="H372" t="s">
        <v>115</v>
      </c>
      <c r="I372" t="s">
        <v>29</v>
      </c>
      <c r="J372" t="s">
        <v>76</v>
      </c>
      <c r="K372" t="s">
        <v>32</v>
      </c>
      <c r="L372" t="s">
        <v>33</v>
      </c>
      <c r="M372">
        <v>177</v>
      </c>
      <c r="N372">
        <v>8</v>
      </c>
      <c r="O372">
        <v>0</v>
      </c>
      <c r="P372">
        <v>0</v>
      </c>
      <c r="Q372">
        <v>0.61</v>
      </c>
      <c r="R372" t="s">
        <v>9</v>
      </c>
      <c r="S372">
        <f>Sheet1[[#This Row],[Ship_date]]-Sheet1[[#This Row],[Order_date]]</f>
        <v>3</v>
      </c>
      <c r="T372">
        <f>Sheet1[[#This Row],[Quantity]]*Sheet1[[#This Row],[Sales]]</f>
        <v>1416</v>
      </c>
      <c r="U372">
        <f>Sheet1[[#This Row],[Total Sales]]*Sheet1[[#This Row],[Discount]]</f>
        <v>0</v>
      </c>
      <c r="V372" s="4">
        <f>Sheet1[[#This Row],[Total Sales]]-Sheet1[[#This Row],[Total Sales]]*Sheet1[[#This Row],[Discount]]</f>
        <v>1416</v>
      </c>
      <c r="W372" s="4">
        <f>Sheet1[[#This Row],[Quantity]]*Sheet1[[#This Row],[Profit]]</f>
        <v>0</v>
      </c>
      <c r="X372" s="5">
        <f>Sheet1[[#This Row],[Total Profit]]/Sheet1[[#This Row],[Sales After Discount]]</f>
        <v>0</v>
      </c>
      <c r="Y372" s="4">
        <f>Sheet1[[#This Row],[Shipping_cost]]*Sheet1[[#This Row],[Quantity]]</f>
        <v>4.88</v>
      </c>
      <c r="Z372" s="4">
        <f>Sheet1[[#This Row],[Total Profit]]-Sheet1[[#This Row],[Total Shipping Cost]]</f>
        <v>-4.88</v>
      </c>
      <c r="AA372" s="4" t="str">
        <f>IF(Sheet1[[#This Row],[Net Profit]]&gt;0,"Profit","Loss")</f>
        <v>Loss</v>
      </c>
    </row>
    <row r="373" spans="1:27" x14ac:dyDescent="0.25">
      <c r="A373" t="s">
        <v>570</v>
      </c>
      <c r="B373" s="1">
        <v>40569</v>
      </c>
      <c r="C373" s="1">
        <v>40574</v>
      </c>
      <c r="D373" t="s">
        <v>1</v>
      </c>
      <c r="E373" t="s">
        <v>571</v>
      </c>
      <c r="F373" t="s">
        <v>3</v>
      </c>
      <c r="G373" t="s">
        <v>572</v>
      </c>
      <c r="H373" t="s">
        <v>285</v>
      </c>
      <c r="I373" t="s">
        <v>22</v>
      </c>
      <c r="J373" t="s">
        <v>22</v>
      </c>
      <c r="K373" t="s">
        <v>7</v>
      </c>
      <c r="L373" t="s">
        <v>87</v>
      </c>
      <c r="M373">
        <v>5</v>
      </c>
      <c r="N373">
        <v>1</v>
      </c>
      <c r="O373">
        <v>0.6</v>
      </c>
      <c r="P373">
        <v>-7.3380000000000001</v>
      </c>
      <c r="Q373">
        <v>0.34</v>
      </c>
      <c r="R373" t="s">
        <v>9</v>
      </c>
      <c r="S373">
        <f>Sheet1[[#This Row],[Ship_date]]-Sheet1[[#This Row],[Order_date]]</f>
        <v>5</v>
      </c>
      <c r="T373">
        <f>Sheet1[[#This Row],[Quantity]]*Sheet1[[#This Row],[Sales]]</f>
        <v>5</v>
      </c>
      <c r="U373">
        <f>Sheet1[[#This Row],[Total Sales]]*Sheet1[[#This Row],[Discount]]</f>
        <v>3</v>
      </c>
      <c r="V373" s="4">
        <f>Sheet1[[#This Row],[Total Sales]]-Sheet1[[#This Row],[Total Sales]]*Sheet1[[#This Row],[Discount]]</f>
        <v>2</v>
      </c>
      <c r="W373" s="4">
        <f>Sheet1[[#This Row],[Quantity]]*Sheet1[[#This Row],[Profit]]</f>
        <v>-7.3380000000000001</v>
      </c>
      <c r="X373" s="5">
        <f>Sheet1[[#This Row],[Total Profit]]/Sheet1[[#This Row],[Sales After Discount]]</f>
        <v>-3.669</v>
      </c>
      <c r="Y373" s="4">
        <f>Sheet1[[#This Row],[Shipping_cost]]*Sheet1[[#This Row],[Quantity]]</f>
        <v>0.34</v>
      </c>
      <c r="Z373" s="4">
        <f>Sheet1[[#This Row],[Total Profit]]-Sheet1[[#This Row],[Total Shipping Cost]]</f>
        <v>-7.6779999999999999</v>
      </c>
      <c r="AA373" s="4" t="str">
        <f>IF(Sheet1[[#This Row],[Net Profit]]&gt;0,"Profit","Loss")</f>
        <v>Loss</v>
      </c>
    </row>
    <row r="374" spans="1:27" x14ac:dyDescent="0.25">
      <c r="A374" t="s">
        <v>606</v>
      </c>
      <c r="B374" s="1">
        <v>40570</v>
      </c>
      <c r="C374" s="1">
        <v>40573</v>
      </c>
      <c r="D374" t="s">
        <v>142</v>
      </c>
      <c r="E374" t="s">
        <v>607</v>
      </c>
      <c r="F374" t="s">
        <v>43</v>
      </c>
      <c r="G374" t="s">
        <v>608</v>
      </c>
      <c r="H374" t="s">
        <v>126</v>
      </c>
      <c r="I374" t="s">
        <v>127</v>
      </c>
      <c r="J374" t="s">
        <v>76</v>
      </c>
      <c r="K374" t="s">
        <v>32</v>
      </c>
      <c r="L374" t="s">
        <v>67</v>
      </c>
      <c r="M374">
        <v>142</v>
      </c>
      <c r="N374">
        <v>2</v>
      </c>
      <c r="O374">
        <v>0</v>
      </c>
      <c r="P374">
        <v>39.748800000000003</v>
      </c>
      <c r="Q374">
        <v>24.59</v>
      </c>
      <c r="R374" t="s">
        <v>23</v>
      </c>
      <c r="S374">
        <f>Sheet1[[#This Row],[Ship_date]]-Sheet1[[#This Row],[Order_date]]</f>
        <v>3</v>
      </c>
      <c r="T374">
        <f>Sheet1[[#This Row],[Quantity]]*Sheet1[[#This Row],[Sales]]</f>
        <v>284</v>
      </c>
      <c r="U374">
        <f>Sheet1[[#This Row],[Total Sales]]*Sheet1[[#This Row],[Discount]]</f>
        <v>0</v>
      </c>
      <c r="V374" s="4">
        <f>Sheet1[[#This Row],[Total Sales]]-Sheet1[[#This Row],[Total Sales]]*Sheet1[[#This Row],[Discount]]</f>
        <v>284</v>
      </c>
      <c r="W374" s="4">
        <f>Sheet1[[#This Row],[Quantity]]*Sheet1[[#This Row],[Profit]]</f>
        <v>79.497600000000006</v>
      </c>
      <c r="X374" s="5">
        <f>Sheet1[[#This Row],[Total Profit]]/Sheet1[[#This Row],[Sales After Discount]]</f>
        <v>0.27992112676056341</v>
      </c>
      <c r="Y374" s="4">
        <f>Sheet1[[#This Row],[Shipping_cost]]*Sheet1[[#This Row],[Quantity]]</f>
        <v>49.18</v>
      </c>
      <c r="Z374" s="4">
        <f>Sheet1[[#This Row],[Total Profit]]-Sheet1[[#This Row],[Total Shipping Cost]]</f>
        <v>30.317600000000006</v>
      </c>
      <c r="AA374" s="4" t="str">
        <f>IF(Sheet1[[#This Row],[Net Profit]]&gt;0,"Profit","Loss")</f>
        <v>Profit</v>
      </c>
    </row>
    <row r="375" spans="1:27" x14ac:dyDescent="0.25">
      <c r="A375" t="s">
        <v>609</v>
      </c>
      <c r="B375" s="1">
        <v>40570</v>
      </c>
      <c r="C375" s="1">
        <v>40572</v>
      </c>
      <c r="D375" t="s">
        <v>18</v>
      </c>
      <c r="E375" t="s">
        <v>610</v>
      </c>
      <c r="F375" t="s">
        <v>3</v>
      </c>
      <c r="G375" t="s">
        <v>611</v>
      </c>
      <c r="H375" t="s">
        <v>106</v>
      </c>
      <c r="I375" t="s">
        <v>75</v>
      </c>
      <c r="J375" t="s">
        <v>30</v>
      </c>
      <c r="K375" t="s">
        <v>7</v>
      </c>
      <c r="L375" t="s">
        <v>137</v>
      </c>
      <c r="M375">
        <v>115</v>
      </c>
      <c r="N375">
        <v>13</v>
      </c>
      <c r="O375">
        <v>0</v>
      </c>
      <c r="P375">
        <v>10.14</v>
      </c>
      <c r="Q375">
        <v>24.52</v>
      </c>
      <c r="R375" t="s">
        <v>45</v>
      </c>
      <c r="S375">
        <f>Sheet1[[#This Row],[Ship_date]]-Sheet1[[#This Row],[Order_date]]</f>
        <v>2</v>
      </c>
      <c r="T375">
        <f>Sheet1[[#This Row],[Quantity]]*Sheet1[[#This Row],[Sales]]</f>
        <v>1495</v>
      </c>
      <c r="U375">
        <f>Sheet1[[#This Row],[Total Sales]]*Sheet1[[#This Row],[Discount]]</f>
        <v>0</v>
      </c>
      <c r="V375" s="4">
        <f>Sheet1[[#This Row],[Total Sales]]-Sheet1[[#This Row],[Total Sales]]*Sheet1[[#This Row],[Discount]]</f>
        <v>1495</v>
      </c>
      <c r="W375" s="4">
        <f>Sheet1[[#This Row],[Quantity]]*Sheet1[[#This Row],[Profit]]</f>
        <v>131.82</v>
      </c>
      <c r="X375" s="5">
        <f>Sheet1[[#This Row],[Total Profit]]/Sheet1[[#This Row],[Sales After Discount]]</f>
        <v>8.8173913043478255E-2</v>
      </c>
      <c r="Y375" s="4">
        <f>Sheet1[[#This Row],[Shipping_cost]]*Sheet1[[#This Row],[Quantity]]</f>
        <v>318.76</v>
      </c>
      <c r="Z375" s="4">
        <f>Sheet1[[#This Row],[Total Profit]]-Sheet1[[#This Row],[Total Shipping Cost]]</f>
        <v>-186.94</v>
      </c>
      <c r="AA375" s="4" t="str">
        <f>IF(Sheet1[[#This Row],[Net Profit]]&gt;0,"Profit","Loss")</f>
        <v>Loss</v>
      </c>
    </row>
    <row r="376" spans="1:27" x14ac:dyDescent="0.25">
      <c r="A376" t="s">
        <v>612</v>
      </c>
      <c r="B376" s="1">
        <v>40570</v>
      </c>
      <c r="C376" s="1">
        <v>40575</v>
      </c>
      <c r="D376" t="s">
        <v>1</v>
      </c>
      <c r="E376" t="s">
        <v>392</v>
      </c>
      <c r="F376" t="s">
        <v>26</v>
      </c>
      <c r="G376" t="s">
        <v>294</v>
      </c>
      <c r="H376" t="s">
        <v>126</v>
      </c>
      <c r="I376" t="s">
        <v>127</v>
      </c>
      <c r="J376" t="s">
        <v>102</v>
      </c>
      <c r="K376" t="s">
        <v>7</v>
      </c>
      <c r="L376" t="s">
        <v>8</v>
      </c>
      <c r="M376">
        <v>490</v>
      </c>
      <c r="N376">
        <v>8</v>
      </c>
      <c r="O376">
        <v>0</v>
      </c>
      <c r="P376">
        <v>0</v>
      </c>
      <c r="Q376">
        <v>21.48</v>
      </c>
      <c r="R376" t="s">
        <v>9</v>
      </c>
      <c r="S376">
        <f>Sheet1[[#This Row],[Ship_date]]-Sheet1[[#This Row],[Order_date]]</f>
        <v>5</v>
      </c>
      <c r="T376">
        <f>Sheet1[[#This Row],[Quantity]]*Sheet1[[#This Row],[Sales]]</f>
        <v>3920</v>
      </c>
      <c r="U376">
        <f>Sheet1[[#This Row],[Total Sales]]*Sheet1[[#This Row],[Discount]]</f>
        <v>0</v>
      </c>
      <c r="V376" s="4">
        <f>Sheet1[[#This Row],[Total Sales]]-Sheet1[[#This Row],[Total Sales]]*Sheet1[[#This Row],[Discount]]</f>
        <v>3920</v>
      </c>
      <c r="W376" s="4">
        <f>Sheet1[[#This Row],[Quantity]]*Sheet1[[#This Row],[Profit]]</f>
        <v>0</v>
      </c>
      <c r="X376" s="5">
        <f>Sheet1[[#This Row],[Total Profit]]/Sheet1[[#This Row],[Sales After Discount]]</f>
        <v>0</v>
      </c>
      <c r="Y376" s="4">
        <f>Sheet1[[#This Row],[Shipping_cost]]*Sheet1[[#This Row],[Quantity]]</f>
        <v>171.84</v>
      </c>
      <c r="Z376" s="4">
        <f>Sheet1[[#This Row],[Total Profit]]-Sheet1[[#This Row],[Total Shipping Cost]]</f>
        <v>-171.84</v>
      </c>
      <c r="AA376" s="4" t="str">
        <f>IF(Sheet1[[#This Row],[Net Profit]]&gt;0,"Profit","Loss")</f>
        <v>Loss</v>
      </c>
    </row>
    <row r="377" spans="1:27" x14ac:dyDescent="0.25">
      <c r="A377" t="s">
        <v>612</v>
      </c>
      <c r="B377" s="1">
        <v>40570</v>
      </c>
      <c r="C377" s="1">
        <v>40575</v>
      </c>
      <c r="D377" t="s">
        <v>1</v>
      </c>
      <c r="E377" t="s">
        <v>392</v>
      </c>
      <c r="F377" t="s">
        <v>26</v>
      </c>
      <c r="G377" t="s">
        <v>294</v>
      </c>
      <c r="H377" t="s">
        <v>126</v>
      </c>
      <c r="I377" t="s">
        <v>127</v>
      </c>
      <c r="J377" t="s">
        <v>102</v>
      </c>
      <c r="K377" t="s">
        <v>38</v>
      </c>
      <c r="L377" t="s">
        <v>77</v>
      </c>
      <c r="M377">
        <v>188</v>
      </c>
      <c r="N377">
        <v>2</v>
      </c>
      <c r="O377">
        <v>0</v>
      </c>
      <c r="P377">
        <v>52.634399999999999</v>
      </c>
      <c r="Q377">
        <v>17.66</v>
      </c>
      <c r="R377" t="s">
        <v>9</v>
      </c>
      <c r="S377">
        <f>Sheet1[[#This Row],[Ship_date]]-Sheet1[[#This Row],[Order_date]]</f>
        <v>5</v>
      </c>
      <c r="T377">
        <f>Sheet1[[#This Row],[Quantity]]*Sheet1[[#This Row],[Sales]]</f>
        <v>376</v>
      </c>
      <c r="U377">
        <f>Sheet1[[#This Row],[Total Sales]]*Sheet1[[#This Row],[Discount]]</f>
        <v>0</v>
      </c>
      <c r="V377" s="4">
        <f>Sheet1[[#This Row],[Total Sales]]-Sheet1[[#This Row],[Total Sales]]*Sheet1[[#This Row],[Discount]]</f>
        <v>376</v>
      </c>
      <c r="W377" s="4">
        <f>Sheet1[[#This Row],[Quantity]]*Sheet1[[#This Row],[Profit]]</f>
        <v>105.2688</v>
      </c>
      <c r="X377" s="5">
        <f>Sheet1[[#This Row],[Total Profit]]/Sheet1[[#This Row],[Sales After Discount]]</f>
        <v>0.27997021276595746</v>
      </c>
      <c r="Y377" s="4">
        <f>Sheet1[[#This Row],[Shipping_cost]]*Sheet1[[#This Row],[Quantity]]</f>
        <v>35.32</v>
      </c>
      <c r="Z377" s="4">
        <f>Sheet1[[#This Row],[Total Profit]]-Sheet1[[#This Row],[Total Shipping Cost]]</f>
        <v>69.948800000000006</v>
      </c>
      <c r="AA377" s="4" t="str">
        <f>IF(Sheet1[[#This Row],[Net Profit]]&gt;0,"Profit","Loss")</f>
        <v>Profit</v>
      </c>
    </row>
    <row r="378" spans="1:27" x14ac:dyDescent="0.25">
      <c r="A378" t="s">
        <v>613</v>
      </c>
      <c r="B378" s="1">
        <v>40570</v>
      </c>
      <c r="C378" s="1">
        <v>40575</v>
      </c>
      <c r="D378" t="s">
        <v>1</v>
      </c>
      <c r="E378" t="s">
        <v>42</v>
      </c>
      <c r="F378" t="s">
        <v>43</v>
      </c>
      <c r="G378" t="s">
        <v>614</v>
      </c>
      <c r="H378" t="s">
        <v>169</v>
      </c>
      <c r="I378" t="s">
        <v>14</v>
      </c>
      <c r="J378" t="s">
        <v>132</v>
      </c>
      <c r="K378" t="s">
        <v>38</v>
      </c>
      <c r="L378" t="s">
        <v>39</v>
      </c>
      <c r="M378">
        <v>367</v>
      </c>
      <c r="N378">
        <v>7</v>
      </c>
      <c r="O378">
        <v>0</v>
      </c>
      <c r="P378">
        <v>106.26</v>
      </c>
      <c r="Q378">
        <v>17.61</v>
      </c>
      <c r="R378" t="s">
        <v>9</v>
      </c>
      <c r="S378">
        <f>Sheet1[[#This Row],[Ship_date]]-Sheet1[[#This Row],[Order_date]]</f>
        <v>5</v>
      </c>
      <c r="T378">
        <f>Sheet1[[#This Row],[Quantity]]*Sheet1[[#This Row],[Sales]]</f>
        <v>2569</v>
      </c>
      <c r="U378">
        <f>Sheet1[[#This Row],[Total Sales]]*Sheet1[[#This Row],[Discount]]</f>
        <v>0</v>
      </c>
      <c r="V378" s="4">
        <f>Sheet1[[#This Row],[Total Sales]]-Sheet1[[#This Row],[Total Sales]]*Sheet1[[#This Row],[Discount]]</f>
        <v>2569</v>
      </c>
      <c r="W378" s="4">
        <f>Sheet1[[#This Row],[Quantity]]*Sheet1[[#This Row],[Profit]]</f>
        <v>743.82</v>
      </c>
      <c r="X378" s="5">
        <f>Sheet1[[#This Row],[Total Profit]]/Sheet1[[#This Row],[Sales After Discount]]</f>
        <v>0.28953678474114442</v>
      </c>
      <c r="Y378" s="4">
        <f>Sheet1[[#This Row],[Shipping_cost]]*Sheet1[[#This Row],[Quantity]]</f>
        <v>123.27</v>
      </c>
      <c r="Z378" s="4">
        <f>Sheet1[[#This Row],[Total Profit]]-Sheet1[[#This Row],[Total Shipping Cost]]</f>
        <v>620.55000000000007</v>
      </c>
      <c r="AA378" s="4" t="str">
        <f>IF(Sheet1[[#This Row],[Net Profit]]&gt;0,"Profit","Loss")</f>
        <v>Profit</v>
      </c>
    </row>
    <row r="379" spans="1:27" x14ac:dyDescent="0.25">
      <c r="A379" t="s">
        <v>615</v>
      </c>
      <c r="B379" s="1">
        <v>40570</v>
      </c>
      <c r="C379" s="1">
        <v>40572</v>
      </c>
      <c r="D379" t="s">
        <v>18</v>
      </c>
      <c r="E379" t="s">
        <v>616</v>
      </c>
      <c r="F379" t="s">
        <v>43</v>
      </c>
      <c r="G379" t="s">
        <v>617</v>
      </c>
      <c r="H379" t="s">
        <v>618</v>
      </c>
      <c r="I379" t="s">
        <v>6</v>
      </c>
      <c r="J379" t="s">
        <v>6</v>
      </c>
      <c r="K379" t="s">
        <v>7</v>
      </c>
      <c r="L379" t="s">
        <v>16</v>
      </c>
      <c r="M379">
        <v>76</v>
      </c>
      <c r="N379">
        <v>2</v>
      </c>
      <c r="O379">
        <v>0</v>
      </c>
      <c r="P379">
        <v>20.58</v>
      </c>
      <c r="Q379">
        <v>16.59</v>
      </c>
      <c r="R379" t="s">
        <v>45</v>
      </c>
      <c r="S379">
        <f>Sheet1[[#This Row],[Ship_date]]-Sheet1[[#This Row],[Order_date]]</f>
        <v>2</v>
      </c>
      <c r="T379">
        <f>Sheet1[[#This Row],[Quantity]]*Sheet1[[#This Row],[Sales]]</f>
        <v>152</v>
      </c>
      <c r="U379">
        <f>Sheet1[[#This Row],[Total Sales]]*Sheet1[[#This Row],[Discount]]</f>
        <v>0</v>
      </c>
      <c r="V379" s="4">
        <f>Sheet1[[#This Row],[Total Sales]]-Sheet1[[#This Row],[Total Sales]]*Sheet1[[#This Row],[Discount]]</f>
        <v>152</v>
      </c>
      <c r="W379" s="4">
        <f>Sheet1[[#This Row],[Quantity]]*Sheet1[[#This Row],[Profit]]</f>
        <v>41.16</v>
      </c>
      <c r="X379" s="5">
        <f>Sheet1[[#This Row],[Total Profit]]/Sheet1[[#This Row],[Sales After Discount]]</f>
        <v>0.27078947368421052</v>
      </c>
      <c r="Y379" s="4">
        <f>Sheet1[[#This Row],[Shipping_cost]]*Sheet1[[#This Row],[Quantity]]</f>
        <v>33.18</v>
      </c>
      <c r="Z379" s="4">
        <f>Sheet1[[#This Row],[Total Profit]]-Sheet1[[#This Row],[Total Shipping Cost]]</f>
        <v>7.9799999999999969</v>
      </c>
      <c r="AA379" s="4" t="str">
        <f>IF(Sheet1[[#This Row],[Net Profit]]&gt;0,"Profit","Loss")</f>
        <v>Profit</v>
      </c>
    </row>
    <row r="380" spans="1:27" x14ac:dyDescent="0.25">
      <c r="A380" t="s">
        <v>612</v>
      </c>
      <c r="B380" s="1">
        <v>40570</v>
      </c>
      <c r="C380" s="1">
        <v>40575</v>
      </c>
      <c r="D380" t="s">
        <v>1</v>
      </c>
      <c r="E380" t="s">
        <v>392</v>
      </c>
      <c r="F380" t="s">
        <v>26</v>
      </c>
      <c r="G380" t="s">
        <v>294</v>
      </c>
      <c r="H380" t="s">
        <v>126</v>
      </c>
      <c r="I380" t="s">
        <v>127</v>
      </c>
      <c r="J380" t="s">
        <v>102</v>
      </c>
      <c r="K380" t="s">
        <v>38</v>
      </c>
      <c r="L380" t="s">
        <v>77</v>
      </c>
      <c r="M380">
        <v>155</v>
      </c>
      <c r="N380">
        <v>13</v>
      </c>
      <c r="O380">
        <v>0</v>
      </c>
      <c r="P380">
        <v>0</v>
      </c>
      <c r="Q380">
        <v>11.95</v>
      </c>
      <c r="R380" t="s">
        <v>9</v>
      </c>
      <c r="S380">
        <f>Sheet1[[#This Row],[Ship_date]]-Sheet1[[#This Row],[Order_date]]</f>
        <v>5</v>
      </c>
      <c r="T380">
        <f>Sheet1[[#This Row],[Quantity]]*Sheet1[[#This Row],[Sales]]</f>
        <v>2015</v>
      </c>
      <c r="U380">
        <f>Sheet1[[#This Row],[Total Sales]]*Sheet1[[#This Row],[Discount]]</f>
        <v>0</v>
      </c>
      <c r="V380" s="4">
        <f>Sheet1[[#This Row],[Total Sales]]-Sheet1[[#This Row],[Total Sales]]*Sheet1[[#This Row],[Discount]]</f>
        <v>2015</v>
      </c>
      <c r="W380" s="4">
        <f>Sheet1[[#This Row],[Quantity]]*Sheet1[[#This Row],[Profit]]</f>
        <v>0</v>
      </c>
      <c r="X380" s="5">
        <f>Sheet1[[#This Row],[Total Profit]]/Sheet1[[#This Row],[Sales After Discount]]</f>
        <v>0</v>
      </c>
      <c r="Y380" s="4">
        <f>Sheet1[[#This Row],[Shipping_cost]]*Sheet1[[#This Row],[Quantity]]</f>
        <v>155.35</v>
      </c>
      <c r="Z380" s="4">
        <f>Sheet1[[#This Row],[Total Profit]]-Sheet1[[#This Row],[Total Shipping Cost]]</f>
        <v>-155.35</v>
      </c>
      <c r="AA380" s="4" t="str">
        <f>IF(Sheet1[[#This Row],[Net Profit]]&gt;0,"Profit","Loss")</f>
        <v>Loss</v>
      </c>
    </row>
    <row r="381" spans="1:27" x14ac:dyDescent="0.25">
      <c r="A381" t="s">
        <v>619</v>
      </c>
      <c r="B381" s="1">
        <v>40570</v>
      </c>
      <c r="C381" s="1">
        <v>40575</v>
      </c>
      <c r="D381" t="s">
        <v>1</v>
      </c>
      <c r="E381" t="s">
        <v>620</v>
      </c>
      <c r="F381" t="s">
        <v>3</v>
      </c>
      <c r="G381" t="s">
        <v>621</v>
      </c>
      <c r="H381" t="s">
        <v>622</v>
      </c>
      <c r="I381" t="s">
        <v>22</v>
      </c>
      <c r="J381" t="s">
        <v>22</v>
      </c>
      <c r="K381" t="s">
        <v>7</v>
      </c>
      <c r="L381" t="s">
        <v>8</v>
      </c>
      <c r="M381">
        <v>230</v>
      </c>
      <c r="N381">
        <v>4</v>
      </c>
      <c r="O381">
        <v>0</v>
      </c>
      <c r="P381">
        <v>15.96</v>
      </c>
      <c r="Q381">
        <v>10.73</v>
      </c>
      <c r="R381" t="s">
        <v>9</v>
      </c>
      <c r="S381">
        <f>Sheet1[[#This Row],[Ship_date]]-Sheet1[[#This Row],[Order_date]]</f>
        <v>5</v>
      </c>
      <c r="T381">
        <f>Sheet1[[#This Row],[Quantity]]*Sheet1[[#This Row],[Sales]]</f>
        <v>920</v>
      </c>
      <c r="U381">
        <f>Sheet1[[#This Row],[Total Sales]]*Sheet1[[#This Row],[Discount]]</f>
        <v>0</v>
      </c>
      <c r="V381" s="4">
        <f>Sheet1[[#This Row],[Total Sales]]-Sheet1[[#This Row],[Total Sales]]*Sheet1[[#This Row],[Discount]]</f>
        <v>920</v>
      </c>
      <c r="W381" s="4">
        <f>Sheet1[[#This Row],[Quantity]]*Sheet1[[#This Row],[Profit]]</f>
        <v>63.84</v>
      </c>
      <c r="X381" s="5">
        <f>Sheet1[[#This Row],[Total Profit]]/Sheet1[[#This Row],[Sales After Discount]]</f>
        <v>6.9391304347826088E-2</v>
      </c>
      <c r="Y381" s="4">
        <f>Sheet1[[#This Row],[Shipping_cost]]*Sheet1[[#This Row],[Quantity]]</f>
        <v>42.92</v>
      </c>
      <c r="Z381" s="4">
        <f>Sheet1[[#This Row],[Total Profit]]-Sheet1[[#This Row],[Total Shipping Cost]]</f>
        <v>20.92</v>
      </c>
      <c r="AA381" s="4" t="str">
        <f>IF(Sheet1[[#This Row],[Net Profit]]&gt;0,"Profit","Loss")</f>
        <v>Profit</v>
      </c>
    </row>
    <row r="382" spans="1:27" x14ac:dyDescent="0.25">
      <c r="A382" t="s">
        <v>609</v>
      </c>
      <c r="B382" s="1">
        <v>40570</v>
      </c>
      <c r="C382" s="1">
        <v>40572</v>
      </c>
      <c r="D382" t="s">
        <v>18</v>
      </c>
      <c r="E382" t="s">
        <v>610</v>
      </c>
      <c r="F382" t="s">
        <v>3</v>
      </c>
      <c r="G382" t="s">
        <v>611</v>
      </c>
      <c r="H382" t="s">
        <v>106</v>
      </c>
      <c r="I382" t="s">
        <v>75</v>
      </c>
      <c r="J382" t="s">
        <v>30</v>
      </c>
      <c r="K382" t="s">
        <v>7</v>
      </c>
      <c r="L382" t="s">
        <v>16</v>
      </c>
      <c r="M382">
        <v>31</v>
      </c>
      <c r="N382">
        <v>2</v>
      </c>
      <c r="O382">
        <v>0</v>
      </c>
      <c r="P382">
        <v>13.8</v>
      </c>
      <c r="Q382">
        <v>6.7</v>
      </c>
      <c r="R382" t="s">
        <v>45</v>
      </c>
      <c r="S382">
        <f>Sheet1[[#This Row],[Ship_date]]-Sheet1[[#This Row],[Order_date]]</f>
        <v>2</v>
      </c>
      <c r="T382">
        <f>Sheet1[[#This Row],[Quantity]]*Sheet1[[#This Row],[Sales]]</f>
        <v>62</v>
      </c>
      <c r="U382">
        <f>Sheet1[[#This Row],[Total Sales]]*Sheet1[[#This Row],[Discount]]</f>
        <v>0</v>
      </c>
      <c r="V382" s="4">
        <f>Sheet1[[#This Row],[Total Sales]]-Sheet1[[#This Row],[Total Sales]]*Sheet1[[#This Row],[Discount]]</f>
        <v>62</v>
      </c>
      <c r="W382" s="4">
        <f>Sheet1[[#This Row],[Quantity]]*Sheet1[[#This Row],[Profit]]</f>
        <v>27.6</v>
      </c>
      <c r="X382" s="5">
        <f>Sheet1[[#This Row],[Total Profit]]/Sheet1[[#This Row],[Sales After Discount]]</f>
        <v>0.44516129032258067</v>
      </c>
      <c r="Y382" s="4">
        <f>Sheet1[[#This Row],[Shipping_cost]]*Sheet1[[#This Row],[Quantity]]</f>
        <v>13.4</v>
      </c>
      <c r="Z382" s="4">
        <f>Sheet1[[#This Row],[Total Profit]]-Sheet1[[#This Row],[Total Shipping Cost]]</f>
        <v>14.200000000000001</v>
      </c>
      <c r="AA382" s="4" t="str">
        <f>IF(Sheet1[[#This Row],[Net Profit]]&gt;0,"Profit","Loss")</f>
        <v>Profit</v>
      </c>
    </row>
    <row r="383" spans="1:27" x14ac:dyDescent="0.25">
      <c r="A383" t="s">
        <v>612</v>
      </c>
      <c r="B383" s="1">
        <v>40570</v>
      </c>
      <c r="C383" s="1">
        <v>40575</v>
      </c>
      <c r="D383" t="s">
        <v>1</v>
      </c>
      <c r="E383" t="s">
        <v>392</v>
      </c>
      <c r="F383" t="s">
        <v>26</v>
      </c>
      <c r="G383" t="s">
        <v>294</v>
      </c>
      <c r="H383" t="s">
        <v>126</v>
      </c>
      <c r="I383" t="s">
        <v>127</v>
      </c>
      <c r="J383" t="s">
        <v>102</v>
      </c>
      <c r="K383" t="s">
        <v>32</v>
      </c>
      <c r="L383" t="s">
        <v>33</v>
      </c>
      <c r="M383">
        <v>63</v>
      </c>
      <c r="N383">
        <v>3</v>
      </c>
      <c r="O383">
        <v>0</v>
      </c>
      <c r="P383">
        <v>30.7818</v>
      </c>
      <c r="Q383">
        <v>6.15</v>
      </c>
      <c r="R383" t="s">
        <v>9</v>
      </c>
      <c r="S383">
        <f>Sheet1[[#This Row],[Ship_date]]-Sheet1[[#This Row],[Order_date]]</f>
        <v>5</v>
      </c>
      <c r="T383">
        <f>Sheet1[[#This Row],[Quantity]]*Sheet1[[#This Row],[Sales]]</f>
        <v>189</v>
      </c>
      <c r="U383">
        <f>Sheet1[[#This Row],[Total Sales]]*Sheet1[[#This Row],[Discount]]</f>
        <v>0</v>
      </c>
      <c r="V383" s="4">
        <f>Sheet1[[#This Row],[Total Sales]]-Sheet1[[#This Row],[Total Sales]]*Sheet1[[#This Row],[Discount]]</f>
        <v>189</v>
      </c>
      <c r="W383" s="4">
        <f>Sheet1[[#This Row],[Quantity]]*Sheet1[[#This Row],[Profit]]</f>
        <v>92.345399999999998</v>
      </c>
      <c r="X383" s="5">
        <f>Sheet1[[#This Row],[Total Profit]]/Sheet1[[#This Row],[Sales After Discount]]</f>
        <v>0.48859999999999998</v>
      </c>
      <c r="Y383" s="4">
        <f>Sheet1[[#This Row],[Shipping_cost]]*Sheet1[[#This Row],[Quantity]]</f>
        <v>18.450000000000003</v>
      </c>
      <c r="Z383" s="4">
        <f>Sheet1[[#This Row],[Total Profit]]-Sheet1[[#This Row],[Total Shipping Cost]]</f>
        <v>73.895399999999995</v>
      </c>
      <c r="AA383" s="4" t="str">
        <f>IF(Sheet1[[#This Row],[Net Profit]]&gt;0,"Profit","Loss")</f>
        <v>Profit</v>
      </c>
    </row>
    <row r="384" spans="1:27" x14ac:dyDescent="0.25">
      <c r="A384" t="s">
        <v>623</v>
      </c>
      <c r="B384" s="1">
        <v>40570</v>
      </c>
      <c r="C384" s="1">
        <v>40576</v>
      </c>
      <c r="D384" t="s">
        <v>1</v>
      </c>
      <c r="E384" t="s">
        <v>624</v>
      </c>
      <c r="F384" t="s">
        <v>26</v>
      </c>
      <c r="G384" t="s">
        <v>625</v>
      </c>
      <c r="H384" t="s">
        <v>157</v>
      </c>
      <c r="I384" t="s">
        <v>14</v>
      </c>
      <c r="J384" t="s">
        <v>61</v>
      </c>
      <c r="K384" t="s">
        <v>7</v>
      </c>
      <c r="L384" t="s">
        <v>96</v>
      </c>
      <c r="M384">
        <v>82</v>
      </c>
      <c r="N384">
        <v>13</v>
      </c>
      <c r="O384">
        <v>0.47</v>
      </c>
      <c r="P384">
        <v>-17.3901</v>
      </c>
      <c r="Q384">
        <v>5.67</v>
      </c>
      <c r="R384" t="s">
        <v>9</v>
      </c>
      <c r="S384">
        <f>Sheet1[[#This Row],[Ship_date]]-Sheet1[[#This Row],[Order_date]]</f>
        <v>6</v>
      </c>
      <c r="T384">
        <f>Sheet1[[#This Row],[Quantity]]*Sheet1[[#This Row],[Sales]]</f>
        <v>1066</v>
      </c>
      <c r="U384">
        <f>Sheet1[[#This Row],[Total Sales]]*Sheet1[[#This Row],[Discount]]</f>
        <v>501.02</v>
      </c>
      <c r="V384" s="4">
        <f>Sheet1[[#This Row],[Total Sales]]-Sheet1[[#This Row],[Total Sales]]*Sheet1[[#This Row],[Discount]]</f>
        <v>564.98</v>
      </c>
      <c r="W384" s="4">
        <f>Sheet1[[#This Row],[Quantity]]*Sheet1[[#This Row],[Profit]]</f>
        <v>-226.07130000000001</v>
      </c>
      <c r="X384" s="5">
        <f>Sheet1[[#This Row],[Total Profit]]/Sheet1[[#This Row],[Sales After Discount]]</f>
        <v>-0.40014035895075933</v>
      </c>
      <c r="Y384" s="4">
        <f>Sheet1[[#This Row],[Shipping_cost]]*Sheet1[[#This Row],[Quantity]]</f>
        <v>73.709999999999994</v>
      </c>
      <c r="Z384" s="4">
        <f>Sheet1[[#This Row],[Total Profit]]-Sheet1[[#This Row],[Total Shipping Cost]]</f>
        <v>-299.78129999999999</v>
      </c>
      <c r="AA384" s="4" t="str">
        <f>IF(Sheet1[[#This Row],[Net Profit]]&gt;0,"Profit","Loss")</f>
        <v>Loss</v>
      </c>
    </row>
    <row r="385" spans="1:27" x14ac:dyDescent="0.25">
      <c r="A385" t="s">
        <v>626</v>
      </c>
      <c r="B385" s="1">
        <v>40570</v>
      </c>
      <c r="C385" s="1">
        <v>40572</v>
      </c>
      <c r="D385" t="s">
        <v>142</v>
      </c>
      <c r="E385" t="s">
        <v>627</v>
      </c>
      <c r="F385" t="s">
        <v>3</v>
      </c>
      <c r="G385" t="s">
        <v>628</v>
      </c>
      <c r="H385" t="s">
        <v>580</v>
      </c>
      <c r="I385" t="s">
        <v>6</v>
      </c>
      <c r="J385" t="s">
        <v>6</v>
      </c>
      <c r="K385" t="s">
        <v>32</v>
      </c>
      <c r="L385" t="s">
        <v>33</v>
      </c>
      <c r="M385">
        <v>51</v>
      </c>
      <c r="N385">
        <v>2</v>
      </c>
      <c r="O385">
        <v>0</v>
      </c>
      <c r="P385">
        <v>22.8</v>
      </c>
      <c r="Q385">
        <v>4.24</v>
      </c>
      <c r="R385" t="s">
        <v>23</v>
      </c>
      <c r="S385">
        <f>Sheet1[[#This Row],[Ship_date]]-Sheet1[[#This Row],[Order_date]]</f>
        <v>2</v>
      </c>
      <c r="T385">
        <f>Sheet1[[#This Row],[Quantity]]*Sheet1[[#This Row],[Sales]]</f>
        <v>102</v>
      </c>
      <c r="U385">
        <f>Sheet1[[#This Row],[Total Sales]]*Sheet1[[#This Row],[Discount]]</f>
        <v>0</v>
      </c>
      <c r="V385" s="4">
        <f>Sheet1[[#This Row],[Total Sales]]-Sheet1[[#This Row],[Total Sales]]*Sheet1[[#This Row],[Discount]]</f>
        <v>102</v>
      </c>
      <c r="W385" s="4">
        <f>Sheet1[[#This Row],[Quantity]]*Sheet1[[#This Row],[Profit]]</f>
        <v>45.6</v>
      </c>
      <c r="X385" s="5">
        <f>Sheet1[[#This Row],[Total Profit]]/Sheet1[[#This Row],[Sales After Discount]]</f>
        <v>0.44705882352941179</v>
      </c>
      <c r="Y385" s="4">
        <f>Sheet1[[#This Row],[Shipping_cost]]*Sheet1[[#This Row],[Quantity]]</f>
        <v>8.48</v>
      </c>
      <c r="Z385" s="4">
        <f>Sheet1[[#This Row],[Total Profit]]-Sheet1[[#This Row],[Total Shipping Cost]]</f>
        <v>37.120000000000005</v>
      </c>
      <c r="AA385" s="4" t="str">
        <f>IF(Sheet1[[#This Row],[Net Profit]]&gt;0,"Profit","Loss")</f>
        <v>Profit</v>
      </c>
    </row>
    <row r="386" spans="1:27" x14ac:dyDescent="0.25">
      <c r="A386" t="s">
        <v>626</v>
      </c>
      <c r="B386" s="1">
        <v>40570</v>
      </c>
      <c r="C386" s="1">
        <v>40572</v>
      </c>
      <c r="D386" t="s">
        <v>142</v>
      </c>
      <c r="E386" t="s">
        <v>627</v>
      </c>
      <c r="F386" t="s">
        <v>3</v>
      </c>
      <c r="G386" t="s">
        <v>628</v>
      </c>
      <c r="H386" t="s">
        <v>580</v>
      </c>
      <c r="I386" t="s">
        <v>6</v>
      </c>
      <c r="J386" t="s">
        <v>6</v>
      </c>
      <c r="K386" t="s">
        <v>7</v>
      </c>
      <c r="L386" t="s">
        <v>91</v>
      </c>
      <c r="M386">
        <v>20</v>
      </c>
      <c r="N386">
        <v>1</v>
      </c>
      <c r="O386">
        <v>0</v>
      </c>
      <c r="P386">
        <v>5.22</v>
      </c>
      <c r="Q386">
        <v>3.73</v>
      </c>
      <c r="R386" t="s">
        <v>23</v>
      </c>
      <c r="S386">
        <f>Sheet1[[#This Row],[Ship_date]]-Sheet1[[#This Row],[Order_date]]</f>
        <v>2</v>
      </c>
      <c r="T386">
        <f>Sheet1[[#This Row],[Quantity]]*Sheet1[[#This Row],[Sales]]</f>
        <v>20</v>
      </c>
      <c r="U386">
        <f>Sheet1[[#This Row],[Total Sales]]*Sheet1[[#This Row],[Discount]]</f>
        <v>0</v>
      </c>
      <c r="V386" s="4">
        <f>Sheet1[[#This Row],[Total Sales]]-Sheet1[[#This Row],[Total Sales]]*Sheet1[[#This Row],[Discount]]</f>
        <v>20</v>
      </c>
      <c r="W386" s="4">
        <f>Sheet1[[#This Row],[Quantity]]*Sheet1[[#This Row],[Profit]]</f>
        <v>5.22</v>
      </c>
      <c r="X386" s="5">
        <f>Sheet1[[#This Row],[Total Profit]]/Sheet1[[#This Row],[Sales After Discount]]</f>
        <v>0.26100000000000001</v>
      </c>
      <c r="Y386" s="4">
        <f>Sheet1[[#This Row],[Shipping_cost]]*Sheet1[[#This Row],[Quantity]]</f>
        <v>3.73</v>
      </c>
      <c r="Z386" s="4">
        <f>Sheet1[[#This Row],[Total Profit]]-Sheet1[[#This Row],[Total Shipping Cost]]</f>
        <v>1.4899999999999998</v>
      </c>
      <c r="AA386" s="4" t="str">
        <f>IF(Sheet1[[#This Row],[Net Profit]]&gt;0,"Profit","Loss")</f>
        <v>Profit</v>
      </c>
    </row>
    <row r="387" spans="1:27" x14ac:dyDescent="0.25">
      <c r="A387" t="s">
        <v>626</v>
      </c>
      <c r="B387" s="1">
        <v>40570</v>
      </c>
      <c r="C387" s="1">
        <v>40572</v>
      </c>
      <c r="D387" t="s">
        <v>142</v>
      </c>
      <c r="E387" t="s">
        <v>627</v>
      </c>
      <c r="F387" t="s">
        <v>3</v>
      </c>
      <c r="G387" t="s">
        <v>628</v>
      </c>
      <c r="H387" t="s">
        <v>580</v>
      </c>
      <c r="I387" t="s">
        <v>6</v>
      </c>
      <c r="J387" t="s">
        <v>6</v>
      </c>
      <c r="K387" t="s">
        <v>7</v>
      </c>
      <c r="L387" t="s">
        <v>91</v>
      </c>
      <c r="M387">
        <v>17</v>
      </c>
      <c r="N387">
        <v>1</v>
      </c>
      <c r="O387">
        <v>0</v>
      </c>
      <c r="P387">
        <v>2.46</v>
      </c>
      <c r="Q387">
        <v>3.44</v>
      </c>
      <c r="R387" t="s">
        <v>23</v>
      </c>
      <c r="S387">
        <f>Sheet1[[#This Row],[Ship_date]]-Sheet1[[#This Row],[Order_date]]</f>
        <v>2</v>
      </c>
      <c r="T387">
        <f>Sheet1[[#This Row],[Quantity]]*Sheet1[[#This Row],[Sales]]</f>
        <v>17</v>
      </c>
      <c r="U387">
        <f>Sheet1[[#This Row],[Total Sales]]*Sheet1[[#This Row],[Discount]]</f>
        <v>0</v>
      </c>
      <c r="V387" s="4">
        <f>Sheet1[[#This Row],[Total Sales]]-Sheet1[[#This Row],[Total Sales]]*Sheet1[[#This Row],[Discount]]</f>
        <v>17</v>
      </c>
      <c r="W387" s="4">
        <f>Sheet1[[#This Row],[Quantity]]*Sheet1[[#This Row],[Profit]]</f>
        <v>2.46</v>
      </c>
      <c r="X387" s="5">
        <f>Sheet1[[#This Row],[Total Profit]]/Sheet1[[#This Row],[Sales After Discount]]</f>
        <v>0.14470588235294118</v>
      </c>
      <c r="Y387" s="4">
        <f>Sheet1[[#This Row],[Shipping_cost]]*Sheet1[[#This Row],[Quantity]]</f>
        <v>3.44</v>
      </c>
      <c r="Z387" s="4">
        <f>Sheet1[[#This Row],[Total Profit]]-Sheet1[[#This Row],[Total Shipping Cost]]</f>
        <v>-0.98</v>
      </c>
      <c r="AA387" s="4" t="str">
        <f>IF(Sheet1[[#This Row],[Net Profit]]&gt;0,"Profit","Loss")</f>
        <v>Loss</v>
      </c>
    </row>
    <row r="388" spans="1:27" x14ac:dyDescent="0.25">
      <c r="A388" t="s">
        <v>629</v>
      </c>
      <c r="B388" s="1">
        <v>40570</v>
      </c>
      <c r="C388" s="1">
        <v>40575</v>
      </c>
      <c r="D388" t="s">
        <v>1</v>
      </c>
      <c r="E388" t="s">
        <v>254</v>
      </c>
      <c r="F388" t="s">
        <v>3</v>
      </c>
      <c r="G388" t="s">
        <v>630</v>
      </c>
      <c r="H388" t="s">
        <v>169</v>
      </c>
      <c r="I388" t="s">
        <v>14</v>
      </c>
      <c r="J388" t="s">
        <v>132</v>
      </c>
      <c r="K388" t="s">
        <v>7</v>
      </c>
      <c r="L388" t="s">
        <v>96</v>
      </c>
      <c r="M388">
        <v>40</v>
      </c>
      <c r="N388">
        <v>2</v>
      </c>
      <c r="O388">
        <v>0</v>
      </c>
      <c r="P388">
        <v>15.18</v>
      </c>
      <c r="Q388">
        <v>2.6</v>
      </c>
      <c r="R388" t="s">
        <v>9</v>
      </c>
      <c r="S388">
        <f>Sheet1[[#This Row],[Ship_date]]-Sheet1[[#This Row],[Order_date]]</f>
        <v>5</v>
      </c>
      <c r="T388">
        <f>Sheet1[[#This Row],[Quantity]]*Sheet1[[#This Row],[Sales]]</f>
        <v>80</v>
      </c>
      <c r="U388">
        <f>Sheet1[[#This Row],[Total Sales]]*Sheet1[[#This Row],[Discount]]</f>
        <v>0</v>
      </c>
      <c r="V388" s="4">
        <f>Sheet1[[#This Row],[Total Sales]]-Sheet1[[#This Row],[Total Sales]]*Sheet1[[#This Row],[Discount]]</f>
        <v>80</v>
      </c>
      <c r="W388" s="4">
        <f>Sheet1[[#This Row],[Quantity]]*Sheet1[[#This Row],[Profit]]</f>
        <v>30.36</v>
      </c>
      <c r="X388" s="5">
        <f>Sheet1[[#This Row],[Total Profit]]/Sheet1[[#This Row],[Sales After Discount]]</f>
        <v>0.3795</v>
      </c>
      <c r="Y388" s="4">
        <f>Sheet1[[#This Row],[Shipping_cost]]*Sheet1[[#This Row],[Quantity]]</f>
        <v>5.2</v>
      </c>
      <c r="Z388" s="4">
        <f>Sheet1[[#This Row],[Total Profit]]-Sheet1[[#This Row],[Total Shipping Cost]]</f>
        <v>25.16</v>
      </c>
      <c r="AA388" s="4" t="str">
        <f>IF(Sheet1[[#This Row],[Net Profit]]&gt;0,"Profit","Loss")</f>
        <v>Profit</v>
      </c>
    </row>
    <row r="389" spans="1:27" x14ac:dyDescent="0.25">
      <c r="A389" t="s">
        <v>631</v>
      </c>
      <c r="B389" s="1">
        <v>40570</v>
      </c>
      <c r="C389" s="1">
        <v>40574</v>
      </c>
      <c r="D389" t="s">
        <v>1</v>
      </c>
      <c r="E389" t="s">
        <v>632</v>
      </c>
      <c r="F389" t="s">
        <v>3</v>
      </c>
      <c r="G389" t="s">
        <v>633</v>
      </c>
      <c r="H389" t="s">
        <v>368</v>
      </c>
      <c r="I389" t="s">
        <v>75</v>
      </c>
      <c r="J389" t="s">
        <v>111</v>
      </c>
      <c r="K389" t="s">
        <v>7</v>
      </c>
      <c r="L389" t="s">
        <v>97</v>
      </c>
      <c r="M389">
        <v>35</v>
      </c>
      <c r="N389">
        <v>5</v>
      </c>
      <c r="O389">
        <v>0.2</v>
      </c>
      <c r="P389">
        <v>7.26</v>
      </c>
      <c r="Q389">
        <v>1.98</v>
      </c>
      <c r="R389" t="s">
        <v>9</v>
      </c>
      <c r="S389">
        <f>Sheet1[[#This Row],[Ship_date]]-Sheet1[[#This Row],[Order_date]]</f>
        <v>4</v>
      </c>
      <c r="T389">
        <f>Sheet1[[#This Row],[Quantity]]*Sheet1[[#This Row],[Sales]]</f>
        <v>175</v>
      </c>
      <c r="U389">
        <f>Sheet1[[#This Row],[Total Sales]]*Sheet1[[#This Row],[Discount]]</f>
        <v>35</v>
      </c>
      <c r="V389" s="4">
        <f>Sheet1[[#This Row],[Total Sales]]-Sheet1[[#This Row],[Total Sales]]*Sheet1[[#This Row],[Discount]]</f>
        <v>140</v>
      </c>
      <c r="W389" s="4">
        <f>Sheet1[[#This Row],[Quantity]]*Sheet1[[#This Row],[Profit]]</f>
        <v>36.299999999999997</v>
      </c>
      <c r="X389" s="5">
        <f>Sheet1[[#This Row],[Total Profit]]/Sheet1[[#This Row],[Sales After Discount]]</f>
        <v>0.25928571428571429</v>
      </c>
      <c r="Y389" s="4">
        <f>Sheet1[[#This Row],[Shipping_cost]]*Sheet1[[#This Row],[Quantity]]</f>
        <v>9.9</v>
      </c>
      <c r="Z389" s="4">
        <f>Sheet1[[#This Row],[Total Profit]]-Sheet1[[#This Row],[Total Shipping Cost]]</f>
        <v>26.4</v>
      </c>
      <c r="AA389" s="4" t="str">
        <f>IF(Sheet1[[#This Row],[Net Profit]]&gt;0,"Profit","Loss")</f>
        <v>Profit</v>
      </c>
    </row>
    <row r="390" spans="1:27" x14ac:dyDescent="0.25">
      <c r="A390" t="s">
        <v>612</v>
      </c>
      <c r="B390" s="1">
        <v>40570</v>
      </c>
      <c r="C390" s="1">
        <v>40575</v>
      </c>
      <c r="D390" t="s">
        <v>1</v>
      </c>
      <c r="E390" t="s">
        <v>392</v>
      </c>
      <c r="F390" t="s">
        <v>26</v>
      </c>
      <c r="G390" t="s">
        <v>294</v>
      </c>
      <c r="H390" t="s">
        <v>126</v>
      </c>
      <c r="I390" t="s">
        <v>127</v>
      </c>
      <c r="J390" t="s">
        <v>102</v>
      </c>
      <c r="K390" t="s">
        <v>7</v>
      </c>
      <c r="L390" t="s">
        <v>31</v>
      </c>
      <c r="M390">
        <v>19</v>
      </c>
      <c r="N390">
        <v>3</v>
      </c>
      <c r="O390">
        <v>0</v>
      </c>
      <c r="P390">
        <v>9.3312000000000008</v>
      </c>
      <c r="Q390">
        <v>1.53</v>
      </c>
      <c r="R390" t="s">
        <v>9</v>
      </c>
      <c r="S390">
        <f>Sheet1[[#This Row],[Ship_date]]-Sheet1[[#This Row],[Order_date]]</f>
        <v>5</v>
      </c>
      <c r="T390">
        <f>Sheet1[[#This Row],[Quantity]]*Sheet1[[#This Row],[Sales]]</f>
        <v>57</v>
      </c>
      <c r="U390">
        <f>Sheet1[[#This Row],[Total Sales]]*Sheet1[[#This Row],[Discount]]</f>
        <v>0</v>
      </c>
      <c r="V390" s="4">
        <f>Sheet1[[#This Row],[Total Sales]]-Sheet1[[#This Row],[Total Sales]]*Sheet1[[#This Row],[Discount]]</f>
        <v>57</v>
      </c>
      <c r="W390" s="4">
        <f>Sheet1[[#This Row],[Quantity]]*Sheet1[[#This Row],[Profit]]</f>
        <v>27.993600000000001</v>
      </c>
      <c r="X390" s="5">
        <f>Sheet1[[#This Row],[Total Profit]]/Sheet1[[#This Row],[Sales After Discount]]</f>
        <v>0.49111578947368423</v>
      </c>
      <c r="Y390" s="4">
        <f>Sheet1[[#This Row],[Shipping_cost]]*Sheet1[[#This Row],[Quantity]]</f>
        <v>4.59</v>
      </c>
      <c r="Z390" s="4">
        <f>Sheet1[[#This Row],[Total Profit]]-Sheet1[[#This Row],[Total Shipping Cost]]</f>
        <v>23.403600000000001</v>
      </c>
      <c r="AA390" s="4" t="str">
        <f>IF(Sheet1[[#This Row],[Net Profit]]&gt;0,"Profit","Loss")</f>
        <v>Profit</v>
      </c>
    </row>
    <row r="391" spans="1:27" x14ac:dyDescent="0.25">
      <c r="A391" t="s">
        <v>606</v>
      </c>
      <c r="B391" s="1">
        <v>40570</v>
      </c>
      <c r="C391" s="1">
        <v>40573</v>
      </c>
      <c r="D391" t="s">
        <v>142</v>
      </c>
      <c r="E391" t="s">
        <v>607</v>
      </c>
      <c r="F391" t="s">
        <v>43</v>
      </c>
      <c r="G391" t="s">
        <v>608</v>
      </c>
      <c r="H391" t="s">
        <v>126</v>
      </c>
      <c r="I391" t="s">
        <v>127</v>
      </c>
      <c r="J391" t="s">
        <v>76</v>
      </c>
      <c r="K391" t="s">
        <v>7</v>
      </c>
      <c r="L391" t="s">
        <v>137</v>
      </c>
      <c r="M391">
        <v>11</v>
      </c>
      <c r="N391">
        <v>2</v>
      </c>
      <c r="O391">
        <v>0</v>
      </c>
      <c r="P391">
        <v>5.0195999999999996</v>
      </c>
      <c r="Q391">
        <v>1.39</v>
      </c>
      <c r="R391" t="s">
        <v>23</v>
      </c>
      <c r="S391">
        <f>Sheet1[[#This Row],[Ship_date]]-Sheet1[[#This Row],[Order_date]]</f>
        <v>3</v>
      </c>
      <c r="T391">
        <f>Sheet1[[#This Row],[Quantity]]*Sheet1[[#This Row],[Sales]]</f>
        <v>22</v>
      </c>
      <c r="U391">
        <f>Sheet1[[#This Row],[Total Sales]]*Sheet1[[#This Row],[Discount]]</f>
        <v>0</v>
      </c>
      <c r="V391" s="4">
        <f>Sheet1[[#This Row],[Total Sales]]-Sheet1[[#This Row],[Total Sales]]*Sheet1[[#This Row],[Discount]]</f>
        <v>22</v>
      </c>
      <c r="W391" s="4">
        <f>Sheet1[[#This Row],[Quantity]]*Sheet1[[#This Row],[Profit]]</f>
        <v>10.039199999999999</v>
      </c>
      <c r="X391" s="5">
        <f>Sheet1[[#This Row],[Total Profit]]/Sheet1[[#This Row],[Sales After Discount]]</f>
        <v>0.45632727272727269</v>
      </c>
      <c r="Y391" s="4">
        <f>Sheet1[[#This Row],[Shipping_cost]]*Sheet1[[#This Row],[Quantity]]</f>
        <v>2.78</v>
      </c>
      <c r="Z391" s="4">
        <f>Sheet1[[#This Row],[Total Profit]]-Sheet1[[#This Row],[Total Shipping Cost]]</f>
        <v>7.2591999999999999</v>
      </c>
      <c r="AA391" s="4" t="str">
        <f>IF(Sheet1[[#This Row],[Net Profit]]&gt;0,"Profit","Loss")</f>
        <v>Profit</v>
      </c>
    </row>
    <row r="392" spans="1:27" x14ac:dyDescent="0.25">
      <c r="A392" t="s">
        <v>612</v>
      </c>
      <c r="B392" s="1">
        <v>40570</v>
      </c>
      <c r="C392" s="1">
        <v>40575</v>
      </c>
      <c r="D392" t="s">
        <v>1</v>
      </c>
      <c r="E392" t="s">
        <v>392</v>
      </c>
      <c r="F392" t="s">
        <v>26</v>
      </c>
      <c r="G392" t="s">
        <v>294</v>
      </c>
      <c r="H392" t="s">
        <v>126</v>
      </c>
      <c r="I392" t="s">
        <v>127</v>
      </c>
      <c r="J392" t="s">
        <v>102</v>
      </c>
      <c r="K392" t="s">
        <v>7</v>
      </c>
      <c r="L392" t="s">
        <v>31</v>
      </c>
      <c r="M392">
        <v>17</v>
      </c>
      <c r="N392">
        <v>2</v>
      </c>
      <c r="O392">
        <v>0</v>
      </c>
      <c r="P392">
        <v>8.34</v>
      </c>
      <c r="Q392">
        <v>1.1299999999999999</v>
      </c>
      <c r="R392" t="s">
        <v>9</v>
      </c>
      <c r="S392">
        <f>Sheet1[[#This Row],[Ship_date]]-Sheet1[[#This Row],[Order_date]]</f>
        <v>5</v>
      </c>
      <c r="T392">
        <f>Sheet1[[#This Row],[Quantity]]*Sheet1[[#This Row],[Sales]]</f>
        <v>34</v>
      </c>
      <c r="U392">
        <f>Sheet1[[#This Row],[Total Sales]]*Sheet1[[#This Row],[Discount]]</f>
        <v>0</v>
      </c>
      <c r="V392" s="4">
        <f>Sheet1[[#This Row],[Total Sales]]-Sheet1[[#This Row],[Total Sales]]*Sheet1[[#This Row],[Discount]]</f>
        <v>34</v>
      </c>
      <c r="W392" s="4">
        <f>Sheet1[[#This Row],[Quantity]]*Sheet1[[#This Row],[Profit]]</f>
        <v>16.68</v>
      </c>
      <c r="X392" s="5">
        <f>Sheet1[[#This Row],[Total Profit]]/Sheet1[[#This Row],[Sales After Discount]]</f>
        <v>0.49058823529411766</v>
      </c>
      <c r="Y392" s="4">
        <f>Sheet1[[#This Row],[Shipping_cost]]*Sheet1[[#This Row],[Quantity]]</f>
        <v>2.2599999999999998</v>
      </c>
      <c r="Z392" s="4">
        <f>Sheet1[[#This Row],[Total Profit]]-Sheet1[[#This Row],[Total Shipping Cost]]</f>
        <v>14.42</v>
      </c>
      <c r="AA392" s="4" t="str">
        <f>IF(Sheet1[[#This Row],[Net Profit]]&gt;0,"Profit","Loss")</f>
        <v>Profit</v>
      </c>
    </row>
    <row r="393" spans="1:27" x14ac:dyDescent="0.25">
      <c r="A393" t="s">
        <v>626</v>
      </c>
      <c r="B393" s="1">
        <v>40570</v>
      </c>
      <c r="C393" s="1">
        <v>40572</v>
      </c>
      <c r="D393" t="s">
        <v>142</v>
      </c>
      <c r="E393" t="s">
        <v>627</v>
      </c>
      <c r="F393" t="s">
        <v>3</v>
      </c>
      <c r="G393" t="s">
        <v>628</v>
      </c>
      <c r="H393" t="s">
        <v>580</v>
      </c>
      <c r="I393" t="s">
        <v>6</v>
      </c>
      <c r="J393" t="s">
        <v>6</v>
      </c>
      <c r="K393" t="s">
        <v>7</v>
      </c>
      <c r="L393" t="s">
        <v>137</v>
      </c>
      <c r="M393">
        <v>5</v>
      </c>
      <c r="N393">
        <v>1</v>
      </c>
      <c r="O393">
        <v>0</v>
      </c>
      <c r="P393">
        <v>2.16</v>
      </c>
      <c r="Q393">
        <v>0.54</v>
      </c>
      <c r="R393" t="s">
        <v>23</v>
      </c>
      <c r="S393">
        <f>Sheet1[[#This Row],[Ship_date]]-Sheet1[[#This Row],[Order_date]]</f>
        <v>2</v>
      </c>
      <c r="T393">
        <f>Sheet1[[#This Row],[Quantity]]*Sheet1[[#This Row],[Sales]]</f>
        <v>5</v>
      </c>
      <c r="U393">
        <f>Sheet1[[#This Row],[Total Sales]]*Sheet1[[#This Row],[Discount]]</f>
        <v>0</v>
      </c>
      <c r="V393" s="4">
        <f>Sheet1[[#This Row],[Total Sales]]-Sheet1[[#This Row],[Total Sales]]*Sheet1[[#This Row],[Discount]]</f>
        <v>5</v>
      </c>
      <c r="W393" s="4">
        <f>Sheet1[[#This Row],[Quantity]]*Sheet1[[#This Row],[Profit]]</f>
        <v>2.16</v>
      </c>
      <c r="X393" s="5">
        <f>Sheet1[[#This Row],[Total Profit]]/Sheet1[[#This Row],[Sales After Discount]]</f>
        <v>0.43200000000000005</v>
      </c>
      <c r="Y393" s="4">
        <f>Sheet1[[#This Row],[Shipping_cost]]*Sheet1[[#This Row],[Quantity]]</f>
        <v>0.54</v>
      </c>
      <c r="Z393" s="4">
        <f>Sheet1[[#This Row],[Total Profit]]-Sheet1[[#This Row],[Total Shipping Cost]]</f>
        <v>1.62</v>
      </c>
      <c r="AA393" s="4" t="str">
        <f>IF(Sheet1[[#This Row],[Net Profit]]&gt;0,"Profit","Loss")</f>
        <v>Profit</v>
      </c>
    </row>
    <row r="394" spans="1:27" x14ac:dyDescent="0.25">
      <c r="A394" t="s">
        <v>612</v>
      </c>
      <c r="B394" s="1">
        <v>40570</v>
      </c>
      <c r="C394" s="1">
        <v>40575</v>
      </c>
      <c r="D394" t="s">
        <v>1</v>
      </c>
      <c r="E394" t="s">
        <v>392</v>
      </c>
      <c r="F394" t="s">
        <v>26</v>
      </c>
      <c r="G394" t="s">
        <v>294</v>
      </c>
      <c r="H394" t="s">
        <v>126</v>
      </c>
      <c r="I394" t="s">
        <v>127</v>
      </c>
      <c r="J394" t="s">
        <v>102</v>
      </c>
      <c r="K394" t="s">
        <v>32</v>
      </c>
      <c r="L394" t="s">
        <v>33</v>
      </c>
      <c r="M394">
        <v>12</v>
      </c>
      <c r="N394">
        <v>3</v>
      </c>
      <c r="O394">
        <v>0</v>
      </c>
      <c r="P394">
        <v>4.4711999999999996</v>
      </c>
      <c r="Q394">
        <v>0.43</v>
      </c>
      <c r="R394" t="s">
        <v>9</v>
      </c>
      <c r="S394">
        <f>Sheet1[[#This Row],[Ship_date]]-Sheet1[[#This Row],[Order_date]]</f>
        <v>5</v>
      </c>
      <c r="T394">
        <f>Sheet1[[#This Row],[Quantity]]*Sheet1[[#This Row],[Sales]]</f>
        <v>36</v>
      </c>
      <c r="U394">
        <f>Sheet1[[#This Row],[Total Sales]]*Sheet1[[#This Row],[Discount]]</f>
        <v>0</v>
      </c>
      <c r="V394" s="4">
        <f>Sheet1[[#This Row],[Total Sales]]-Sheet1[[#This Row],[Total Sales]]*Sheet1[[#This Row],[Discount]]</f>
        <v>36</v>
      </c>
      <c r="W394" s="4">
        <f>Sheet1[[#This Row],[Quantity]]*Sheet1[[#This Row],[Profit]]</f>
        <v>13.413599999999999</v>
      </c>
      <c r="X394" s="5">
        <f>Sheet1[[#This Row],[Total Profit]]/Sheet1[[#This Row],[Sales After Discount]]</f>
        <v>0.37259999999999999</v>
      </c>
      <c r="Y394" s="4">
        <f>Sheet1[[#This Row],[Shipping_cost]]*Sheet1[[#This Row],[Quantity]]</f>
        <v>1.29</v>
      </c>
      <c r="Z394" s="4">
        <f>Sheet1[[#This Row],[Total Profit]]-Sheet1[[#This Row],[Total Shipping Cost]]</f>
        <v>12.1236</v>
      </c>
      <c r="AA394" s="4" t="str">
        <f>IF(Sheet1[[#This Row],[Net Profit]]&gt;0,"Profit","Loss")</f>
        <v>Profit</v>
      </c>
    </row>
    <row r="395" spans="1:27" x14ac:dyDescent="0.25">
      <c r="A395" t="s">
        <v>634</v>
      </c>
      <c r="B395" s="1">
        <v>40571</v>
      </c>
      <c r="C395" s="1">
        <v>40576</v>
      </c>
      <c r="D395" t="s">
        <v>18</v>
      </c>
      <c r="E395" t="s">
        <v>245</v>
      </c>
      <c r="F395" t="s">
        <v>3</v>
      </c>
      <c r="G395" t="s">
        <v>235</v>
      </c>
      <c r="H395" t="s">
        <v>13</v>
      </c>
      <c r="I395" t="s">
        <v>14</v>
      </c>
      <c r="J395" t="s">
        <v>15</v>
      </c>
      <c r="K395" t="s">
        <v>38</v>
      </c>
      <c r="L395" t="s">
        <v>50</v>
      </c>
      <c r="M395">
        <v>532</v>
      </c>
      <c r="N395">
        <v>2</v>
      </c>
      <c r="O395">
        <v>0.1</v>
      </c>
      <c r="P395">
        <v>47.201999999999998</v>
      </c>
      <c r="Q395">
        <v>51.51</v>
      </c>
      <c r="R395" t="s">
        <v>9</v>
      </c>
      <c r="S395">
        <f>Sheet1[[#This Row],[Ship_date]]-Sheet1[[#This Row],[Order_date]]</f>
        <v>5</v>
      </c>
      <c r="T395">
        <f>Sheet1[[#This Row],[Quantity]]*Sheet1[[#This Row],[Sales]]</f>
        <v>1064</v>
      </c>
      <c r="U395">
        <f>Sheet1[[#This Row],[Total Sales]]*Sheet1[[#This Row],[Discount]]</f>
        <v>106.4</v>
      </c>
      <c r="V395" s="4">
        <f>Sheet1[[#This Row],[Total Sales]]-Sheet1[[#This Row],[Total Sales]]*Sheet1[[#This Row],[Discount]]</f>
        <v>957.6</v>
      </c>
      <c r="W395" s="4">
        <f>Sheet1[[#This Row],[Quantity]]*Sheet1[[#This Row],[Profit]]</f>
        <v>94.403999999999996</v>
      </c>
      <c r="X395" s="5">
        <f>Sheet1[[#This Row],[Total Profit]]/Sheet1[[#This Row],[Sales After Discount]]</f>
        <v>9.8583959899749371E-2</v>
      </c>
      <c r="Y395" s="4">
        <f>Sheet1[[#This Row],[Shipping_cost]]*Sheet1[[#This Row],[Quantity]]</f>
        <v>103.02</v>
      </c>
      <c r="Z395" s="4">
        <f>Sheet1[[#This Row],[Total Profit]]-Sheet1[[#This Row],[Total Shipping Cost]]</f>
        <v>-8.6159999999999997</v>
      </c>
      <c r="AA395" s="4" t="str">
        <f>IF(Sheet1[[#This Row],[Net Profit]]&gt;0,"Profit","Loss")</f>
        <v>Loss</v>
      </c>
    </row>
    <row r="396" spans="1:27" x14ac:dyDescent="0.25">
      <c r="A396" t="s">
        <v>635</v>
      </c>
      <c r="B396" s="1">
        <v>40571</v>
      </c>
      <c r="C396" s="1">
        <v>40577</v>
      </c>
      <c r="D396" t="s">
        <v>1</v>
      </c>
      <c r="E396" t="s">
        <v>636</v>
      </c>
      <c r="F396" t="s">
        <v>3</v>
      </c>
      <c r="G396" t="s">
        <v>191</v>
      </c>
      <c r="H396" t="s">
        <v>126</v>
      </c>
      <c r="I396" t="s">
        <v>127</v>
      </c>
      <c r="J396" t="s">
        <v>192</v>
      </c>
      <c r="K396" t="s">
        <v>32</v>
      </c>
      <c r="L396" t="s">
        <v>62</v>
      </c>
      <c r="M396">
        <v>333</v>
      </c>
      <c r="N396">
        <v>3</v>
      </c>
      <c r="O396">
        <v>0.2</v>
      </c>
      <c r="P396">
        <v>-16.649999999999999</v>
      </c>
      <c r="Q396">
        <v>23.43</v>
      </c>
      <c r="R396" t="s">
        <v>9</v>
      </c>
      <c r="S396">
        <f>Sheet1[[#This Row],[Ship_date]]-Sheet1[[#This Row],[Order_date]]</f>
        <v>6</v>
      </c>
      <c r="T396">
        <f>Sheet1[[#This Row],[Quantity]]*Sheet1[[#This Row],[Sales]]</f>
        <v>999</v>
      </c>
      <c r="U396">
        <f>Sheet1[[#This Row],[Total Sales]]*Sheet1[[#This Row],[Discount]]</f>
        <v>199.8</v>
      </c>
      <c r="V396" s="4">
        <f>Sheet1[[#This Row],[Total Sales]]-Sheet1[[#This Row],[Total Sales]]*Sheet1[[#This Row],[Discount]]</f>
        <v>799.2</v>
      </c>
      <c r="W396" s="4">
        <f>Sheet1[[#This Row],[Quantity]]*Sheet1[[#This Row],[Profit]]</f>
        <v>-49.949999999999996</v>
      </c>
      <c r="X396" s="5">
        <f>Sheet1[[#This Row],[Total Profit]]/Sheet1[[#This Row],[Sales After Discount]]</f>
        <v>-6.2499999999999993E-2</v>
      </c>
      <c r="Y396" s="4">
        <f>Sheet1[[#This Row],[Shipping_cost]]*Sheet1[[#This Row],[Quantity]]</f>
        <v>70.289999999999992</v>
      </c>
      <c r="Z396" s="4">
        <f>Sheet1[[#This Row],[Total Profit]]-Sheet1[[#This Row],[Total Shipping Cost]]</f>
        <v>-120.23999999999998</v>
      </c>
      <c r="AA396" s="4" t="str">
        <f>IF(Sheet1[[#This Row],[Net Profit]]&gt;0,"Profit","Loss")</f>
        <v>Loss</v>
      </c>
    </row>
    <row r="397" spans="1:27" x14ac:dyDescent="0.25">
      <c r="A397" t="s">
        <v>637</v>
      </c>
      <c r="B397" s="1">
        <v>40571</v>
      </c>
      <c r="C397" s="1">
        <v>40574</v>
      </c>
      <c r="D397" t="s">
        <v>142</v>
      </c>
      <c r="E397" t="s">
        <v>500</v>
      </c>
      <c r="F397" t="s">
        <v>43</v>
      </c>
      <c r="G397" t="s">
        <v>599</v>
      </c>
      <c r="H397" t="s">
        <v>157</v>
      </c>
      <c r="I397" t="s">
        <v>14</v>
      </c>
      <c r="J397" t="s">
        <v>61</v>
      </c>
      <c r="K397" t="s">
        <v>7</v>
      </c>
      <c r="L397" t="s">
        <v>96</v>
      </c>
      <c r="M397">
        <v>132</v>
      </c>
      <c r="N397">
        <v>5</v>
      </c>
      <c r="O397">
        <v>0.47</v>
      </c>
      <c r="P397">
        <v>-5.0505000000000004</v>
      </c>
      <c r="Q397">
        <v>9.82</v>
      </c>
      <c r="R397" t="s">
        <v>9</v>
      </c>
      <c r="S397">
        <f>Sheet1[[#This Row],[Ship_date]]-Sheet1[[#This Row],[Order_date]]</f>
        <v>3</v>
      </c>
      <c r="T397">
        <f>Sheet1[[#This Row],[Quantity]]*Sheet1[[#This Row],[Sales]]</f>
        <v>660</v>
      </c>
      <c r="U397">
        <f>Sheet1[[#This Row],[Total Sales]]*Sheet1[[#This Row],[Discount]]</f>
        <v>310.2</v>
      </c>
      <c r="V397" s="4">
        <f>Sheet1[[#This Row],[Total Sales]]-Sheet1[[#This Row],[Total Sales]]*Sheet1[[#This Row],[Discount]]</f>
        <v>349.8</v>
      </c>
      <c r="W397" s="4">
        <f>Sheet1[[#This Row],[Quantity]]*Sheet1[[#This Row],[Profit]]</f>
        <v>-25.252500000000001</v>
      </c>
      <c r="X397" s="5">
        <f>Sheet1[[#This Row],[Total Profit]]/Sheet1[[#This Row],[Sales After Discount]]</f>
        <v>-7.2191252144082341E-2</v>
      </c>
      <c r="Y397" s="4">
        <f>Sheet1[[#This Row],[Shipping_cost]]*Sheet1[[#This Row],[Quantity]]</f>
        <v>49.1</v>
      </c>
      <c r="Z397" s="4">
        <f>Sheet1[[#This Row],[Total Profit]]-Sheet1[[#This Row],[Total Shipping Cost]]</f>
        <v>-74.352500000000006</v>
      </c>
      <c r="AA397" s="4" t="str">
        <f>IF(Sheet1[[#This Row],[Net Profit]]&gt;0,"Profit","Loss")</f>
        <v>Loss</v>
      </c>
    </row>
    <row r="398" spans="1:27" x14ac:dyDescent="0.25">
      <c r="A398" t="s">
        <v>637</v>
      </c>
      <c r="B398" s="1">
        <v>40571</v>
      </c>
      <c r="C398" s="1">
        <v>40574</v>
      </c>
      <c r="D398" t="s">
        <v>142</v>
      </c>
      <c r="E398" t="s">
        <v>500</v>
      </c>
      <c r="F398" t="s">
        <v>43</v>
      </c>
      <c r="G398" t="s">
        <v>599</v>
      </c>
      <c r="H398" t="s">
        <v>157</v>
      </c>
      <c r="I398" t="s">
        <v>14</v>
      </c>
      <c r="J398" t="s">
        <v>61</v>
      </c>
      <c r="K398" t="s">
        <v>7</v>
      </c>
      <c r="L398" t="s">
        <v>16</v>
      </c>
      <c r="M398">
        <v>90</v>
      </c>
      <c r="N398">
        <v>5</v>
      </c>
      <c r="O398">
        <v>0.47</v>
      </c>
      <c r="P398">
        <v>-51.217500000000001</v>
      </c>
      <c r="Q398">
        <v>4.8600000000000003</v>
      </c>
      <c r="R398" t="s">
        <v>9</v>
      </c>
      <c r="S398">
        <f>Sheet1[[#This Row],[Ship_date]]-Sheet1[[#This Row],[Order_date]]</f>
        <v>3</v>
      </c>
      <c r="T398">
        <f>Sheet1[[#This Row],[Quantity]]*Sheet1[[#This Row],[Sales]]</f>
        <v>450</v>
      </c>
      <c r="U398">
        <f>Sheet1[[#This Row],[Total Sales]]*Sheet1[[#This Row],[Discount]]</f>
        <v>211.5</v>
      </c>
      <c r="V398" s="4">
        <f>Sheet1[[#This Row],[Total Sales]]-Sheet1[[#This Row],[Total Sales]]*Sheet1[[#This Row],[Discount]]</f>
        <v>238.5</v>
      </c>
      <c r="W398" s="4">
        <f>Sheet1[[#This Row],[Quantity]]*Sheet1[[#This Row],[Profit]]</f>
        <v>-256.08749999999998</v>
      </c>
      <c r="X398" s="5">
        <f>Sheet1[[#This Row],[Total Profit]]/Sheet1[[#This Row],[Sales After Discount]]</f>
        <v>-1.0737421383647798</v>
      </c>
      <c r="Y398" s="4">
        <f>Sheet1[[#This Row],[Shipping_cost]]*Sheet1[[#This Row],[Quantity]]</f>
        <v>24.3</v>
      </c>
      <c r="Z398" s="4">
        <f>Sheet1[[#This Row],[Total Profit]]-Sheet1[[#This Row],[Total Shipping Cost]]</f>
        <v>-280.38749999999999</v>
      </c>
      <c r="AA398" s="4" t="str">
        <f>IF(Sheet1[[#This Row],[Net Profit]]&gt;0,"Profit","Loss")</f>
        <v>Loss</v>
      </c>
    </row>
    <row r="399" spans="1:27" x14ac:dyDescent="0.25">
      <c r="A399" t="s">
        <v>635</v>
      </c>
      <c r="B399" s="1">
        <v>40571</v>
      </c>
      <c r="C399" s="1">
        <v>40577</v>
      </c>
      <c r="D399" t="s">
        <v>1</v>
      </c>
      <c r="E399" t="s">
        <v>636</v>
      </c>
      <c r="F399" t="s">
        <v>3</v>
      </c>
      <c r="G399" t="s">
        <v>191</v>
      </c>
      <c r="H399" t="s">
        <v>126</v>
      </c>
      <c r="I399" t="s">
        <v>127</v>
      </c>
      <c r="J399" t="s">
        <v>192</v>
      </c>
      <c r="K399" t="s">
        <v>7</v>
      </c>
      <c r="L399" t="s">
        <v>8</v>
      </c>
      <c r="M399">
        <v>57</v>
      </c>
      <c r="N399">
        <v>1</v>
      </c>
      <c r="O399">
        <v>0</v>
      </c>
      <c r="P399">
        <v>14.307499999999999</v>
      </c>
      <c r="Q399">
        <v>4</v>
      </c>
      <c r="R399" t="s">
        <v>9</v>
      </c>
      <c r="S399">
        <f>Sheet1[[#This Row],[Ship_date]]-Sheet1[[#This Row],[Order_date]]</f>
        <v>6</v>
      </c>
      <c r="T399">
        <f>Sheet1[[#This Row],[Quantity]]*Sheet1[[#This Row],[Sales]]</f>
        <v>57</v>
      </c>
      <c r="U399">
        <f>Sheet1[[#This Row],[Total Sales]]*Sheet1[[#This Row],[Discount]]</f>
        <v>0</v>
      </c>
      <c r="V399" s="4">
        <f>Sheet1[[#This Row],[Total Sales]]-Sheet1[[#This Row],[Total Sales]]*Sheet1[[#This Row],[Discount]]</f>
        <v>57</v>
      </c>
      <c r="W399" s="4">
        <f>Sheet1[[#This Row],[Quantity]]*Sheet1[[#This Row],[Profit]]</f>
        <v>14.307499999999999</v>
      </c>
      <c r="X399" s="5">
        <f>Sheet1[[#This Row],[Total Profit]]/Sheet1[[#This Row],[Sales After Discount]]</f>
        <v>0.25100877192982457</v>
      </c>
      <c r="Y399" s="4">
        <f>Sheet1[[#This Row],[Shipping_cost]]*Sheet1[[#This Row],[Quantity]]</f>
        <v>4</v>
      </c>
      <c r="Z399" s="4">
        <f>Sheet1[[#This Row],[Total Profit]]-Sheet1[[#This Row],[Total Shipping Cost]]</f>
        <v>10.307499999999999</v>
      </c>
      <c r="AA399" s="4" t="str">
        <f>IF(Sheet1[[#This Row],[Net Profit]]&gt;0,"Profit","Loss")</f>
        <v>Profit</v>
      </c>
    </row>
    <row r="400" spans="1:27" x14ac:dyDescent="0.25">
      <c r="A400" t="s">
        <v>635</v>
      </c>
      <c r="B400" s="1">
        <v>40571</v>
      </c>
      <c r="C400" s="1">
        <v>40577</v>
      </c>
      <c r="D400" t="s">
        <v>1</v>
      </c>
      <c r="E400" t="s">
        <v>636</v>
      </c>
      <c r="F400" t="s">
        <v>3</v>
      </c>
      <c r="G400" t="s">
        <v>191</v>
      </c>
      <c r="H400" t="s">
        <v>126</v>
      </c>
      <c r="I400" t="s">
        <v>127</v>
      </c>
      <c r="J400" t="s">
        <v>192</v>
      </c>
      <c r="K400" t="s">
        <v>7</v>
      </c>
      <c r="L400" t="s">
        <v>91</v>
      </c>
      <c r="M400">
        <v>36</v>
      </c>
      <c r="N400">
        <v>4</v>
      </c>
      <c r="O400">
        <v>0</v>
      </c>
      <c r="P400">
        <v>12.0252</v>
      </c>
      <c r="Q400">
        <v>3.25</v>
      </c>
      <c r="R400" t="s">
        <v>9</v>
      </c>
      <c r="S400">
        <f>Sheet1[[#This Row],[Ship_date]]-Sheet1[[#This Row],[Order_date]]</f>
        <v>6</v>
      </c>
      <c r="T400">
        <f>Sheet1[[#This Row],[Quantity]]*Sheet1[[#This Row],[Sales]]</f>
        <v>144</v>
      </c>
      <c r="U400">
        <f>Sheet1[[#This Row],[Total Sales]]*Sheet1[[#This Row],[Discount]]</f>
        <v>0</v>
      </c>
      <c r="V400" s="4">
        <f>Sheet1[[#This Row],[Total Sales]]-Sheet1[[#This Row],[Total Sales]]*Sheet1[[#This Row],[Discount]]</f>
        <v>144</v>
      </c>
      <c r="W400" s="4">
        <f>Sheet1[[#This Row],[Quantity]]*Sheet1[[#This Row],[Profit]]</f>
        <v>48.1008</v>
      </c>
      <c r="X400" s="5">
        <f>Sheet1[[#This Row],[Total Profit]]/Sheet1[[#This Row],[Sales After Discount]]</f>
        <v>0.33403333333333335</v>
      </c>
      <c r="Y400" s="4">
        <f>Sheet1[[#This Row],[Shipping_cost]]*Sheet1[[#This Row],[Quantity]]</f>
        <v>13</v>
      </c>
      <c r="Z400" s="4">
        <f>Sheet1[[#This Row],[Total Profit]]-Sheet1[[#This Row],[Total Shipping Cost]]</f>
        <v>35.1008</v>
      </c>
      <c r="AA400" s="4" t="str">
        <f>IF(Sheet1[[#This Row],[Net Profit]]&gt;0,"Profit","Loss")</f>
        <v>Profit</v>
      </c>
    </row>
    <row r="401" spans="1:27" x14ac:dyDescent="0.25">
      <c r="A401" t="s">
        <v>638</v>
      </c>
      <c r="B401" s="1">
        <v>40571</v>
      </c>
      <c r="C401" s="1">
        <v>40577</v>
      </c>
      <c r="D401" t="s">
        <v>1</v>
      </c>
      <c r="E401" t="s">
        <v>639</v>
      </c>
      <c r="F401" t="s">
        <v>3</v>
      </c>
      <c r="G401" t="s">
        <v>184</v>
      </c>
      <c r="H401" t="s">
        <v>115</v>
      </c>
      <c r="I401" t="s">
        <v>29</v>
      </c>
      <c r="J401" t="s">
        <v>76</v>
      </c>
      <c r="K401" t="s">
        <v>7</v>
      </c>
      <c r="L401" t="s">
        <v>8</v>
      </c>
      <c r="M401">
        <v>28</v>
      </c>
      <c r="N401">
        <v>1</v>
      </c>
      <c r="O401">
        <v>0.1</v>
      </c>
      <c r="P401">
        <v>-0.64200000000000002</v>
      </c>
      <c r="Q401">
        <v>1.1499999999999999</v>
      </c>
      <c r="R401" t="s">
        <v>9</v>
      </c>
      <c r="S401">
        <f>Sheet1[[#This Row],[Ship_date]]-Sheet1[[#This Row],[Order_date]]</f>
        <v>6</v>
      </c>
      <c r="T401">
        <f>Sheet1[[#This Row],[Quantity]]*Sheet1[[#This Row],[Sales]]</f>
        <v>28</v>
      </c>
      <c r="U401">
        <f>Sheet1[[#This Row],[Total Sales]]*Sheet1[[#This Row],[Discount]]</f>
        <v>2.8000000000000003</v>
      </c>
      <c r="V401" s="4">
        <f>Sheet1[[#This Row],[Total Sales]]-Sheet1[[#This Row],[Total Sales]]*Sheet1[[#This Row],[Discount]]</f>
        <v>25.2</v>
      </c>
      <c r="W401" s="4">
        <f>Sheet1[[#This Row],[Quantity]]*Sheet1[[#This Row],[Profit]]</f>
        <v>-0.64200000000000002</v>
      </c>
      <c r="X401" s="5">
        <f>Sheet1[[#This Row],[Total Profit]]/Sheet1[[#This Row],[Sales After Discount]]</f>
        <v>-2.5476190476190479E-2</v>
      </c>
      <c r="Y401" s="4">
        <f>Sheet1[[#This Row],[Shipping_cost]]*Sheet1[[#This Row],[Quantity]]</f>
        <v>1.1499999999999999</v>
      </c>
      <c r="Z401" s="4">
        <f>Sheet1[[#This Row],[Total Profit]]-Sheet1[[#This Row],[Total Shipping Cost]]</f>
        <v>-1.7919999999999998</v>
      </c>
      <c r="AA401" s="4" t="str">
        <f>IF(Sheet1[[#This Row],[Net Profit]]&gt;0,"Profit","Loss")</f>
        <v>Loss</v>
      </c>
    </row>
    <row r="402" spans="1:27" x14ac:dyDescent="0.25">
      <c r="A402" t="s">
        <v>640</v>
      </c>
      <c r="B402" s="1">
        <v>40572</v>
      </c>
      <c r="C402" s="1">
        <v>40577</v>
      </c>
      <c r="D402" t="s">
        <v>1</v>
      </c>
      <c r="E402" t="s">
        <v>641</v>
      </c>
      <c r="F402" t="s">
        <v>3</v>
      </c>
      <c r="G402" t="s">
        <v>197</v>
      </c>
      <c r="H402" t="s">
        <v>101</v>
      </c>
      <c r="I402" t="s">
        <v>75</v>
      </c>
      <c r="J402" t="s">
        <v>102</v>
      </c>
      <c r="K402" t="s">
        <v>32</v>
      </c>
      <c r="L402" t="s">
        <v>62</v>
      </c>
      <c r="M402">
        <v>493</v>
      </c>
      <c r="N402">
        <v>2</v>
      </c>
      <c r="O402">
        <v>0.6</v>
      </c>
      <c r="P402">
        <v>-468.01600000000002</v>
      </c>
      <c r="Q402">
        <v>31.54</v>
      </c>
      <c r="R402" t="s">
        <v>9</v>
      </c>
      <c r="S402">
        <f>Sheet1[[#This Row],[Ship_date]]-Sheet1[[#This Row],[Order_date]]</f>
        <v>5</v>
      </c>
      <c r="T402">
        <f>Sheet1[[#This Row],[Quantity]]*Sheet1[[#This Row],[Sales]]</f>
        <v>986</v>
      </c>
      <c r="U402">
        <f>Sheet1[[#This Row],[Total Sales]]*Sheet1[[#This Row],[Discount]]</f>
        <v>591.6</v>
      </c>
      <c r="V402" s="4">
        <f>Sheet1[[#This Row],[Total Sales]]-Sheet1[[#This Row],[Total Sales]]*Sheet1[[#This Row],[Discount]]</f>
        <v>394.4</v>
      </c>
      <c r="W402" s="4">
        <f>Sheet1[[#This Row],[Quantity]]*Sheet1[[#This Row],[Profit]]</f>
        <v>-936.03200000000004</v>
      </c>
      <c r="X402" s="5">
        <f>Sheet1[[#This Row],[Total Profit]]/Sheet1[[#This Row],[Sales After Discount]]</f>
        <v>-2.3733062880324547</v>
      </c>
      <c r="Y402" s="4">
        <f>Sheet1[[#This Row],[Shipping_cost]]*Sheet1[[#This Row],[Quantity]]</f>
        <v>63.08</v>
      </c>
      <c r="Z402" s="4">
        <f>Sheet1[[#This Row],[Total Profit]]-Sheet1[[#This Row],[Total Shipping Cost]]</f>
        <v>-999.11200000000008</v>
      </c>
      <c r="AA402" s="4" t="str">
        <f>IF(Sheet1[[#This Row],[Net Profit]]&gt;0,"Profit","Loss")</f>
        <v>Loss</v>
      </c>
    </row>
    <row r="403" spans="1:27" x14ac:dyDescent="0.25">
      <c r="A403" t="s">
        <v>642</v>
      </c>
      <c r="B403" s="1">
        <v>40572</v>
      </c>
      <c r="C403" s="1">
        <v>40577</v>
      </c>
      <c r="D403" t="s">
        <v>1</v>
      </c>
      <c r="E403" t="s">
        <v>641</v>
      </c>
      <c r="F403" t="s">
        <v>3</v>
      </c>
      <c r="G403" t="s">
        <v>643</v>
      </c>
      <c r="H403" t="s">
        <v>247</v>
      </c>
      <c r="I403" t="s">
        <v>75</v>
      </c>
      <c r="J403" t="s">
        <v>102</v>
      </c>
      <c r="K403" t="s">
        <v>32</v>
      </c>
      <c r="L403" t="s">
        <v>62</v>
      </c>
      <c r="M403">
        <v>369</v>
      </c>
      <c r="N403">
        <v>2</v>
      </c>
      <c r="O403">
        <v>0.7</v>
      </c>
      <c r="P403">
        <v>-591.17200000000003</v>
      </c>
      <c r="Q403">
        <v>18.73</v>
      </c>
      <c r="R403" t="s">
        <v>9</v>
      </c>
      <c r="S403">
        <f>Sheet1[[#This Row],[Ship_date]]-Sheet1[[#This Row],[Order_date]]</f>
        <v>5</v>
      </c>
      <c r="T403">
        <f>Sheet1[[#This Row],[Quantity]]*Sheet1[[#This Row],[Sales]]</f>
        <v>738</v>
      </c>
      <c r="U403">
        <f>Sheet1[[#This Row],[Total Sales]]*Sheet1[[#This Row],[Discount]]</f>
        <v>516.6</v>
      </c>
      <c r="V403" s="4">
        <f>Sheet1[[#This Row],[Total Sales]]-Sheet1[[#This Row],[Total Sales]]*Sheet1[[#This Row],[Discount]]</f>
        <v>221.39999999999998</v>
      </c>
      <c r="W403" s="4">
        <f>Sheet1[[#This Row],[Quantity]]*Sheet1[[#This Row],[Profit]]</f>
        <v>-1182.3440000000001</v>
      </c>
      <c r="X403" s="5">
        <f>Sheet1[[#This Row],[Total Profit]]/Sheet1[[#This Row],[Sales After Discount]]</f>
        <v>-5.3403071364046983</v>
      </c>
      <c r="Y403" s="4">
        <f>Sheet1[[#This Row],[Shipping_cost]]*Sheet1[[#This Row],[Quantity]]</f>
        <v>37.46</v>
      </c>
      <c r="Z403" s="4">
        <f>Sheet1[[#This Row],[Total Profit]]-Sheet1[[#This Row],[Total Shipping Cost]]</f>
        <v>-1219.8040000000001</v>
      </c>
      <c r="AA403" s="4" t="str">
        <f>IF(Sheet1[[#This Row],[Net Profit]]&gt;0,"Profit","Loss")</f>
        <v>Loss</v>
      </c>
    </row>
    <row r="404" spans="1:27" x14ac:dyDescent="0.25">
      <c r="A404" t="s">
        <v>644</v>
      </c>
      <c r="B404" s="1">
        <v>40572</v>
      </c>
      <c r="C404" s="1">
        <v>40578</v>
      </c>
      <c r="D404" t="s">
        <v>1</v>
      </c>
      <c r="E404" t="s">
        <v>645</v>
      </c>
      <c r="F404" t="s">
        <v>43</v>
      </c>
      <c r="G404" t="s">
        <v>646</v>
      </c>
      <c r="H404" t="s">
        <v>647</v>
      </c>
      <c r="I404" t="s">
        <v>6</v>
      </c>
      <c r="J404" t="s">
        <v>6</v>
      </c>
      <c r="K404" t="s">
        <v>7</v>
      </c>
      <c r="L404" t="s">
        <v>16</v>
      </c>
      <c r="M404">
        <v>44</v>
      </c>
      <c r="N404">
        <v>1</v>
      </c>
      <c r="O404">
        <v>0</v>
      </c>
      <c r="P404">
        <v>16.23</v>
      </c>
      <c r="Q404">
        <v>3.35</v>
      </c>
      <c r="R404" t="s">
        <v>9</v>
      </c>
      <c r="S404">
        <f>Sheet1[[#This Row],[Ship_date]]-Sheet1[[#This Row],[Order_date]]</f>
        <v>6</v>
      </c>
      <c r="T404">
        <f>Sheet1[[#This Row],[Quantity]]*Sheet1[[#This Row],[Sales]]</f>
        <v>44</v>
      </c>
      <c r="U404">
        <f>Sheet1[[#This Row],[Total Sales]]*Sheet1[[#This Row],[Discount]]</f>
        <v>0</v>
      </c>
      <c r="V404" s="4">
        <f>Sheet1[[#This Row],[Total Sales]]-Sheet1[[#This Row],[Total Sales]]*Sheet1[[#This Row],[Discount]]</f>
        <v>44</v>
      </c>
      <c r="W404" s="4">
        <f>Sheet1[[#This Row],[Quantity]]*Sheet1[[#This Row],[Profit]]</f>
        <v>16.23</v>
      </c>
      <c r="X404" s="5">
        <f>Sheet1[[#This Row],[Total Profit]]/Sheet1[[#This Row],[Sales After Discount]]</f>
        <v>0.36886363636363639</v>
      </c>
      <c r="Y404" s="4">
        <f>Sheet1[[#This Row],[Shipping_cost]]*Sheet1[[#This Row],[Quantity]]</f>
        <v>3.35</v>
      </c>
      <c r="Z404" s="4">
        <f>Sheet1[[#This Row],[Total Profit]]-Sheet1[[#This Row],[Total Shipping Cost]]</f>
        <v>12.88</v>
      </c>
      <c r="AA404" s="4" t="str">
        <f>IF(Sheet1[[#This Row],[Net Profit]]&gt;0,"Profit","Loss")</f>
        <v>Profit</v>
      </c>
    </row>
    <row r="405" spans="1:27" x14ac:dyDescent="0.25">
      <c r="A405" t="s">
        <v>648</v>
      </c>
      <c r="B405" s="1">
        <v>40572</v>
      </c>
      <c r="C405" s="1">
        <v>40578</v>
      </c>
      <c r="D405" t="s">
        <v>1</v>
      </c>
      <c r="E405" t="s">
        <v>134</v>
      </c>
      <c r="F405" t="s">
        <v>3</v>
      </c>
      <c r="G405" t="s">
        <v>649</v>
      </c>
      <c r="H405" t="s">
        <v>126</v>
      </c>
      <c r="I405" t="s">
        <v>127</v>
      </c>
      <c r="J405" t="s">
        <v>173</v>
      </c>
      <c r="K405" t="s">
        <v>7</v>
      </c>
      <c r="L405" t="s">
        <v>137</v>
      </c>
      <c r="M405">
        <v>4</v>
      </c>
      <c r="N405">
        <v>1</v>
      </c>
      <c r="O405">
        <v>0.2</v>
      </c>
      <c r="P405">
        <v>1.3257000000000001</v>
      </c>
      <c r="Q405">
        <v>0.36</v>
      </c>
      <c r="R405" t="s">
        <v>9</v>
      </c>
      <c r="S405">
        <f>Sheet1[[#This Row],[Ship_date]]-Sheet1[[#This Row],[Order_date]]</f>
        <v>6</v>
      </c>
      <c r="T405">
        <f>Sheet1[[#This Row],[Quantity]]*Sheet1[[#This Row],[Sales]]</f>
        <v>4</v>
      </c>
      <c r="U405">
        <f>Sheet1[[#This Row],[Total Sales]]*Sheet1[[#This Row],[Discount]]</f>
        <v>0.8</v>
      </c>
      <c r="V405" s="4">
        <f>Sheet1[[#This Row],[Total Sales]]-Sheet1[[#This Row],[Total Sales]]*Sheet1[[#This Row],[Discount]]</f>
        <v>3.2</v>
      </c>
      <c r="W405" s="4">
        <f>Sheet1[[#This Row],[Quantity]]*Sheet1[[#This Row],[Profit]]</f>
        <v>1.3257000000000001</v>
      </c>
      <c r="X405" s="5">
        <f>Sheet1[[#This Row],[Total Profit]]/Sheet1[[#This Row],[Sales After Discount]]</f>
        <v>0.41428124999999999</v>
      </c>
      <c r="Y405" s="4">
        <f>Sheet1[[#This Row],[Shipping_cost]]*Sheet1[[#This Row],[Quantity]]</f>
        <v>0.36</v>
      </c>
      <c r="Z405" s="4">
        <f>Sheet1[[#This Row],[Total Profit]]-Sheet1[[#This Row],[Total Shipping Cost]]</f>
        <v>0.96570000000000011</v>
      </c>
      <c r="AA405" s="4" t="str">
        <f>IF(Sheet1[[#This Row],[Net Profit]]&gt;0,"Profit","Loss")</f>
        <v>Profit</v>
      </c>
    </row>
    <row r="406" spans="1:27" x14ac:dyDescent="0.25">
      <c r="A406" t="s">
        <v>650</v>
      </c>
      <c r="B406" s="1">
        <v>40573</v>
      </c>
      <c r="C406" s="1">
        <v>40573</v>
      </c>
      <c r="D406" t="s">
        <v>41</v>
      </c>
      <c r="E406" t="s">
        <v>651</v>
      </c>
      <c r="F406" t="s">
        <v>43</v>
      </c>
      <c r="G406" t="s">
        <v>48</v>
      </c>
      <c r="H406" t="s">
        <v>49</v>
      </c>
      <c r="I406" t="s">
        <v>14</v>
      </c>
      <c r="J406" t="s">
        <v>15</v>
      </c>
      <c r="K406" t="s">
        <v>32</v>
      </c>
      <c r="L406" t="s">
        <v>56</v>
      </c>
      <c r="M406">
        <v>162</v>
      </c>
      <c r="N406">
        <v>2</v>
      </c>
      <c r="O406">
        <v>0.4</v>
      </c>
      <c r="P406">
        <v>-29.687999999999999</v>
      </c>
      <c r="Q406">
        <v>63.14</v>
      </c>
      <c r="R406" t="s">
        <v>23</v>
      </c>
      <c r="S406">
        <f>Sheet1[[#This Row],[Ship_date]]-Sheet1[[#This Row],[Order_date]]</f>
        <v>0</v>
      </c>
      <c r="T406">
        <f>Sheet1[[#This Row],[Quantity]]*Sheet1[[#This Row],[Sales]]</f>
        <v>324</v>
      </c>
      <c r="U406">
        <f>Sheet1[[#This Row],[Total Sales]]*Sheet1[[#This Row],[Discount]]</f>
        <v>129.6</v>
      </c>
      <c r="V406" s="4">
        <f>Sheet1[[#This Row],[Total Sales]]-Sheet1[[#This Row],[Total Sales]]*Sheet1[[#This Row],[Discount]]</f>
        <v>194.4</v>
      </c>
      <c r="W406" s="4">
        <f>Sheet1[[#This Row],[Quantity]]*Sheet1[[#This Row],[Profit]]</f>
        <v>-59.375999999999998</v>
      </c>
      <c r="X406" s="5">
        <f>Sheet1[[#This Row],[Total Profit]]/Sheet1[[#This Row],[Sales After Discount]]</f>
        <v>-0.30543209876543209</v>
      </c>
      <c r="Y406" s="4">
        <f>Sheet1[[#This Row],[Shipping_cost]]*Sheet1[[#This Row],[Quantity]]</f>
        <v>126.28</v>
      </c>
      <c r="Z406" s="4">
        <f>Sheet1[[#This Row],[Total Profit]]-Sheet1[[#This Row],[Total Shipping Cost]]</f>
        <v>-185.65600000000001</v>
      </c>
      <c r="AA406" s="4" t="str">
        <f>IF(Sheet1[[#This Row],[Net Profit]]&gt;0,"Profit","Loss")</f>
        <v>Loss</v>
      </c>
    </row>
    <row r="407" spans="1:27" x14ac:dyDescent="0.25">
      <c r="A407" t="s">
        <v>652</v>
      </c>
      <c r="B407" s="1">
        <v>40573</v>
      </c>
      <c r="C407" s="1">
        <v>40578</v>
      </c>
      <c r="D407" t="s">
        <v>18</v>
      </c>
      <c r="E407" t="s">
        <v>653</v>
      </c>
      <c r="F407" t="s">
        <v>3</v>
      </c>
      <c r="G407" t="s">
        <v>450</v>
      </c>
      <c r="H407" t="s">
        <v>223</v>
      </c>
      <c r="I407" t="s">
        <v>6</v>
      </c>
      <c r="J407" t="s">
        <v>6</v>
      </c>
      <c r="K407" t="s">
        <v>38</v>
      </c>
      <c r="L407" t="s">
        <v>50</v>
      </c>
      <c r="M407">
        <v>191</v>
      </c>
      <c r="N407">
        <v>2</v>
      </c>
      <c r="O407">
        <v>0.7</v>
      </c>
      <c r="P407">
        <v>-382.08600000000001</v>
      </c>
      <c r="Q407">
        <v>19.190000000000001</v>
      </c>
      <c r="R407" t="s">
        <v>9</v>
      </c>
      <c r="S407">
        <f>Sheet1[[#This Row],[Ship_date]]-Sheet1[[#This Row],[Order_date]]</f>
        <v>5</v>
      </c>
      <c r="T407">
        <f>Sheet1[[#This Row],[Quantity]]*Sheet1[[#This Row],[Sales]]</f>
        <v>382</v>
      </c>
      <c r="U407">
        <f>Sheet1[[#This Row],[Total Sales]]*Sheet1[[#This Row],[Discount]]</f>
        <v>267.39999999999998</v>
      </c>
      <c r="V407" s="4">
        <f>Sheet1[[#This Row],[Total Sales]]-Sheet1[[#This Row],[Total Sales]]*Sheet1[[#This Row],[Discount]]</f>
        <v>114.60000000000002</v>
      </c>
      <c r="W407" s="4">
        <f>Sheet1[[#This Row],[Quantity]]*Sheet1[[#This Row],[Profit]]</f>
        <v>-764.17200000000003</v>
      </c>
      <c r="X407" s="5">
        <f>Sheet1[[#This Row],[Total Profit]]/Sheet1[[#This Row],[Sales After Discount]]</f>
        <v>-6.6681675392670146</v>
      </c>
      <c r="Y407" s="4">
        <f>Sheet1[[#This Row],[Shipping_cost]]*Sheet1[[#This Row],[Quantity]]</f>
        <v>38.380000000000003</v>
      </c>
      <c r="Z407" s="4">
        <f>Sheet1[[#This Row],[Total Profit]]-Sheet1[[#This Row],[Total Shipping Cost]]</f>
        <v>-802.55200000000002</v>
      </c>
      <c r="AA407" s="4" t="str">
        <f>IF(Sheet1[[#This Row],[Net Profit]]&gt;0,"Profit","Loss")</f>
        <v>Loss</v>
      </c>
    </row>
    <row r="408" spans="1:27" x14ac:dyDescent="0.25">
      <c r="A408" t="s">
        <v>652</v>
      </c>
      <c r="B408" s="1">
        <v>40573</v>
      </c>
      <c r="C408" s="1">
        <v>40578</v>
      </c>
      <c r="D408" t="s">
        <v>18</v>
      </c>
      <c r="E408" t="s">
        <v>653</v>
      </c>
      <c r="F408" t="s">
        <v>3</v>
      </c>
      <c r="G408" t="s">
        <v>450</v>
      </c>
      <c r="H408" t="s">
        <v>223</v>
      </c>
      <c r="I408" t="s">
        <v>6</v>
      </c>
      <c r="J408" t="s">
        <v>6</v>
      </c>
      <c r="K408" t="s">
        <v>7</v>
      </c>
      <c r="L408" t="s">
        <v>31</v>
      </c>
      <c r="M408">
        <v>18</v>
      </c>
      <c r="N408">
        <v>4</v>
      </c>
      <c r="O408">
        <v>0.7</v>
      </c>
      <c r="P408">
        <v>-32.22</v>
      </c>
      <c r="Q408">
        <v>2.36</v>
      </c>
      <c r="R408" t="s">
        <v>9</v>
      </c>
      <c r="S408">
        <f>Sheet1[[#This Row],[Ship_date]]-Sheet1[[#This Row],[Order_date]]</f>
        <v>5</v>
      </c>
      <c r="T408">
        <f>Sheet1[[#This Row],[Quantity]]*Sheet1[[#This Row],[Sales]]</f>
        <v>72</v>
      </c>
      <c r="U408">
        <f>Sheet1[[#This Row],[Total Sales]]*Sheet1[[#This Row],[Discount]]</f>
        <v>50.4</v>
      </c>
      <c r="V408" s="4">
        <f>Sheet1[[#This Row],[Total Sales]]-Sheet1[[#This Row],[Total Sales]]*Sheet1[[#This Row],[Discount]]</f>
        <v>21.6</v>
      </c>
      <c r="W408" s="4">
        <f>Sheet1[[#This Row],[Quantity]]*Sheet1[[#This Row],[Profit]]</f>
        <v>-128.88</v>
      </c>
      <c r="X408" s="5">
        <f>Sheet1[[#This Row],[Total Profit]]/Sheet1[[#This Row],[Sales After Discount]]</f>
        <v>-5.9666666666666659</v>
      </c>
      <c r="Y408" s="4">
        <f>Sheet1[[#This Row],[Shipping_cost]]*Sheet1[[#This Row],[Quantity]]</f>
        <v>9.44</v>
      </c>
      <c r="Z408" s="4">
        <f>Sheet1[[#This Row],[Total Profit]]-Sheet1[[#This Row],[Total Shipping Cost]]</f>
        <v>-138.32</v>
      </c>
      <c r="AA408" s="4" t="str">
        <f>IF(Sheet1[[#This Row],[Net Profit]]&gt;0,"Profit","Loss")</f>
        <v>Loss</v>
      </c>
    </row>
    <row r="409" spans="1:27" x14ac:dyDescent="0.25">
      <c r="A409" t="s">
        <v>652</v>
      </c>
      <c r="B409" s="1">
        <v>40573</v>
      </c>
      <c r="C409" s="1">
        <v>40578</v>
      </c>
      <c r="D409" t="s">
        <v>18</v>
      </c>
      <c r="E409" t="s">
        <v>653</v>
      </c>
      <c r="F409" t="s">
        <v>3</v>
      </c>
      <c r="G409" t="s">
        <v>450</v>
      </c>
      <c r="H409" t="s">
        <v>223</v>
      </c>
      <c r="I409" t="s">
        <v>6</v>
      </c>
      <c r="J409" t="s">
        <v>6</v>
      </c>
      <c r="K409" t="s">
        <v>38</v>
      </c>
      <c r="L409" t="s">
        <v>77</v>
      </c>
      <c r="M409">
        <v>42</v>
      </c>
      <c r="N409">
        <v>1</v>
      </c>
      <c r="O409">
        <v>0.7</v>
      </c>
      <c r="P409">
        <v>-62.79</v>
      </c>
      <c r="Q409">
        <v>2.27</v>
      </c>
      <c r="R409" t="s">
        <v>9</v>
      </c>
      <c r="S409">
        <f>Sheet1[[#This Row],[Ship_date]]-Sheet1[[#This Row],[Order_date]]</f>
        <v>5</v>
      </c>
      <c r="T409">
        <f>Sheet1[[#This Row],[Quantity]]*Sheet1[[#This Row],[Sales]]</f>
        <v>42</v>
      </c>
      <c r="U409">
        <f>Sheet1[[#This Row],[Total Sales]]*Sheet1[[#This Row],[Discount]]</f>
        <v>29.4</v>
      </c>
      <c r="V409" s="4">
        <f>Sheet1[[#This Row],[Total Sales]]-Sheet1[[#This Row],[Total Sales]]*Sheet1[[#This Row],[Discount]]</f>
        <v>12.600000000000001</v>
      </c>
      <c r="W409" s="4">
        <f>Sheet1[[#This Row],[Quantity]]*Sheet1[[#This Row],[Profit]]</f>
        <v>-62.79</v>
      </c>
      <c r="X409" s="5">
        <f>Sheet1[[#This Row],[Total Profit]]/Sheet1[[#This Row],[Sales After Discount]]</f>
        <v>-4.9833333333333325</v>
      </c>
      <c r="Y409" s="4">
        <f>Sheet1[[#This Row],[Shipping_cost]]*Sheet1[[#This Row],[Quantity]]</f>
        <v>2.27</v>
      </c>
      <c r="Z409" s="4">
        <f>Sheet1[[#This Row],[Total Profit]]-Sheet1[[#This Row],[Total Shipping Cost]]</f>
        <v>-65.06</v>
      </c>
      <c r="AA409" s="4" t="str">
        <f>IF(Sheet1[[#This Row],[Net Profit]]&gt;0,"Profit","Loss")</f>
        <v>Loss</v>
      </c>
    </row>
    <row r="410" spans="1:27" x14ac:dyDescent="0.25">
      <c r="A410" t="s">
        <v>654</v>
      </c>
      <c r="B410" s="1">
        <v>40573</v>
      </c>
      <c r="C410" s="1">
        <v>40574</v>
      </c>
      <c r="D410" t="s">
        <v>142</v>
      </c>
      <c r="E410" t="s">
        <v>655</v>
      </c>
      <c r="F410" t="s">
        <v>3</v>
      </c>
      <c r="G410" t="s">
        <v>450</v>
      </c>
      <c r="H410" t="s">
        <v>223</v>
      </c>
      <c r="I410" t="s">
        <v>6</v>
      </c>
      <c r="J410" t="s">
        <v>6</v>
      </c>
      <c r="K410" t="s">
        <v>7</v>
      </c>
      <c r="L410" t="s">
        <v>137</v>
      </c>
      <c r="M410">
        <v>5</v>
      </c>
      <c r="N410">
        <v>2</v>
      </c>
      <c r="O410">
        <v>0.7</v>
      </c>
      <c r="P410">
        <v>-5.5380000000000003</v>
      </c>
      <c r="Q410">
        <v>1.01</v>
      </c>
      <c r="R410" t="s">
        <v>45</v>
      </c>
      <c r="S410">
        <f>Sheet1[[#This Row],[Ship_date]]-Sheet1[[#This Row],[Order_date]]</f>
        <v>1</v>
      </c>
      <c r="T410">
        <f>Sheet1[[#This Row],[Quantity]]*Sheet1[[#This Row],[Sales]]</f>
        <v>10</v>
      </c>
      <c r="U410">
        <f>Sheet1[[#This Row],[Total Sales]]*Sheet1[[#This Row],[Discount]]</f>
        <v>7</v>
      </c>
      <c r="V410" s="4">
        <f>Sheet1[[#This Row],[Total Sales]]-Sheet1[[#This Row],[Total Sales]]*Sheet1[[#This Row],[Discount]]</f>
        <v>3</v>
      </c>
      <c r="W410" s="4">
        <f>Sheet1[[#This Row],[Quantity]]*Sheet1[[#This Row],[Profit]]</f>
        <v>-11.076000000000001</v>
      </c>
      <c r="X410" s="5">
        <f>Sheet1[[#This Row],[Total Profit]]/Sheet1[[#This Row],[Sales After Discount]]</f>
        <v>-3.6920000000000002</v>
      </c>
      <c r="Y410" s="4">
        <f>Sheet1[[#This Row],[Shipping_cost]]*Sheet1[[#This Row],[Quantity]]</f>
        <v>2.02</v>
      </c>
      <c r="Z410" s="4">
        <f>Sheet1[[#This Row],[Total Profit]]-Sheet1[[#This Row],[Total Shipping Cost]]</f>
        <v>-13.096</v>
      </c>
      <c r="AA410" s="4" t="str">
        <f>IF(Sheet1[[#This Row],[Net Profit]]&gt;0,"Profit","Loss")</f>
        <v>Loss</v>
      </c>
    </row>
    <row r="411" spans="1:27" x14ac:dyDescent="0.25">
      <c r="A411" t="s">
        <v>654</v>
      </c>
      <c r="B411" s="1">
        <v>40573</v>
      </c>
      <c r="C411" s="1">
        <v>40574</v>
      </c>
      <c r="D411" t="s">
        <v>142</v>
      </c>
      <c r="E411" t="s">
        <v>655</v>
      </c>
      <c r="F411" t="s">
        <v>3</v>
      </c>
      <c r="G411" t="s">
        <v>450</v>
      </c>
      <c r="H411" t="s">
        <v>223</v>
      </c>
      <c r="I411" t="s">
        <v>6</v>
      </c>
      <c r="J411" t="s">
        <v>6</v>
      </c>
      <c r="K411" t="s">
        <v>7</v>
      </c>
      <c r="L411" t="s">
        <v>87</v>
      </c>
      <c r="M411">
        <v>4</v>
      </c>
      <c r="N411">
        <v>1</v>
      </c>
      <c r="O411">
        <v>0.7</v>
      </c>
      <c r="P411">
        <v>-8.6010000000000009</v>
      </c>
      <c r="Q411">
        <v>0.6</v>
      </c>
      <c r="R411" t="s">
        <v>45</v>
      </c>
      <c r="S411">
        <f>Sheet1[[#This Row],[Ship_date]]-Sheet1[[#This Row],[Order_date]]</f>
        <v>1</v>
      </c>
      <c r="T411">
        <f>Sheet1[[#This Row],[Quantity]]*Sheet1[[#This Row],[Sales]]</f>
        <v>4</v>
      </c>
      <c r="U411">
        <f>Sheet1[[#This Row],[Total Sales]]*Sheet1[[#This Row],[Discount]]</f>
        <v>2.8</v>
      </c>
      <c r="V411" s="4">
        <f>Sheet1[[#This Row],[Total Sales]]-Sheet1[[#This Row],[Total Sales]]*Sheet1[[#This Row],[Discount]]</f>
        <v>1.2000000000000002</v>
      </c>
      <c r="W411" s="4">
        <f>Sheet1[[#This Row],[Quantity]]*Sheet1[[#This Row],[Profit]]</f>
        <v>-8.6010000000000009</v>
      </c>
      <c r="X411" s="5">
        <f>Sheet1[[#This Row],[Total Profit]]/Sheet1[[#This Row],[Sales After Discount]]</f>
        <v>-7.1674999999999995</v>
      </c>
      <c r="Y411" s="4">
        <f>Sheet1[[#This Row],[Shipping_cost]]*Sheet1[[#This Row],[Quantity]]</f>
        <v>0.6</v>
      </c>
      <c r="Z411" s="4">
        <f>Sheet1[[#This Row],[Total Profit]]-Sheet1[[#This Row],[Total Shipping Cost]]</f>
        <v>-9.2010000000000005</v>
      </c>
      <c r="AA411" s="4" t="str">
        <f>IF(Sheet1[[#This Row],[Net Profit]]&gt;0,"Profit","Loss")</f>
        <v>Loss</v>
      </c>
    </row>
    <row r="412" spans="1:27" x14ac:dyDescent="0.25">
      <c r="A412" t="s">
        <v>652</v>
      </c>
      <c r="B412" s="1">
        <v>40573</v>
      </c>
      <c r="C412" s="1">
        <v>40578</v>
      </c>
      <c r="D412" t="s">
        <v>18</v>
      </c>
      <c r="E412" t="s">
        <v>653</v>
      </c>
      <c r="F412" t="s">
        <v>3</v>
      </c>
      <c r="G412" t="s">
        <v>450</v>
      </c>
      <c r="H412" t="s">
        <v>223</v>
      </c>
      <c r="I412" t="s">
        <v>6</v>
      </c>
      <c r="J412" t="s">
        <v>6</v>
      </c>
      <c r="K412" t="s">
        <v>7</v>
      </c>
      <c r="L412" t="s">
        <v>137</v>
      </c>
      <c r="M412">
        <v>20</v>
      </c>
      <c r="N412">
        <v>6</v>
      </c>
      <c r="O412">
        <v>0.7</v>
      </c>
      <c r="P412">
        <v>-29.718</v>
      </c>
      <c r="Q412">
        <v>0.39</v>
      </c>
      <c r="R412" t="s">
        <v>9</v>
      </c>
      <c r="S412">
        <f>Sheet1[[#This Row],[Ship_date]]-Sheet1[[#This Row],[Order_date]]</f>
        <v>5</v>
      </c>
      <c r="T412">
        <f>Sheet1[[#This Row],[Quantity]]*Sheet1[[#This Row],[Sales]]</f>
        <v>120</v>
      </c>
      <c r="U412">
        <f>Sheet1[[#This Row],[Total Sales]]*Sheet1[[#This Row],[Discount]]</f>
        <v>84</v>
      </c>
      <c r="V412" s="4">
        <f>Sheet1[[#This Row],[Total Sales]]-Sheet1[[#This Row],[Total Sales]]*Sheet1[[#This Row],[Discount]]</f>
        <v>36</v>
      </c>
      <c r="W412" s="4">
        <f>Sheet1[[#This Row],[Quantity]]*Sheet1[[#This Row],[Profit]]</f>
        <v>-178.30799999999999</v>
      </c>
      <c r="X412" s="5">
        <f>Sheet1[[#This Row],[Total Profit]]/Sheet1[[#This Row],[Sales After Discount]]</f>
        <v>-4.9529999999999994</v>
      </c>
      <c r="Y412" s="4">
        <f>Sheet1[[#This Row],[Shipping_cost]]*Sheet1[[#This Row],[Quantity]]</f>
        <v>2.34</v>
      </c>
      <c r="Z412" s="4">
        <f>Sheet1[[#This Row],[Total Profit]]-Sheet1[[#This Row],[Total Shipping Cost]]</f>
        <v>-180.648</v>
      </c>
      <c r="AA412" s="4" t="str">
        <f>IF(Sheet1[[#This Row],[Net Profit]]&gt;0,"Profit","Loss")</f>
        <v>Loss</v>
      </c>
    </row>
    <row r="413" spans="1:27" x14ac:dyDescent="0.25">
      <c r="A413" t="s">
        <v>652</v>
      </c>
      <c r="B413" s="1">
        <v>40573</v>
      </c>
      <c r="C413" s="1">
        <v>40578</v>
      </c>
      <c r="D413" t="s">
        <v>18</v>
      </c>
      <c r="E413" t="s">
        <v>653</v>
      </c>
      <c r="F413" t="s">
        <v>3</v>
      </c>
      <c r="G413" t="s">
        <v>450</v>
      </c>
      <c r="H413" t="s">
        <v>223</v>
      </c>
      <c r="I413" t="s">
        <v>6</v>
      </c>
      <c r="J413" t="s">
        <v>6</v>
      </c>
      <c r="K413" t="s">
        <v>7</v>
      </c>
      <c r="L413" t="s">
        <v>96</v>
      </c>
      <c r="M413">
        <v>12</v>
      </c>
      <c r="N413">
        <v>1</v>
      </c>
      <c r="O413">
        <v>0.7</v>
      </c>
      <c r="P413">
        <v>-8.2829999999999995</v>
      </c>
      <c r="Q413">
        <v>0.32</v>
      </c>
      <c r="R413" t="s">
        <v>9</v>
      </c>
      <c r="S413">
        <f>Sheet1[[#This Row],[Ship_date]]-Sheet1[[#This Row],[Order_date]]</f>
        <v>5</v>
      </c>
      <c r="T413">
        <f>Sheet1[[#This Row],[Quantity]]*Sheet1[[#This Row],[Sales]]</f>
        <v>12</v>
      </c>
      <c r="U413">
        <f>Sheet1[[#This Row],[Total Sales]]*Sheet1[[#This Row],[Discount]]</f>
        <v>8.3999999999999986</v>
      </c>
      <c r="V413" s="4">
        <f>Sheet1[[#This Row],[Total Sales]]-Sheet1[[#This Row],[Total Sales]]*Sheet1[[#This Row],[Discount]]</f>
        <v>3.6000000000000014</v>
      </c>
      <c r="W413" s="4">
        <f>Sheet1[[#This Row],[Quantity]]*Sheet1[[#This Row],[Profit]]</f>
        <v>-8.2829999999999995</v>
      </c>
      <c r="X413" s="5">
        <f>Sheet1[[#This Row],[Total Profit]]/Sheet1[[#This Row],[Sales After Discount]]</f>
        <v>-2.3008333333333324</v>
      </c>
      <c r="Y413" s="4">
        <f>Sheet1[[#This Row],[Shipping_cost]]*Sheet1[[#This Row],[Quantity]]</f>
        <v>0.32</v>
      </c>
      <c r="Z413" s="4">
        <f>Sheet1[[#This Row],[Total Profit]]-Sheet1[[#This Row],[Total Shipping Cost]]</f>
        <v>-8.6029999999999998</v>
      </c>
      <c r="AA413" s="4" t="str">
        <f>IF(Sheet1[[#This Row],[Net Profit]]&gt;0,"Profit","Loss")</f>
        <v>Loss</v>
      </c>
    </row>
    <row r="414" spans="1:27" x14ac:dyDescent="0.25">
      <c r="A414" t="s">
        <v>652</v>
      </c>
      <c r="B414" s="1">
        <v>40573</v>
      </c>
      <c r="C414" s="1">
        <v>40578</v>
      </c>
      <c r="D414" t="s">
        <v>18</v>
      </c>
      <c r="E414" t="s">
        <v>653</v>
      </c>
      <c r="F414" t="s">
        <v>3</v>
      </c>
      <c r="G414" t="s">
        <v>450</v>
      </c>
      <c r="H414" t="s">
        <v>223</v>
      </c>
      <c r="I414" t="s">
        <v>6</v>
      </c>
      <c r="J414" t="s">
        <v>6</v>
      </c>
      <c r="K414" t="s">
        <v>7</v>
      </c>
      <c r="L414" t="s">
        <v>137</v>
      </c>
      <c r="M414">
        <v>1</v>
      </c>
      <c r="N414">
        <v>1</v>
      </c>
      <c r="O414">
        <v>0.7</v>
      </c>
      <c r="P414">
        <v>-2.3490000000000002</v>
      </c>
      <c r="Q414">
        <v>0.12</v>
      </c>
      <c r="R414" t="s">
        <v>9</v>
      </c>
      <c r="S414">
        <f>Sheet1[[#This Row],[Ship_date]]-Sheet1[[#This Row],[Order_date]]</f>
        <v>5</v>
      </c>
      <c r="T414">
        <f>Sheet1[[#This Row],[Quantity]]*Sheet1[[#This Row],[Sales]]</f>
        <v>1</v>
      </c>
      <c r="U414">
        <f>Sheet1[[#This Row],[Total Sales]]*Sheet1[[#This Row],[Discount]]</f>
        <v>0.7</v>
      </c>
      <c r="V414" s="4">
        <f>Sheet1[[#This Row],[Total Sales]]-Sheet1[[#This Row],[Total Sales]]*Sheet1[[#This Row],[Discount]]</f>
        <v>0.30000000000000004</v>
      </c>
      <c r="W414" s="4">
        <f>Sheet1[[#This Row],[Quantity]]*Sheet1[[#This Row],[Profit]]</f>
        <v>-2.3490000000000002</v>
      </c>
      <c r="X414" s="5">
        <f>Sheet1[[#This Row],[Total Profit]]/Sheet1[[#This Row],[Sales After Discount]]</f>
        <v>-7.8299999999999992</v>
      </c>
      <c r="Y414" s="4">
        <f>Sheet1[[#This Row],[Shipping_cost]]*Sheet1[[#This Row],[Quantity]]</f>
        <v>0.12</v>
      </c>
      <c r="Z414" s="4">
        <f>Sheet1[[#This Row],[Total Profit]]-Sheet1[[#This Row],[Total Shipping Cost]]</f>
        <v>-2.4690000000000003</v>
      </c>
      <c r="AA414" s="4" t="str">
        <f>IF(Sheet1[[#This Row],[Net Profit]]&gt;0,"Profit","Loss")</f>
        <v>Loss</v>
      </c>
    </row>
    <row r="415" spans="1:27" x14ac:dyDescent="0.25">
      <c r="A415" t="s">
        <v>656</v>
      </c>
      <c r="B415" s="1">
        <v>40574</v>
      </c>
      <c r="C415" s="1">
        <v>40580</v>
      </c>
      <c r="D415" t="s">
        <v>1</v>
      </c>
      <c r="E415" t="s">
        <v>657</v>
      </c>
      <c r="F415" t="s">
        <v>3</v>
      </c>
      <c r="G415" t="s">
        <v>523</v>
      </c>
      <c r="H415" t="s">
        <v>49</v>
      </c>
      <c r="I415" t="s">
        <v>14</v>
      </c>
      <c r="J415" t="s">
        <v>15</v>
      </c>
      <c r="K415" t="s">
        <v>38</v>
      </c>
      <c r="L415" t="s">
        <v>77</v>
      </c>
      <c r="M415">
        <v>2571</v>
      </c>
      <c r="N415">
        <v>4</v>
      </c>
      <c r="O415">
        <v>0</v>
      </c>
      <c r="P415">
        <v>102.84</v>
      </c>
      <c r="Q415">
        <v>129</v>
      </c>
      <c r="R415" t="s">
        <v>9</v>
      </c>
      <c r="S415">
        <f>Sheet1[[#This Row],[Ship_date]]-Sheet1[[#This Row],[Order_date]]</f>
        <v>6</v>
      </c>
      <c r="T415">
        <f>Sheet1[[#This Row],[Quantity]]*Sheet1[[#This Row],[Sales]]</f>
        <v>10284</v>
      </c>
      <c r="U415">
        <f>Sheet1[[#This Row],[Total Sales]]*Sheet1[[#This Row],[Discount]]</f>
        <v>0</v>
      </c>
      <c r="V415" s="4">
        <f>Sheet1[[#This Row],[Total Sales]]-Sheet1[[#This Row],[Total Sales]]*Sheet1[[#This Row],[Discount]]</f>
        <v>10284</v>
      </c>
      <c r="W415" s="4">
        <f>Sheet1[[#This Row],[Quantity]]*Sheet1[[#This Row],[Profit]]</f>
        <v>411.36</v>
      </c>
      <c r="X415" s="5">
        <f>Sheet1[[#This Row],[Total Profit]]/Sheet1[[#This Row],[Sales After Discount]]</f>
        <v>0.04</v>
      </c>
      <c r="Y415" s="4">
        <f>Sheet1[[#This Row],[Shipping_cost]]*Sheet1[[#This Row],[Quantity]]</f>
        <v>516</v>
      </c>
      <c r="Z415" s="4">
        <f>Sheet1[[#This Row],[Total Profit]]-Sheet1[[#This Row],[Total Shipping Cost]]</f>
        <v>-104.63999999999999</v>
      </c>
      <c r="AA415" s="4" t="str">
        <f>IF(Sheet1[[#This Row],[Net Profit]]&gt;0,"Profit","Loss")</f>
        <v>Loss</v>
      </c>
    </row>
    <row r="416" spans="1:27" x14ac:dyDescent="0.25">
      <c r="A416" t="s">
        <v>656</v>
      </c>
      <c r="B416" s="1">
        <v>40574</v>
      </c>
      <c r="C416" s="1">
        <v>40580</v>
      </c>
      <c r="D416" t="s">
        <v>1</v>
      </c>
      <c r="E416" t="s">
        <v>657</v>
      </c>
      <c r="F416" t="s">
        <v>3</v>
      </c>
      <c r="G416" t="s">
        <v>523</v>
      </c>
      <c r="H416" t="s">
        <v>49</v>
      </c>
      <c r="I416" t="s">
        <v>14</v>
      </c>
      <c r="J416" t="s">
        <v>15</v>
      </c>
      <c r="K416" t="s">
        <v>32</v>
      </c>
      <c r="L416" t="s">
        <v>62</v>
      </c>
      <c r="M416">
        <v>1917</v>
      </c>
      <c r="N416">
        <v>4</v>
      </c>
      <c r="O416">
        <v>0</v>
      </c>
      <c r="P416">
        <v>517.55999999999995</v>
      </c>
      <c r="Q416">
        <v>104.29</v>
      </c>
      <c r="R416" t="s">
        <v>9</v>
      </c>
      <c r="S416">
        <f>Sheet1[[#This Row],[Ship_date]]-Sheet1[[#This Row],[Order_date]]</f>
        <v>6</v>
      </c>
      <c r="T416">
        <f>Sheet1[[#This Row],[Quantity]]*Sheet1[[#This Row],[Sales]]</f>
        <v>7668</v>
      </c>
      <c r="U416">
        <f>Sheet1[[#This Row],[Total Sales]]*Sheet1[[#This Row],[Discount]]</f>
        <v>0</v>
      </c>
      <c r="V416" s="4">
        <f>Sheet1[[#This Row],[Total Sales]]-Sheet1[[#This Row],[Total Sales]]*Sheet1[[#This Row],[Discount]]</f>
        <v>7668</v>
      </c>
      <c r="W416" s="4">
        <f>Sheet1[[#This Row],[Quantity]]*Sheet1[[#This Row],[Profit]]</f>
        <v>2070.2399999999998</v>
      </c>
      <c r="X416" s="5">
        <f>Sheet1[[#This Row],[Total Profit]]/Sheet1[[#This Row],[Sales After Discount]]</f>
        <v>0.26998435054773079</v>
      </c>
      <c r="Y416" s="4">
        <f>Sheet1[[#This Row],[Shipping_cost]]*Sheet1[[#This Row],[Quantity]]</f>
        <v>417.16</v>
      </c>
      <c r="Z416" s="4">
        <f>Sheet1[[#This Row],[Total Profit]]-Sheet1[[#This Row],[Total Shipping Cost]]</f>
        <v>1653.0799999999997</v>
      </c>
      <c r="AA416" s="4" t="str">
        <f>IF(Sheet1[[#This Row],[Net Profit]]&gt;0,"Profit","Loss")</f>
        <v>Profit</v>
      </c>
    </row>
    <row r="417" spans="1:27" x14ac:dyDescent="0.25">
      <c r="A417" t="s">
        <v>658</v>
      </c>
      <c r="B417" s="1">
        <v>40574</v>
      </c>
      <c r="C417" s="1">
        <v>40579</v>
      </c>
      <c r="D417" t="s">
        <v>1</v>
      </c>
      <c r="E417" t="s">
        <v>659</v>
      </c>
      <c r="F417" t="s">
        <v>43</v>
      </c>
      <c r="G417" t="s">
        <v>660</v>
      </c>
      <c r="H417" t="s">
        <v>13</v>
      </c>
      <c r="I417" t="s">
        <v>14</v>
      </c>
      <c r="J417" t="s">
        <v>15</v>
      </c>
      <c r="K417" t="s">
        <v>38</v>
      </c>
      <c r="L417" t="s">
        <v>39</v>
      </c>
      <c r="M417">
        <v>839</v>
      </c>
      <c r="N417">
        <v>3</v>
      </c>
      <c r="O417">
        <v>0.1</v>
      </c>
      <c r="P417">
        <v>121.113</v>
      </c>
      <c r="Q417">
        <v>54.17</v>
      </c>
      <c r="R417" t="s">
        <v>23</v>
      </c>
      <c r="S417">
        <f>Sheet1[[#This Row],[Ship_date]]-Sheet1[[#This Row],[Order_date]]</f>
        <v>5</v>
      </c>
      <c r="T417">
        <f>Sheet1[[#This Row],[Quantity]]*Sheet1[[#This Row],[Sales]]</f>
        <v>2517</v>
      </c>
      <c r="U417">
        <f>Sheet1[[#This Row],[Total Sales]]*Sheet1[[#This Row],[Discount]]</f>
        <v>251.70000000000002</v>
      </c>
      <c r="V417" s="4">
        <f>Sheet1[[#This Row],[Total Sales]]-Sheet1[[#This Row],[Total Sales]]*Sheet1[[#This Row],[Discount]]</f>
        <v>2265.3000000000002</v>
      </c>
      <c r="W417" s="4">
        <f>Sheet1[[#This Row],[Quantity]]*Sheet1[[#This Row],[Profit]]</f>
        <v>363.339</v>
      </c>
      <c r="X417" s="5">
        <f>Sheet1[[#This Row],[Total Profit]]/Sheet1[[#This Row],[Sales After Discount]]</f>
        <v>0.16039332538736589</v>
      </c>
      <c r="Y417" s="4">
        <f>Sheet1[[#This Row],[Shipping_cost]]*Sheet1[[#This Row],[Quantity]]</f>
        <v>162.51</v>
      </c>
      <c r="Z417" s="4">
        <f>Sheet1[[#This Row],[Total Profit]]-Sheet1[[#This Row],[Total Shipping Cost]]</f>
        <v>200.82900000000001</v>
      </c>
      <c r="AA417" s="4" t="str">
        <f>IF(Sheet1[[#This Row],[Net Profit]]&gt;0,"Profit","Loss")</f>
        <v>Profit</v>
      </c>
    </row>
    <row r="418" spans="1:27" x14ac:dyDescent="0.25">
      <c r="A418" t="s">
        <v>661</v>
      </c>
      <c r="B418" s="1">
        <v>40574</v>
      </c>
      <c r="C418" s="1">
        <v>40579</v>
      </c>
      <c r="D418" t="s">
        <v>1</v>
      </c>
      <c r="E418" t="s">
        <v>662</v>
      </c>
      <c r="F418" t="s">
        <v>3</v>
      </c>
      <c r="G418" t="s">
        <v>468</v>
      </c>
      <c r="H418" t="s">
        <v>126</v>
      </c>
      <c r="I418" t="s">
        <v>127</v>
      </c>
      <c r="J418" t="s">
        <v>76</v>
      </c>
      <c r="K418" t="s">
        <v>7</v>
      </c>
      <c r="L418" t="s">
        <v>8</v>
      </c>
      <c r="M418">
        <v>230</v>
      </c>
      <c r="N418">
        <v>2</v>
      </c>
      <c r="O418">
        <v>0</v>
      </c>
      <c r="P418">
        <v>6.8982000000000001</v>
      </c>
      <c r="Q418">
        <v>22.58</v>
      </c>
      <c r="R418" t="s">
        <v>23</v>
      </c>
      <c r="S418">
        <f>Sheet1[[#This Row],[Ship_date]]-Sheet1[[#This Row],[Order_date]]</f>
        <v>5</v>
      </c>
      <c r="T418">
        <f>Sheet1[[#This Row],[Quantity]]*Sheet1[[#This Row],[Sales]]</f>
        <v>460</v>
      </c>
      <c r="U418">
        <f>Sheet1[[#This Row],[Total Sales]]*Sheet1[[#This Row],[Discount]]</f>
        <v>0</v>
      </c>
      <c r="V418" s="4">
        <f>Sheet1[[#This Row],[Total Sales]]-Sheet1[[#This Row],[Total Sales]]*Sheet1[[#This Row],[Discount]]</f>
        <v>460</v>
      </c>
      <c r="W418" s="4">
        <f>Sheet1[[#This Row],[Quantity]]*Sheet1[[#This Row],[Profit]]</f>
        <v>13.7964</v>
      </c>
      <c r="X418" s="5">
        <f>Sheet1[[#This Row],[Total Profit]]/Sheet1[[#This Row],[Sales After Discount]]</f>
        <v>2.9992173913043478E-2</v>
      </c>
      <c r="Y418" s="4">
        <f>Sheet1[[#This Row],[Shipping_cost]]*Sheet1[[#This Row],[Quantity]]</f>
        <v>45.16</v>
      </c>
      <c r="Z418" s="4">
        <f>Sheet1[[#This Row],[Total Profit]]-Sheet1[[#This Row],[Total Shipping Cost]]</f>
        <v>-31.363599999999998</v>
      </c>
      <c r="AA418" s="4" t="str">
        <f>IF(Sheet1[[#This Row],[Net Profit]]&gt;0,"Profit","Loss")</f>
        <v>Loss</v>
      </c>
    </row>
    <row r="419" spans="1:27" x14ac:dyDescent="0.25">
      <c r="A419" t="s">
        <v>663</v>
      </c>
      <c r="B419" s="1">
        <v>40574</v>
      </c>
      <c r="C419" s="1">
        <v>40578</v>
      </c>
      <c r="D419" t="s">
        <v>1</v>
      </c>
      <c r="E419" t="s">
        <v>664</v>
      </c>
      <c r="F419" t="s">
        <v>3</v>
      </c>
      <c r="G419" t="s">
        <v>665</v>
      </c>
      <c r="H419" t="s">
        <v>580</v>
      </c>
      <c r="I419" t="s">
        <v>6</v>
      </c>
      <c r="J419" t="s">
        <v>6</v>
      </c>
      <c r="K419" t="s">
        <v>32</v>
      </c>
      <c r="L419" t="s">
        <v>67</v>
      </c>
      <c r="M419">
        <v>436</v>
      </c>
      <c r="N419">
        <v>1</v>
      </c>
      <c r="O419">
        <v>0</v>
      </c>
      <c r="P419">
        <v>178.74</v>
      </c>
      <c r="Q419">
        <v>22.32</v>
      </c>
      <c r="R419" t="s">
        <v>9</v>
      </c>
      <c r="S419">
        <f>Sheet1[[#This Row],[Ship_date]]-Sheet1[[#This Row],[Order_date]]</f>
        <v>4</v>
      </c>
      <c r="T419">
        <f>Sheet1[[#This Row],[Quantity]]*Sheet1[[#This Row],[Sales]]</f>
        <v>436</v>
      </c>
      <c r="U419">
        <f>Sheet1[[#This Row],[Total Sales]]*Sheet1[[#This Row],[Discount]]</f>
        <v>0</v>
      </c>
      <c r="V419" s="4">
        <f>Sheet1[[#This Row],[Total Sales]]-Sheet1[[#This Row],[Total Sales]]*Sheet1[[#This Row],[Discount]]</f>
        <v>436</v>
      </c>
      <c r="W419" s="4">
        <f>Sheet1[[#This Row],[Quantity]]*Sheet1[[#This Row],[Profit]]</f>
        <v>178.74</v>
      </c>
      <c r="X419" s="5">
        <f>Sheet1[[#This Row],[Total Profit]]/Sheet1[[#This Row],[Sales After Discount]]</f>
        <v>0.40995412844036699</v>
      </c>
      <c r="Y419" s="4">
        <f>Sheet1[[#This Row],[Shipping_cost]]*Sheet1[[#This Row],[Quantity]]</f>
        <v>22.32</v>
      </c>
      <c r="Z419" s="4">
        <f>Sheet1[[#This Row],[Total Profit]]-Sheet1[[#This Row],[Total Shipping Cost]]</f>
        <v>156.42000000000002</v>
      </c>
      <c r="AA419" s="4" t="str">
        <f>IF(Sheet1[[#This Row],[Net Profit]]&gt;0,"Profit","Loss")</f>
        <v>Profit</v>
      </c>
    </row>
    <row r="420" spans="1:27" x14ac:dyDescent="0.25">
      <c r="A420" t="s">
        <v>663</v>
      </c>
      <c r="B420" s="1">
        <v>40574</v>
      </c>
      <c r="C420" s="1">
        <v>40578</v>
      </c>
      <c r="D420" t="s">
        <v>1</v>
      </c>
      <c r="E420" t="s">
        <v>664</v>
      </c>
      <c r="F420" t="s">
        <v>3</v>
      </c>
      <c r="G420" t="s">
        <v>665</v>
      </c>
      <c r="H420" t="s">
        <v>580</v>
      </c>
      <c r="I420" t="s">
        <v>6</v>
      </c>
      <c r="J420" t="s">
        <v>6</v>
      </c>
      <c r="K420" t="s">
        <v>32</v>
      </c>
      <c r="L420" t="s">
        <v>56</v>
      </c>
      <c r="M420">
        <v>334</v>
      </c>
      <c r="N420">
        <v>2</v>
      </c>
      <c r="O420">
        <v>0</v>
      </c>
      <c r="P420">
        <v>26.7</v>
      </c>
      <c r="Q420">
        <v>19.34</v>
      </c>
      <c r="R420" t="s">
        <v>9</v>
      </c>
      <c r="S420">
        <f>Sheet1[[#This Row],[Ship_date]]-Sheet1[[#This Row],[Order_date]]</f>
        <v>4</v>
      </c>
      <c r="T420">
        <f>Sheet1[[#This Row],[Quantity]]*Sheet1[[#This Row],[Sales]]</f>
        <v>668</v>
      </c>
      <c r="U420">
        <f>Sheet1[[#This Row],[Total Sales]]*Sheet1[[#This Row],[Discount]]</f>
        <v>0</v>
      </c>
      <c r="V420" s="4">
        <f>Sheet1[[#This Row],[Total Sales]]-Sheet1[[#This Row],[Total Sales]]*Sheet1[[#This Row],[Discount]]</f>
        <v>668</v>
      </c>
      <c r="W420" s="4">
        <f>Sheet1[[#This Row],[Quantity]]*Sheet1[[#This Row],[Profit]]</f>
        <v>53.4</v>
      </c>
      <c r="X420" s="5">
        <f>Sheet1[[#This Row],[Total Profit]]/Sheet1[[#This Row],[Sales After Discount]]</f>
        <v>7.9940119760479045E-2</v>
      </c>
      <c r="Y420" s="4">
        <f>Sheet1[[#This Row],[Shipping_cost]]*Sheet1[[#This Row],[Quantity]]</f>
        <v>38.68</v>
      </c>
      <c r="Z420" s="4">
        <f>Sheet1[[#This Row],[Total Profit]]-Sheet1[[#This Row],[Total Shipping Cost]]</f>
        <v>14.719999999999999</v>
      </c>
      <c r="AA420" s="4" t="str">
        <f>IF(Sheet1[[#This Row],[Net Profit]]&gt;0,"Profit","Loss")</f>
        <v>Profit</v>
      </c>
    </row>
    <row r="421" spans="1:27" x14ac:dyDescent="0.25">
      <c r="A421" t="s">
        <v>658</v>
      </c>
      <c r="B421" s="1">
        <v>40574</v>
      </c>
      <c r="C421" s="1">
        <v>40579</v>
      </c>
      <c r="D421" t="s">
        <v>1</v>
      </c>
      <c r="E421" t="s">
        <v>659</v>
      </c>
      <c r="F421" t="s">
        <v>43</v>
      </c>
      <c r="G421" t="s">
        <v>660</v>
      </c>
      <c r="H421" t="s">
        <v>13</v>
      </c>
      <c r="I421" t="s">
        <v>14</v>
      </c>
      <c r="J421" t="s">
        <v>15</v>
      </c>
      <c r="K421" t="s">
        <v>32</v>
      </c>
      <c r="L421" t="s">
        <v>56</v>
      </c>
      <c r="M421">
        <v>374</v>
      </c>
      <c r="N421">
        <v>8</v>
      </c>
      <c r="O421">
        <v>0.1</v>
      </c>
      <c r="P421">
        <v>24.696000000000002</v>
      </c>
      <c r="Q421">
        <v>15.85</v>
      </c>
      <c r="R421" t="s">
        <v>23</v>
      </c>
      <c r="S421">
        <f>Sheet1[[#This Row],[Ship_date]]-Sheet1[[#This Row],[Order_date]]</f>
        <v>5</v>
      </c>
      <c r="T421">
        <f>Sheet1[[#This Row],[Quantity]]*Sheet1[[#This Row],[Sales]]</f>
        <v>2992</v>
      </c>
      <c r="U421">
        <f>Sheet1[[#This Row],[Total Sales]]*Sheet1[[#This Row],[Discount]]</f>
        <v>299.2</v>
      </c>
      <c r="V421" s="4">
        <f>Sheet1[[#This Row],[Total Sales]]-Sheet1[[#This Row],[Total Sales]]*Sheet1[[#This Row],[Discount]]</f>
        <v>2692.8</v>
      </c>
      <c r="W421" s="4">
        <f>Sheet1[[#This Row],[Quantity]]*Sheet1[[#This Row],[Profit]]</f>
        <v>197.56800000000001</v>
      </c>
      <c r="X421" s="5">
        <f>Sheet1[[#This Row],[Total Profit]]/Sheet1[[#This Row],[Sales After Discount]]</f>
        <v>7.3368983957219247E-2</v>
      </c>
      <c r="Y421" s="4">
        <f>Sheet1[[#This Row],[Shipping_cost]]*Sheet1[[#This Row],[Quantity]]</f>
        <v>126.8</v>
      </c>
      <c r="Z421" s="4">
        <f>Sheet1[[#This Row],[Total Profit]]-Sheet1[[#This Row],[Total Shipping Cost]]</f>
        <v>70.768000000000015</v>
      </c>
      <c r="AA421" s="4" t="str">
        <f>IF(Sheet1[[#This Row],[Net Profit]]&gt;0,"Profit","Loss")</f>
        <v>Profit</v>
      </c>
    </row>
    <row r="422" spans="1:27" x14ac:dyDescent="0.25">
      <c r="A422" t="s">
        <v>666</v>
      </c>
      <c r="B422" s="1">
        <v>40574</v>
      </c>
      <c r="C422" s="1">
        <v>40577</v>
      </c>
      <c r="D422" t="s">
        <v>142</v>
      </c>
      <c r="E422" t="s">
        <v>667</v>
      </c>
      <c r="F422" t="s">
        <v>3</v>
      </c>
      <c r="G422" t="s">
        <v>344</v>
      </c>
      <c r="H422" t="s">
        <v>345</v>
      </c>
      <c r="I422" t="s">
        <v>75</v>
      </c>
      <c r="J422" t="s">
        <v>76</v>
      </c>
      <c r="K422" t="s">
        <v>7</v>
      </c>
      <c r="L422" t="s">
        <v>31</v>
      </c>
      <c r="M422">
        <v>35</v>
      </c>
      <c r="N422">
        <v>3</v>
      </c>
      <c r="O422">
        <v>0</v>
      </c>
      <c r="P422">
        <v>12.66</v>
      </c>
      <c r="Q422">
        <v>12.7</v>
      </c>
      <c r="R422" t="s">
        <v>45</v>
      </c>
      <c r="S422">
        <f>Sheet1[[#This Row],[Ship_date]]-Sheet1[[#This Row],[Order_date]]</f>
        <v>3</v>
      </c>
      <c r="T422">
        <f>Sheet1[[#This Row],[Quantity]]*Sheet1[[#This Row],[Sales]]</f>
        <v>105</v>
      </c>
      <c r="U422">
        <f>Sheet1[[#This Row],[Total Sales]]*Sheet1[[#This Row],[Discount]]</f>
        <v>0</v>
      </c>
      <c r="V422" s="4">
        <f>Sheet1[[#This Row],[Total Sales]]-Sheet1[[#This Row],[Total Sales]]*Sheet1[[#This Row],[Discount]]</f>
        <v>105</v>
      </c>
      <c r="W422" s="4">
        <f>Sheet1[[#This Row],[Quantity]]*Sheet1[[#This Row],[Profit]]</f>
        <v>37.980000000000004</v>
      </c>
      <c r="X422" s="5">
        <f>Sheet1[[#This Row],[Total Profit]]/Sheet1[[#This Row],[Sales After Discount]]</f>
        <v>0.36171428571428577</v>
      </c>
      <c r="Y422" s="4">
        <f>Sheet1[[#This Row],[Shipping_cost]]*Sheet1[[#This Row],[Quantity]]</f>
        <v>38.099999999999994</v>
      </c>
      <c r="Z422" s="4">
        <f>Sheet1[[#This Row],[Total Profit]]-Sheet1[[#This Row],[Total Shipping Cost]]</f>
        <v>-0.11999999999999034</v>
      </c>
      <c r="AA422" s="4" t="str">
        <f>IF(Sheet1[[#This Row],[Net Profit]]&gt;0,"Profit","Loss")</f>
        <v>Loss</v>
      </c>
    </row>
    <row r="423" spans="1:27" x14ac:dyDescent="0.25">
      <c r="A423" t="s">
        <v>668</v>
      </c>
      <c r="B423" s="1">
        <v>40574</v>
      </c>
      <c r="C423" s="1">
        <v>40580</v>
      </c>
      <c r="D423" t="s">
        <v>1</v>
      </c>
      <c r="E423" t="s">
        <v>669</v>
      </c>
      <c r="F423" t="s">
        <v>3</v>
      </c>
      <c r="G423" t="s">
        <v>670</v>
      </c>
      <c r="H423" t="s">
        <v>169</v>
      </c>
      <c r="I423" t="s">
        <v>14</v>
      </c>
      <c r="J423" t="s">
        <v>132</v>
      </c>
      <c r="K423" t="s">
        <v>7</v>
      </c>
      <c r="L423" t="s">
        <v>137</v>
      </c>
      <c r="M423">
        <v>164</v>
      </c>
      <c r="N423">
        <v>6</v>
      </c>
      <c r="O423">
        <v>0</v>
      </c>
      <c r="P423">
        <v>18</v>
      </c>
      <c r="Q423">
        <v>10.65</v>
      </c>
      <c r="R423" t="s">
        <v>9</v>
      </c>
      <c r="S423">
        <f>Sheet1[[#This Row],[Ship_date]]-Sheet1[[#This Row],[Order_date]]</f>
        <v>6</v>
      </c>
      <c r="T423">
        <f>Sheet1[[#This Row],[Quantity]]*Sheet1[[#This Row],[Sales]]</f>
        <v>984</v>
      </c>
      <c r="U423">
        <f>Sheet1[[#This Row],[Total Sales]]*Sheet1[[#This Row],[Discount]]</f>
        <v>0</v>
      </c>
      <c r="V423" s="4">
        <f>Sheet1[[#This Row],[Total Sales]]-Sheet1[[#This Row],[Total Sales]]*Sheet1[[#This Row],[Discount]]</f>
        <v>984</v>
      </c>
      <c r="W423" s="4">
        <f>Sheet1[[#This Row],[Quantity]]*Sheet1[[#This Row],[Profit]]</f>
        <v>108</v>
      </c>
      <c r="X423" s="5">
        <f>Sheet1[[#This Row],[Total Profit]]/Sheet1[[#This Row],[Sales After Discount]]</f>
        <v>0.10975609756097561</v>
      </c>
      <c r="Y423" s="4">
        <f>Sheet1[[#This Row],[Shipping_cost]]*Sheet1[[#This Row],[Quantity]]</f>
        <v>63.900000000000006</v>
      </c>
      <c r="Z423" s="4">
        <f>Sheet1[[#This Row],[Total Profit]]-Sheet1[[#This Row],[Total Shipping Cost]]</f>
        <v>44.099999999999994</v>
      </c>
      <c r="AA423" s="4" t="str">
        <f>IF(Sheet1[[#This Row],[Net Profit]]&gt;0,"Profit","Loss")</f>
        <v>Profit</v>
      </c>
    </row>
    <row r="424" spans="1:27" x14ac:dyDescent="0.25">
      <c r="A424" t="s">
        <v>671</v>
      </c>
      <c r="B424" s="1">
        <v>40574</v>
      </c>
      <c r="C424" s="1">
        <v>40580</v>
      </c>
      <c r="D424" t="s">
        <v>1</v>
      </c>
      <c r="E424" t="s">
        <v>672</v>
      </c>
      <c r="F424" t="s">
        <v>43</v>
      </c>
      <c r="G424" t="s">
        <v>673</v>
      </c>
      <c r="H424" t="s">
        <v>368</v>
      </c>
      <c r="I424" t="s">
        <v>75</v>
      </c>
      <c r="J424" t="s">
        <v>111</v>
      </c>
      <c r="K424" t="s">
        <v>7</v>
      </c>
      <c r="L424" t="s">
        <v>137</v>
      </c>
      <c r="M424">
        <v>85</v>
      </c>
      <c r="N424">
        <v>3</v>
      </c>
      <c r="O424">
        <v>0.2</v>
      </c>
      <c r="P424">
        <v>-20.148</v>
      </c>
      <c r="Q424">
        <v>8.52</v>
      </c>
      <c r="R424" t="s">
        <v>9</v>
      </c>
      <c r="S424">
        <f>Sheet1[[#This Row],[Ship_date]]-Sheet1[[#This Row],[Order_date]]</f>
        <v>6</v>
      </c>
      <c r="T424">
        <f>Sheet1[[#This Row],[Quantity]]*Sheet1[[#This Row],[Sales]]</f>
        <v>255</v>
      </c>
      <c r="U424">
        <f>Sheet1[[#This Row],[Total Sales]]*Sheet1[[#This Row],[Discount]]</f>
        <v>51</v>
      </c>
      <c r="V424" s="4">
        <f>Sheet1[[#This Row],[Total Sales]]-Sheet1[[#This Row],[Total Sales]]*Sheet1[[#This Row],[Discount]]</f>
        <v>204</v>
      </c>
      <c r="W424" s="4">
        <f>Sheet1[[#This Row],[Quantity]]*Sheet1[[#This Row],[Profit]]</f>
        <v>-60.444000000000003</v>
      </c>
      <c r="X424" s="5">
        <f>Sheet1[[#This Row],[Total Profit]]/Sheet1[[#This Row],[Sales After Discount]]</f>
        <v>-0.29629411764705882</v>
      </c>
      <c r="Y424" s="4">
        <f>Sheet1[[#This Row],[Shipping_cost]]*Sheet1[[#This Row],[Quantity]]</f>
        <v>25.56</v>
      </c>
      <c r="Z424" s="4">
        <f>Sheet1[[#This Row],[Total Profit]]-Sheet1[[#This Row],[Total Shipping Cost]]</f>
        <v>-86.004000000000005</v>
      </c>
      <c r="AA424" s="4" t="str">
        <f>IF(Sheet1[[#This Row],[Net Profit]]&gt;0,"Profit","Loss")</f>
        <v>Loss</v>
      </c>
    </row>
    <row r="425" spans="1:27" x14ac:dyDescent="0.25">
      <c r="A425" t="s">
        <v>663</v>
      </c>
      <c r="B425" s="1">
        <v>40574</v>
      </c>
      <c r="C425" s="1">
        <v>40578</v>
      </c>
      <c r="D425" t="s">
        <v>1</v>
      </c>
      <c r="E425" t="s">
        <v>664</v>
      </c>
      <c r="F425" t="s">
        <v>3</v>
      </c>
      <c r="G425" t="s">
        <v>665</v>
      </c>
      <c r="H425" t="s">
        <v>580</v>
      </c>
      <c r="I425" t="s">
        <v>6</v>
      </c>
      <c r="J425" t="s">
        <v>6</v>
      </c>
      <c r="K425" t="s">
        <v>7</v>
      </c>
      <c r="L425" t="s">
        <v>16</v>
      </c>
      <c r="M425">
        <v>95</v>
      </c>
      <c r="N425">
        <v>4</v>
      </c>
      <c r="O425">
        <v>0</v>
      </c>
      <c r="P425">
        <v>23.76</v>
      </c>
      <c r="Q425">
        <v>6.18</v>
      </c>
      <c r="R425" t="s">
        <v>9</v>
      </c>
      <c r="S425">
        <f>Sheet1[[#This Row],[Ship_date]]-Sheet1[[#This Row],[Order_date]]</f>
        <v>4</v>
      </c>
      <c r="T425">
        <f>Sheet1[[#This Row],[Quantity]]*Sheet1[[#This Row],[Sales]]</f>
        <v>380</v>
      </c>
      <c r="U425">
        <f>Sheet1[[#This Row],[Total Sales]]*Sheet1[[#This Row],[Discount]]</f>
        <v>0</v>
      </c>
      <c r="V425" s="4">
        <f>Sheet1[[#This Row],[Total Sales]]-Sheet1[[#This Row],[Total Sales]]*Sheet1[[#This Row],[Discount]]</f>
        <v>380</v>
      </c>
      <c r="W425" s="4">
        <f>Sheet1[[#This Row],[Quantity]]*Sheet1[[#This Row],[Profit]]</f>
        <v>95.04</v>
      </c>
      <c r="X425" s="5">
        <f>Sheet1[[#This Row],[Total Profit]]/Sheet1[[#This Row],[Sales After Discount]]</f>
        <v>0.25010526315789477</v>
      </c>
      <c r="Y425" s="4">
        <f>Sheet1[[#This Row],[Shipping_cost]]*Sheet1[[#This Row],[Quantity]]</f>
        <v>24.72</v>
      </c>
      <c r="Z425" s="4">
        <f>Sheet1[[#This Row],[Total Profit]]-Sheet1[[#This Row],[Total Shipping Cost]]</f>
        <v>70.320000000000007</v>
      </c>
      <c r="AA425" s="4" t="str">
        <f>IF(Sheet1[[#This Row],[Net Profit]]&gt;0,"Profit","Loss")</f>
        <v>Profit</v>
      </c>
    </row>
    <row r="426" spans="1:27" x14ac:dyDescent="0.25">
      <c r="A426" t="s">
        <v>656</v>
      </c>
      <c r="B426" s="1">
        <v>40574</v>
      </c>
      <c r="C426" s="1">
        <v>40580</v>
      </c>
      <c r="D426" t="s">
        <v>1</v>
      </c>
      <c r="E426" t="s">
        <v>657</v>
      </c>
      <c r="F426" t="s">
        <v>3</v>
      </c>
      <c r="G426" t="s">
        <v>523</v>
      </c>
      <c r="H426" t="s">
        <v>49</v>
      </c>
      <c r="I426" t="s">
        <v>14</v>
      </c>
      <c r="J426" t="s">
        <v>15</v>
      </c>
      <c r="K426" t="s">
        <v>7</v>
      </c>
      <c r="L426" t="s">
        <v>31</v>
      </c>
      <c r="M426">
        <v>122</v>
      </c>
      <c r="N426">
        <v>4</v>
      </c>
      <c r="O426">
        <v>0</v>
      </c>
      <c r="P426">
        <v>32.880000000000003</v>
      </c>
      <c r="Q426">
        <v>5.85</v>
      </c>
      <c r="R426" t="s">
        <v>9</v>
      </c>
      <c r="S426">
        <f>Sheet1[[#This Row],[Ship_date]]-Sheet1[[#This Row],[Order_date]]</f>
        <v>6</v>
      </c>
      <c r="T426">
        <f>Sheet1[[#This Row],[Quantity]]*Sheet1[[#This Row],[Sales]]</f>
        <v>488</v>
      </c>
      <c r="U426">
        <f>Sheet1[[#This Row],[Total Sales]]*Sheet1[[#This Row],[Discount]]</f>
        <v>0</v>
      </c>
      <c r="V426" s="4">
        <f>Sheet1[[#This Row],[Total Sales]]-Sheet1[[#This Row],[Total Sales]]*Sheet1[[#This Row],[Discount]]</f>
        <v>488</v>
      </c>
      <c r="W426" s="4">
        <f>Sheet1[[#This Row],[Quantity]]*Sheet1[[#This Row],[Profit]]</f>
        <v>131.52000000000001</v>
      </c>
      <c r="X426" s="5">
        <f>Sheet1[[#This Row],[Total Profit]]/Sheet1[[#This Row],[Sales After Discount]]</f>
        <v>0.26950819672131149</v>
      </c>
      <c r="Y426" s="4">
        <f>Sheet1[[#This Row],[Shipping_cost]]*Sheet1[[#This Row],[Quantity]]</f>
        <v>23.4</v>
      </c>
      <c r="Z426" s="4">
        <f>Sheet1[[#This Row],[Total Profit]]-Sheet1[[#This Row],[Total Shipping Cost]]</f>
        <v>108.12</v>
      </c>
      <c r="AA426" s="4" t="str">
        <f>IF(Sheet1[[#This Row],[Net Profit]]&gt;0,"Profit","Loss")</f>
        <v>Profit</v>
      </c>
    </row>
    <row r="427" spans="1:27" x14ac:dyDescent="0.25">
      <c r="A427" t="s">
        <v>656</v>
      </c>
      <c r="B427" s="1">
        <v>40574</v>
      </c>
      <c r="C427" s="1">
        <v>40580</v>
      </c>
      <c r="D427" t="s">
        <v>1</v>
      </c>
      <c r="E427" t="s">
        <v>657</v>
      </c>
      <c r="F427" t="s">
        <v>3</v>
      </c>
      <c r="G427" t="s">
        <v>523</v>
      </c>
      <c r="H427" t="s">
        <v>49</v>
      </c>
      <c r="I427" t="s">
        <v>14</v>
      </c>
      <c r="J427" t="s">
        <v>15</v>
      </c>
      <c r="K427" t="s">
        <v>7</v>
      </c>
      <c r="L427" t="s">
        <v>87</v>
      </c>
      <c r="M427">
        <v>62</v>
      </c>
      <c r="N427">
        <v>6</v>
      </c>
      <c r="O427">
        <v>0</v>
      </c>
      <c r="P427">
        <v>18.54</v>
      </c>
      <c r="Q427">
        <v>5.18</v>
      </c>
      <c r="R427" t="s">
        <v>9</v>
      </c>
      <c r="S427">
        <f>Sheet1[[#This Row],[Ship_date]]-Sheet1[[#This Row],[Order_date]]</f>
        <v>6</v>
      </c>
      <c r="T427">
        <f>Sheet1[[#This Row],[Quantity]]*Sheet1[[#This Row],[Sales]]</f>
        <v>372</v>
      </c>
      <c r="U427">
        <f>Sheet1[[#This Row],[Total Sales]]*Sheet1[[#This Row],[Discount]]</f>
        <v>0</v>
      </c>
      <c r="V427" s="4">
        <f>Sheet1[[#This Row],[Total Sales]]-Sheet1[[#This Row],[Total Sales]]*Sheet1[[#This Row],[Discount]]</f>
        <v>372</v>
      </c>
      <c r="W427" s="4">
        <f>Sheet1[[#This Row],[Quantity]]*Sheet1[[#This Row],[Profit]]</f>
        <v>111.24</v>
      </c>
      <c r="X427" s="5">
        <f>Sheet1[[#This Row],[Total Profit]]/Sheet1[[#This Row],[Sales After Discount]]</f>
        <v>0.29903225806451611</v>
      </c>
      <c r="Y427" s="4">
        <f>Sheet1[[#This Row],[Shipping_cost]]*Sheet1[[#This Row],[Quantity]]</f>
        <v>31.08</v>
      </c>
      <c r="Z427" s="4">
        <f>Sheet1[[#This Row],[Total Profit]]-Sheet1[[#This Row],[Total Shipping Cost]]</f>
        <v>80.16</v>
      </c>
      <c r="AA427" s="4" t="str">
        <f>IF(Sheet1[[#This Row],[Net Profit]]&gt;0,"Profit","Loss")</f>
        <v>Profit</v>
      </c>
    </row>
    <row r="428" spans="1:27" x14ac:dyDescent="0.25">
      <c r="A428" t="s">
        <v>656</v>
      </c>
      <c r="B428" s="1">
        <v>40574</v>
      </c>
      <c r="C428" s="1">
        <v>40580</v>
      </c>
      <c r="D428" t="s">
        <v>1</v>
      </c>
      <c r="E428" t="s">
        <v>657</v>
      </c>
      <c r="F428" t="s">
        <v>3</v>
      </c>
      <c r="G428" t="s">
        <v>523</v>
      </c>
      <c r="H428" t="s">
        <v>49</v>
      </c>
      <c r="I428" t="s">
        <v>14</v>
      </c>
      <c r="J428" t="s">
        <v>15</v>
      </c>
      <c r="K428" t="s">
        <v>7</v>
      </c>
      <c r="L428" t="s">
        <v>31</v>
      </c>
      <c r="M428">
        <v>106</v>
      </c>
      <c r="N428">
        <v>6</v>
      </c>
      <c r="O428">
        <v>0</v>
      </c>
      <c r="P428">
        <v>48.6</v>
      </c>
      <c r="Q428">
        <v>5.01</v>
      </c>
      <c r="R428" t="s">
        <v>9</v>
      </c>
      <c r="S428">
        <f>Sheet1[[#This Row],[Ship_date]]-Sheet1[[#This Row],[Order_date]]</f>
        <v>6</v>
      </c>
      <c r="T428">
        <f>Sheet1[[#This Row],[Quantity]]*Sheet1[[#This Row],[Sales]]</f>
        <v>636</v>
      </c>
      <c r="U428">
        <f>Sheet1[[#This Row],[Total Sales]]*Sheet1[[#This Row],[Discount]]</f>
        <v>0</v>
      </c>
      <c r="V428" s="4">
        <f>Sheet1[[#This Row],[Total Sales]]-Sheet1[[#This Row],[Total Sales]]*Sheet1[[#This Row],[Discount]]</f>
        <v>636</v>
      </c>
      <c r="W428" s="4">
        <f>Sheet1[[#This Row],[Quantity]]*Sheet1[[#This Row],[Profit]]</f>
        <v>291.60000000000002</v>
      </c>
      <c r="X428" s="5">
        <f>Sheet1[[#This Row],[Total Profit]]/Sheet1[[#This Row],[Sales After Discount]]</f>
        <v>0.45849056603773586</v>
      </c>
      <c r="Y428" s="4">
        <f>Sheet1[[#This Row],[Shipping_cost]]*Sheet1[[#This Row],[Quantity]]</f>
        <v>30.06</v>
      </c>
      <c r="Z428" s="4">
        <f>Sheet1[[#This Row],[Total Profit]]-Sheet1[[#This Row],[Total Shipping Cost]]</f>
        <v>261.54000000000002</v>
      </c>
      <c r="AA428" s="4" t="str">
        <f>IF(Sheet1[[#This Row],[Net Profit]]&gt;0,"Profit","Loss")</f>
        <v>Profit</v>
      </c>
    </row>
    <row r="429" spans="1:27" x14ac:dyDescent="0.25">
      <c r="A429" t="s">
        <v>674</v>
      </c>
      <c r="B429" s="1">
        <v>40574</v>
      </c>
      <c r="C429" s="1">
        <v>40579</v>
      </c>
      <c r="D429" t="s">
        <v>1</v>
      </c>
      <c r="E429" t="s">
        <v>675</v>
      </c>
      <c r="F429" t="s">
        <v>26</v>
      </c>
      <c r="G429" t="s">
        <v>203</v>
      </c>
      <c r="H429" t="s">
        <v>203</v>
      </c>
      <c r="I429" t="s">
        <v>14</v>
      </c>
      <c r="J429" t="s">
        <v>61</v>
      </c>
      <c r="K429" t="s">
        <v>7</v>
      </c>
      <c r="L429" t="s">
        <v>137</v>
      </c>
      <c r="M429">
        <v>113</v>
      </c>
      <c r="N429">
        <v>4</v>
      </c>
      <c r="O429">
        <v>0</v>
      </c>
      <c r="P429">
        <v>55.56</v>
      </c>
      <c r="Q429">
        <v>4.51</v>
      </c>
      <c r="R429" t="s">
        <v>9</v>
      </c>
      <c r="S429">
        <f>Sheet1[[#This Row],[Ship_date]]-Sheet1[[#This Row],[Order_date]]</f>
        <v>5</v>
      </c>
      <c r="T429">
        <f>Sheet1[[#This Row],[Quantity]]*Sheet1[[#This Row],[Sales]]</f>
        <v>452</v>
      </c>
      <c r="U429">
        <f>Sheet1[[#This Row],[Total Sales]]*Sheet1[[#This Row],[Discount]]</f>
        <v>0</v>
      </c>
      <c r="V429" s="4">
        <f>Sheet1[[#This Row],[Total Sales]]-Sheet1[[#This Row],[Total Sales]]*Sheet1[[#This Row],[Discount]]</f>
        <v>452</v>
      </c>
      <c r="W429" s="4">
        <f>Sheet1[[#This Row],[Quantity]]*Sheet1[[#This Row],[Profit]]</f>
        <v>222.24</v>
      </c>
      <c r="X429" s="5">
        <f>Sheet1[[#This Row],[Total Profit]]/Sheet1[[#This Row],[Sales After Discount]]</f>
        <v>0.49168141592920356</v>
      </c>
      <c r="Y429" s="4">
        <f>Sheet1[[#This Row],[Shipping_cost]]*Sheet1[[#This Row],[Quantity]]</f>
        <v>18.04</v>
      </c>
      <c r="Z429" s="4">
        <f>Sheet1[[#This Row],[Total Profit]]-Sheet1[[#This Row],[Total Shipping Cost]]</f>
        <v>204.20000000000002</v>
      </c>
      <c r="AA429" s="4" t="str">
        <f>IF(Sheet1[[#This Row],[Net Profit]]&gt;0,"Profit","Loss")</f>
        <v>Profit</v>
      </c>
    </row>
    <row r="430" spans="1:27" x14ac:dyDescent="0.25">
      <c r="A430" t="s">
        <v>663</v>
      </c>
      <c r="B430" s="1">
        <v>40574</v>
      </c>
      <c r="C430" s="1">
        <v>40578</v>
      </c>
      <c r="D430" t="s">
        <v>1</v>
      </c>
      <c r="E430" t="s">
        <v>664</v>
      </c>
      <c r="F430" t="s">
        <v>3</v>
      </c>
      <c r="G430" t="s">
        <v>665</v>
      </c>
      <c r="H430" t="s">
        <v>580</v>
      </c>
      <c r="I430" t="s">
        <v>6</v>
      </c>
      <c r="J430" t="s">
        <v>6</v>
      </c>
      <c r="K430" t="s">
        <v>7</v>
      </c>
      <c r="L430" t="s">
        <v>16</v>
      </c>
      <c r="M430">
        <v>63</v>
      </c>
      <c r="N430">
        <v>6</v>
      </c>
      <c r="O430">
        <v>0</v>
      </c>
      <c r="P430">
        <v>11.34</v>
      </c>
      <c r="Q430">
        <v>3.6</v>
      </c>
      <c r="R430" t="s">
        <v>9</v>
      </c>
      <c r="S430">
        <f>Sheet1[[#This Row],[Ship_date]]-Sheet1[[#This Row],[Order_date]]</f>
        <v>4</v>
      </c>
      <c r="T430">
        <f>Sheet1[[#This Row],[Quantity]]*Sheet1[[#This Row],[Sales]]</f>
        <v>378</v>
      </c>
      <c r="U430">
        <f>Sheet1[[#This Row],[Total Sales]]*Sheet1[[#This Row],[Discount]]</f>
        <v>0</v>
      </c>
      <c r="V430" s="4">
        <f>Sheet1[[#This Row],[Total Sales]]-Sheet1[[#This Row],[Total Sales]]*Sheet1[[#This Row],[Discount]]</f>
        <v>378</v>
      </c>
      <c r="W430" s="4">
        <f>Sheet1[[#This Row],[Quantity]]*Sheet1[[#This Row],[Profit]]</f>
        <v>68.039999999999992</v>
      </c>
      <c r="X430" s="5">
        <f>Sheet1[[#This Row],[Total Profit]]/Sheet1[[#This Row],[Sales After Discount]]</f>
        <v>0.17999999999999997</v>
      </c>
      <c r="Y430" s="4">
        <f>Sheet1[[#This Row],[Shipping_cost]]*Sheet1[[#This Row],[Quantity]]</f>
        <v>21.6</v>
      </c>
      <c r="Z430" s="4">
        <f>Sheet1[[#This Row],[Total Profit]]-Sheet1[[#This Row],[Total Shipping Cost]]</f>
        <v>46.439999999999991</v>
      </c>
      <c r="AA430" s="4" t="str">
        <f>IF(Sheet1[[#This Row],[Net Profit]]&gt;0,"Profit","Loss")</f>
        <v>Profit</v>
      </c>
    </row>
    <row r="431" spans="1:27" x14ac:dyDescent="0.25">
      <c r="A431" t="s">
        <v>663</v>
      </c>
      <c r="B431" s="1">
        <v>40574</v>
      </c>
      <c r="C431" s="1">
        <v>40578</v>
      </c>
      <c r="D431" t="s">
        <v>1</v>
      </c>
      <c r="E431" t="s">
        <v>664</v>
      </c>
      <c r="F431" t="s">
        <v>3</v>
      </c>
      <c r="G431" t="s">
        <v>665</v>
      </c>
      <c r="H431" t="s">
        <v>580</v>
      </c>
      <c r="I431" t="s">
        <v>6</v>
      </c>
      <c r="J431" t="s">
        <v>6</v>
      </c>
      <c r="K431" t="s">
        <v>7</v>
      </c>
      <c r="L431" t="s">
        <v>96</v>
      </c>
      <c r="M431">
        <v>24</v>
      </c>
      <c r="N431">
        <v>1</v>
      </c>
      <c r="O431">
        <v>0</v>
      </c>
      <c r="P431">
        <v>2.85</v>
      </c>
      <c r="Q431">
        <v>2.12</v>
      </c>
      <c r="R431" t="s">
        <v>9</v>
      </c>
      <c r="S431">
        <f>Sheet1[[#This Row],[Ship_date]]-Sheet1[[#This Row],[Order_date]]</f>
        <v>4</v>
      </c>
      <c r="T431">
        <f>Sheet1[[#This Row],[Quantity]]*Sheet1[[#This Row],[Sales]]</f>
        <v>24</v>
      </c>
      <c r="U431">
        <f>Sheet1[[#This Row],[Total Sales]]*Sheet1[[#This Row],[Discount]]</f>
        <v>0</v>
      </c>
      <c r="V431" s="4">
        <f>Sheet1[[#This Row],[Total Sales]]-Sheet1[[#This Row],[Total Sales]]*Sheet1[[#This Row],[Discount]]</f>
        <v>24</v>
      </c>
      <c r="W431" s="4">
        <f>Sheet1[[#This Row],[Quantity]]*Sheet1[[#This Row],[Profit]]</f>
        <v>2.85</v>
      </c>
      <c r="X431" s="5">
        <f>Sheet1[[#This Row],[Total Profit]]/Sheet1[[#This Row],[Sales After Discount]]</f>
        <v>0.11875000000000001</v>
      </c>
      <c r="Y431" s="4">
        <f>Sheet1[[#This Row],[Shipping_cost]]*Sheet1[[#This Row],[Quantity]]</f>
        <v>2.12</v>
      </c>
      <c r="Z431" s="4">
        <f>Sheet1[[#This Row],[Total Profit]]-Sheet1[[#This Row],[Total Shipping Cost]]</f>
        <v>0.73</v>
      </c>
      <c r="AA431" s="4" t="str">
        <f>IF(Sheet1[[#This Row],[Net Profit]]&gt;0,"Profit","Loss")</f>
        <v>Profit</v>
      </c>
    </row>
    <row r="432" spans="1:27" x14ac:dyDescent="0.25">
      <c r="A432" t="s">
        <v>671</v>
      </c>
      <c r="B432" s="1">
        <v>40574</v>
      </c>
      <c r="C432" s="1">
        <v>40580</v>
      </c>
      <c r="D432" t="s">
        <v>1</v>
      </c>
      <c r="E432" t="s">
        <v>672</v>
      </c>
      <c r="F432" t="s">
        <v>43</v>
      </c>
      <c r="G432" t="s">
        <v>673</v>
      </c>
      <c r="H432" t="s">
        <v>368</v>
      </c>
      <c r="I432" t="s">
        <v>75</v>
      </c>
      <c r="J432" t="s">
        <v>111</v>
      </c>
      <c r="K432" t="s">
        <v>7</v>
      </c>
      <c r="L432" t="s">
        <v>91</v>
      </c>
      <c r="M432">
        <v>30</v>
      </c>
      <c r="N432">
        <v>4</v>
      </c>
      <c r="O432">
        <v>0.2</v>
      </c>
      <c r="P432">
        <v>-7.2960000000000003</v>
      </c>
      <c r="Q432">
        <v>1.99</v>
      </c>
      <c r="R432" t="s">
        <v>9</v>
      </c>
      <c r="S432">
        <f>Sheet1[[#This Row],[Ship_date]]-Sheet1[[#This Row],[Order_date]]</f>
        <v>6</v>
      </c>
      <c r="T432">
        <f>Sheet1[[#This Row],[Quantity]]*Sheet1[[#This Row],[Sales]]</f>
        <v>120</v>
      </c>
      <c r="U432">
        <f>Sheet1[[#This Row],[Total Sales]]*Sheet1[[#This Row],[Discount]]</f>
        <v>24</v>
      </c>
      <c r="V432" s="4">
        <f>Sheet1[[#This Row],[Total Sales]]-Sheet1[[#This Row],[Total Sales]]*Sheet1[[#This Row],[Discount]]</f>
        <v>96</v>
      </c>
      <c r="W432" s="4">
        <f>Sheet1[[#This Row],[Quantity]]*Sheet1[[#This Row],[Profit]]</f>
        <v>-29.184000000000001</v>
      </c>
      <c r="X432" s="5">
        <f>Sheet1[[#This Row],[Total Profit]]/Sheet1[[#This Row],[Sales After Discount]]</f>
        <v>-0.30399999999999999</v>
      </c>
      <c r="Y432" s="4">
        <f>Sheet1[[#This Row],[Shipping_cost]]*Sheet1[[#This Row],[Quantity]]</f>
        <v>7.96</v>
      </c>
      <c r="Z432" s="4">
        <f>Sheet1[[#This Row],[Total Profit]]-Sheet1[[#This Row],[Total Shipping Cost]]</f>
        <v>-37.143999999999998</v>
      </c>
      <c r="AA432" s="4" t="str">
        <f>IF(Sheet1[[#This Row],[Net Profit]]&gt;0,"Profit","Loss")</f>
        <v>Loss</v>
      </c>
    </row>
    <row r="433" spans="1:27" x14ac:dyDescent="0.25">
      <c r="A433" t="s">
        <v>656</v>
      </c>
      <c r="B433" s="1">
        <v>40574</v>
      </c>
      <c r="C433" s="1">
        <v>40580</v>
      </c>
      <c r="D433" t="s">
        <v>1</v>
      </c>
      <c r="E433" t="s">
        <v>657</v>
      </c>
      <c r="F433" t="s">
        <v>3</v>
      </c>
      <c r="G433" t="s">
        <v>523</v>
      </c>
      <c r="H433" t="s">
        <v>49</v>
      </c>
      <c r="I433" t="s">
        <v>14</v>
      </c>
      <c r="J433" t="s">
        <v>15</v>
      </c>
      <c r="K433" t="s">
        <v>7</v>
      </c>
      <c r="L433" t="s">
        <v>8</v>
      </c>
      <c r="M433">
        <v>32</v>
      </c>
      <c r="N433">
        <v>2</v>
      </c>
      <c r="O433">
        <v>0</v>
      </c>
      <c r="P433">
        <v>9.3000000000000007</v>
      </c>
      <c r="Q433">
        <v>1.9</v>
      </c>
      <c r="R433" t="s">
        <v>9</v>
      </c>
      <c r="S433">
        <f>Sheet1[[#This Row],[Ship_date]]-Sheet1[[#This Row],[Order_date]]</f>
        <v>6</v>
      </c>
      <c r="T433">
        <f>Sheet1[[#This Row],[Quantity]]*Sheet1[[#This Row],[Sales]]</f>
        <v>64</v>
      </c>
      <c r="U433">
        <f>Sheet1[[#This Row],[Total Sales]]*Sheet1[[#This Row],[Discount]]</f>
        <v>0</v>
      </c>
      <c r="V433" s="4">
        <f>Sheet1[[#This Row],[Total Sales]]-Sheet1[[#This Row],[Total Sales]]*Sheet1[[#This Row],[Discount]]</f>
        <v>64</v>
      </c>
      <c r="W433" s="4">
        <f>Sheet1[[#This Row],[Quantity]]*Sheet1[[#This Row],[Profit]]</f>
        <v>18.600000000000001</v>
      </c>
      <c r="X433" s="5">
        <f>Sheet1[[#This Row],[Total Profit]]/Sheet1[[#This Row],[Sales After Discount]]</f>
        <v>0.29062500000000002</v>
      </c>
      <c r="Y433" s="4">
        <f>Sheet1[[#This Row],[Shipping_cost]]*Sheet1[[#This Row],[Quantity]]</f>
        <v>3.8</v>
      </c>
      <c r="Z433" s="4">
        <f>Sheet1[[#This Row],[Total Profit]]-Sheet1[[#This Row],[Total Shipping Cost]]</f>
        <v>14.8</v>
      </c>
      <c r="AA433" s="4" t="str">
        <f>IF(Sheet1[[#This Row],[Net Profit]]&gt;0,"Profit","Loss")</f>
        <v>Profit</v>
      </c>
    </row>
    <row r="434" spans="1:27" x14ac:dyDescent="0.25">
      <c r="A434" t="s">
        <v>661</v>
      </c>
      <c r="B434" s="1">
        <v>40574</v>
      </c>
      <c r="C434" s="1">
        <v>40579</v>
      </c>
      <c r="D434" t="s">
        <v>1</v>
      </c>
      <c r="E434" t="s">
        <v>662</v>
      </c>
      <c r="F434" t="s">
        <v>3</v>
      </c>
      <c r="G434" t="s">
        <v>468</v>
      </c>
      <c r="H434" t="s">
        <v>126</v>
      </c>
      <c r="I434" t="s">
        <v>127</v>
      </c>
      <c r="J434" t="s">
        <v>76</v>
      </c>
      <c r="K434" t="s">
        <v>7</v>
      </c>
      <c r="L434" t="s">
        <v>31</v>
      </c>
      <c r="M434">
        <v>11</v>
      </c>
      <c r="N434">
        <v>2</v>
      </c>
      <c r="O434">
        <v>0</v>
      </c>
      <c r="P434">
        <v>4.7519999999999998</v>
      </c>
      <c r="Q434">
        <v>1.2</v>
      </c>
      <c r="R434" t="s">
        <v>23</v>
      </c>
      <c r="S434">
        <f>Sheet1[[#This Row],[Ship_date]]-Sheet1[[#This Row],[Order_date]]</f>
        <v>5</v>
      </c>
      <c r="T434">
        <f>Sheet1[[#This Row],[Quantity]]*Sheet1[[#This Row],[Sales]]</f>
        <v>22</v>
      </c>
      <c r="U434">
        <f>Sheet1[[#This Row],[Total Sales]]*Sheet1[[#This Row],[Discount]]</f>
        <v>0</v>
      </c>
      <c r="V434" s="4">
        <f>Sheet1[[#This Row],[Total Sales]]-Sheet1[[#This Row],[Total Sales]]*Sheet1[[#This Row],[Discount]]</f>
        <v>22</v>
      </c>
      <c r="W434" s="4">
        <f>Sheet1[[#This Row],[Quantity]]*Sheet1[[#This Row],[Profit]]</f>
        <v>9.5039999999999996</v>
      </c>
      <c r="X434" s="5">
        <f>Sheet1[[#This Row],[Total Profit]]/Sheet1[[#This Row],[Sales After Discount]]</f>
        <v>0.432</v>
      </c>
      <c r="Y434" s="4">
        <f>Sheet1[[#This Row],[Shipping_cost]]*Sheet1[[#This Row],[Quantity]]</f>
        <v>2.4</v>
      </c>
      <c r="Z434" s="4">
        <f>Sheet1[[#This Row],[Total Profit]]-Sheet1[[#This Row],[Total Shipping Cost]]</f>
        <v>7.1039999999999992</v>
      </c>
      <c r="AA434" s="4" t="str">
        <f>IF(Sheet1[[#This Row],[Net Profit]]&gt;0,"Profit","Loss")</f>
        <v>Profit</v>
      </c>
    </row>
    <row r="435" spans="1:27" x14ac:dyDescent="0.25">
      <c r="A435" t="s">
        <v>676</v>
      </c>
      <c r="B435" s="1">
        <v>40575</v>
      </c>
      <c r="C435" s="1">
        <v>40577</v>
      </c>
      <c r="D435" t="s">
        <v>18</v>
      </c>
      <c r="E435" t="s">
        <v>254</v>
      </c>
      <c r="F435" t="s">
        <v>3</v>
      </c>
      <c r="G435" t="s">
        <v>677</v>
      </c>
      <c r="H435" t="s">
        <v>678</v>
      </c>
      <c r="I435" t="s">
        <v>14</v>
      </c>
      <c r="J435" t="s">
        <v>281</v>
      </c>
      <c r="K435" t="s">
        <v>38</v>
      </c>
      <c r="L435" t="s">
        <v>50</v>
      </c>
      <c r="M435">
        <v>286</v>
      </c>
      <c r="N435">
        <v>2</v>
      </c>
      <c r="O435">
        <v>0</v>
      </c>
      <c r="P435">
        <v>71.400000000000006</v>
      </c>
      <c r="Q435">
        <v>57.3</v>
      </c>
      <c r="R435" t="s">
        <v>45</v>
      </c>
      <c r="S435">
        <f>Sheet1[[#This Row],[Ship_date]]-Sheet1[[#This Row],[Order_date]]</f>
        <v>2</v>
      </c>
      <c r="T435">
        <f>Sheet1[[#This Row],[Quantity]]*Sheet1[[#This Row],[Sales]]</f>
        <v>572</v>
      </c>
      <c r="U435">
        <f>Sheet1[[#This Row],[Total Sales]]*Sheet1[[#This Row],[Discount]]</f>
        <v>0</v>
      </c>
      <c r="V435" s="4">
        <f>Sheet1[[#This Row],[Total Sales]]-Sheet1[[#This Row],[Total Sales]]*Sheet1[[#This Row],[Discount]]</f>
        <v>572</v>
      </c>
      <c r="W435" s="4">
        <f>Sheet1[[#This Row],[Quantity]]*Sheet1[[#This Row],[Profit]]</f>
        <v>142.80000000000001</v>
      </c>
      <c r="X435" s="5">
        <f>Sheet1[[#This Row],[Total Profit]]/Sheet1[[#This Row],[Sales After Discount]]</f>
        <v>0.24965034965034966</v>
      </c>
      <c r="Y435" s="4">
        <f>Sheet1[[#This Row],[Shipping_cost]]*Sheet1[[#This Row],[Quantity]]</f>
        <v>114.6</v>
      </c>
      <c r="Z435" s="4">
        <f>Sheet1[[#This Row],[Total Profit]]-Sheet1[[#This Row],[Total Shipping Cost]]</f>
        <v>28.200000000000017</v>
      </c>
      <c r="AA435" s="4" t="str">
        <f>IF(Sheet1[[#This Row],[Net Profit]]&gt;0,"Profit","Loss")</f>
        <v>Profit</v>
      </c>
    </row>
    <row r="436" spans="1:27" x14ac:dyDescent="0.25">
      <c r="A436" t="s">
        <v>679</v>
      </c>
      <c r="B436" s="1">
        <v>40575</v>
      </c>
      <c r="C436" s="1">
        <v>40577</v>
      </c>
      <c r="D436" t="s">
        <v>142</v>
      </c>
      <c r="E436" t="s">
        <v>680</v>
      </c>
      <c r="F436" t="s">
        <v>3</v>
      </c>
      <c r="G436" t="s">
        <v>191</v>
      </c>
      <c r="H436" t="s">
        <v>126</v>
      </c>
      <c r="I436" t="s">
        <v>127</v>
      </c>
      <c r="J436" t="s">
        <v>192</v>
      </c>
      <c r="K436" t="s">
        <v>32</v>
      </c>
      <c r="L436" t="s">
        <v>67</v>
      </c>
      <c r="M436">
        <v>291</v>
      </c>
      <c r="N436">
        <v>2</v>
      </c>
      <c r="O436">
        <v>0.15</v>
      </c>
      <c r="P436">
        <v>3.4196</v>
      </c>
      <c r="Q436">
        <v>54.64</v>
      </c>
      <c r="R436" t="s">
        <v>23</v>
      </c>
      <c r="S436">
        <f>Sheet1[[#This Row],[Ship_date]]-Sheet1[[#This Row],[Order_date]]</f>
        <v>2</v>
      </c>
      <c r="T436">
        <f>Sheet1[[#This Row],[Quantity]]*Sheet1[[#This Row],[Sales]]</f>
        <v>582</v>
      </c>
      <c r="U436">
        <f>Sheet1[[#This Row],[Total Sales]]*Sheet1[[#This Row],[Discount]]</f>
        <v>87.3</v>
      </c>
      <c r="V436" s="4">
        <f>Sheet1[[#This Row],[Total Sales]]-Sheet1[[#This Row],[Total Sales]]*Sheet1[[#This Row],[Discount]]</f>
        <v>494.7</v>
      </c>
      <c r="W436" s="4">
        <f>Sheet1[[#This Row],[Quantity]]*Sheet1[[#This Row],[Profit]]</f>
        <v>6.8391999999999999</v>
      </c>
      <c r="X436" s="5">
        <f>Sheet1[[#This Row],[Total Profit]]/Sheet1[[#This Row],[Sales After Discount]]</f>
        <v>1.3824944410753992E-2</v>
      </c>
      <c r="Y436" s="4">
        <f>Sheet1[[#This Row],[Shipping_cost]]*Sheet1[[#This Row],[Quantity]]</f>
        <v>109.28</v>
      </c>
      <c r="Z436" s="4">
        <f>Sheet1[[#This Row],[Total Profit]]-Sheet1[[#This Row],[Total Shipping Cost]]</f>
        <v>-102.4408</v>
      </c>
      <c r="AA436" s="4" t="str">
        <f>IF(Sheet1[[#This Row],[Net Profit]]&gt;0,"Profit","Loss")</f>
        <v>Loss</v>
      </c>
    </row>
    <row r="437" spans="1:27" x14ac:dyDescent="0.25">
      <c r="A437" t="s">
        <v>681</v>
      </c>
      <c r="B437" s="1">
        <v>40575</v>
      </c>
      <c r="C437" s="1">
        <v>40578</v>
      </c>
      <c r="D437" t="s">
        <v>18</v>
      </c>
      <c r="E437" t="s">
        <v>682</v>
      </c>
      <c r="F437" t="s">
        <v>43</v>
      </c>
      <c r="G437" t="s">
        <v>164</v>
      </c>
      <c r="H437" t="s">
        <v>165</v>
      </c>
      <c r="I437" t="s">
        <v>6</v>
      </c>
      <c r="J437" t="s">
        <v>6</v>
      </c>
      <c r="K437" t="s">
        <v>7</v>
      </c>
      <c r="L437" t="s">
        <v>8</v>
      </c>
      <c r="M437">
        <v>206</v>
      </c>
      <c r="N437">
        <v>1</v>
      </c>
      <c r="O437">
        <v>0</v>
      </c>
      <c r="P437">
        <v>92.88</v>
      </c>
      <c r="Q437">
        <v>53.08</v>
      </c>
      <c r="R437" t="s">
        <v>45</v>
      </c>
      <c r="S437">
        <f>Sheet1[[#This Row],[Ship_date]]-Sheet1[[#This Row],[Order_date]]</f>
        <v>3</v>
      </c>
      <c r="T437">
        <f>Sheet1[[#This Row],[Quantity]]*Sheet1[[#This Row],[Sales]]</f>
        <v>206</v>
      </c>
      <c r="U437">
        <f>Sheet1[[#This Row],[Total Sales]]*Sheet1[[#This Row],[Discount]]</f>
        <v>0</v>
      </c>
      <c r="V437" s="4">
        <f>Sheet1[[#This Row],[Total Sales]]-Sheet1[[#This Row],[Total Sales]]*Sheet1[[#This Row],[Discount]]</f>
        <v>206</v>
      </c>
      <c r="W437" s="4">
        <f>Sheet1[[#This Row],[Quantity]]*Sheet1[[#This Row],[Profit]]</f>
        <v>92.88</v>
      </c>
      <c r="X437" s="5">
        <f>Sheet1[[#This Row],[Total Profit]]/Sheet1[[#This Row],[Sales After Discount]]</f>
        <v>0.45087378640776699</v>
      </c>
      <c r="Y437" s="4">
        <f>Sheet1[[#This Row],[Shipping_cost]]*Sheet1[[#This Row],[Quantity]]</f>
        <v>53.08</v>
      </c>
      <c r="Z437" s="4">
        <f>Sheet1[[#This Row],[Total Profit]]-Sheet1[[#This Row],[Total Shipping Cost]]</f>
        <v>39.799999999999997</v>
      </c>
      <c r="AA437" s="4" t="str">
        <f>IF(Sheet1[[#This Row],[Net Profit]]&gt;0,"Profit","Loss")</f>
        <v>Profit</v>
      </c>
    </row>
    <row r="438" spans="1:27" x14ac:dyDescent="0.25">
      <c r="A438" t="s">
        <v>683</v>
      </c>
      <c r="B438" s="1">
        <v>40575</v>
      </c>
      <c r="C438" s="1">
        <v>40577</v>
      </c>
      <c r="D438" t="s">
        <v>18</v>
      </c>
      <c r="E438" t="s">
        <v>684</v>
      </c>
      <c r="F438" t="s">
        <v>43</v>
      </c>
      <c r="G438" t="s">
        <v>685</v>
      </c>
      <c r="H438" t="s">
        <v>169</v>
      </c>
      <c r="I438" t="s">
        <v>14</v>
      </c>
      <c r="J438" t="s">
        <v>132</v>
      </c>
      <c r="K438" t="s">
        <v>7</v>
      </c>
      <c r="L438" t="s">
        <v>8</v>
      </c>
      <c r="M438">
        <v>163</v>
      </c>
      <c r="N438">
        <v>3</v>
      </c>
      <c r="O438">
        <v>0</v>
      </c>
      <c r="P438">
        <v>68.31</v>
      </c>
      <c r="Q438">
        <v>44.36</v>
      </c>
      <c r="R438" t="s">
        <v>45</v>
      </c>
      <c r="S438">
        <f>Sheet1[[#This Row],[Ship_date]]-Sheet1[[#This Row],[Order_date]]</f>
        <v>2</v>
      </c>
      <c r="T438">
        <f>Sheet1[[#This Row],[Quantity]]*Sheet1[[#This Row],[Sales]]</f>
        <v>489</v>
      </c>
      <c r="U438">
        <f>Sheet1[[#This Row],[Total Sales]]*Sheet1[[#This Row],[Discount]]</f>
        <v>0</v>
      </c>
      <c r="V438" s="4">
        <f>Sheet1[[#This Row],[Total Sales]]-Sheet1[[#This Row],[Total Sales]]*Sheet1[[#This Row],[Discount]]</f>
        <v>489</v>
      </c>
      <c r="W438" s="4">
        <f>Sheet1[[#This Row],[Quantity]]*Sheet1[[#This Row],[Profit]]</f>
        <v>204.93</v>
      </c>
      <c r="X438" s="5">
        <f>Sheet1[[#This Row],[Total Profit]]/Sheet1[[#This Row],[Sales After Discount]]</f>
        <v>0.41907975460122698</v>
      </c>
      <c r="Y438" s="4">
        <f>Sheet1[[#This Row],[Shipping_cost]]*Sheet1[[#This Row],[Quantity]]</f>
        <v>133.07999999999998</v>
      </c>
      <c r="Z438" s="4">
        <f>Sheet1[[#This Row],[Total Profit]]-Sheet1[[#This Row],[Total Shipping Cost]]</f>
        <v>71.850000000000023</v>
      </c>
      <c r="AA438" s="4" t="str">
        <f>IF(Sheet1[[#This Row],[Net Profit]]&gt;0,"Profit","Loss")</f>
        <v>Profit</v>
      </c>
    </row>
    <row r="439" spans="1:27" x14ac:dyDescent="0.25">
      <c r="A439" t="s">
        <v>686</v>
      </c>
      <c r="B439" s="1">
        <v>40575</v>
      </c>
      <c r="C439" s="1">
        <v>40579</v>
      </c>
      <c r="D439" t="s">
        <v>18</v>
      </c>
      <c r="E439" t="s">
        <v>682</v>
      </c>
      <c r="F439" t="s">
        <v>43</v>
      </c>
      <c r="G439" t="s">
        <v>670</v>
      </c>
      <c r="H439" t="s">
        <v>169</v>
      </c>
      <c r="I439" t="s">
        <v>14</v>
      </c>
      <c r="J439" t="s">
        <v>132</v>
      </c>
      <c r="K439" t="s">
        <v>7</v>
      </c>
      <c r="L439" t="s">
        <v>44</v>
      </c>
      <c r="M439">
        <v>352</v>
      </c>
      <c r="N439">
        <v>5</v>
      </c>
      <c r="O439">
        <v>0</v>
      </c>
      <c r="P439">
        <v>137.4</v>
      </c>
      <c r="Q439">
        <v>33.15</v>
      </c>
      <c r="R439" t="s">
        <v>9</v>
      </c>
      <c r="S439">
        <f>Sheet1[[#This Row],[Ship_date]]-Sheet1[[#This Row],[Order_date]]</f>
        <v>4</v>
      </c>
      <c r="T439">
        <f>Sheet1[[#This Row],[Quantity]]*Sheet1[[#This Row],[Sales]]</f>
        <v>1760</v>
      </c>
      <c r="U439">
        <f>Sheet1[[#This Row],[Total Sales]]*Sheet1[[#This Row],[Discount]]</f>
        <v>0</v>
      </c>
      <c r="V439" s="4">
        <f>Sheet1[[#This Row],[Total Sales]]-Sheet1[[#This Row],[Total Sales]]*Sheet1[[#This Row],[Discount]]</f>
        <v>1760</v>
      </c>
      <c r="W439" s="4">
        <f>Sheet1[[#This Row],[Quantity]]*Sheet1[[#This Row],[Profit]]</f>
        <v>687</v>
      </c>
      <c r="X439" s="5">
        <f>Sheet1[[#This Row],[Total Profit]]/Sheet1[[#This Row],[Sales After Discount]]</f>
        <v>0.39034090909090907</v>
      </c>
      <c r="Y439" s="4">
        <f>Sheet1[[#This Row],[Shipping_cost]]*Sheet1[[#This Row],[Quantity]]</f>
        <v>165.75</v>
      </c>
      <c r="Z439" s="4">
        <f>Sheet1[[#This Row],[Total Profit]]-Sheet1[[#This Row],[Total Shipping Cost]]</f>
        <v>521.25</v>
      </c>
      <c r="AA439" s="4" t="str">
        <f>IF(Sheet1[[#This Row],[Net Profit]]&gt;0,"Profit","Loss")</f>
        <v>Profit</v>
      </c>
    </row>
    <row r="440" spans="1:27" x14ac:dyDescent="0.25">
      <c r="A440" t="s">
        <v>687</v>
      </c>
      <c r="B440" s="1">
        <v>40575</v>
      </c>
      <c r="C440" s="1">
        <v>40580</v>
      </c>
      <c r="D440" t="s">
        <v>1</v>
      </c>
      <c r="E440" t="s">
        <v>688</v>
      </c>
      <c r="F440" t="s">
        <v>43</v>
      </c>
      <c r="G440" t="s">
        <v>689</v>
      </c>
      <c r="H440" t="s">
        <v>689</v>
      </c>
      <c r="I440" t="s">
        <v>75</v>
      </c>
      <c r="J440" t="s">
        <v>76</v>
      </c>
      <c r="K440" t="s">
        <v>7</v>
      </c>
      <c r="L440" t="s">
        <v>44</v>
      </c>
      <c r="M440">
        <v>401</v>
      </c>
      <c r="N440">
        <v>2</v>
      </c>
      <c r="O440">
        <v>0.4</v>
      </c>
      <c r="P440">
        <v>20.024000000000001</v>
      </c>
      <c r="Q440">
        <v>21.38</v>
      </c>
      <c r="R440" t="s">
        <v>9</v>
      </c>
      <c r="S440">
        <f>Sheet1[[#This Row],[Ship_date]]-Sheet1[[#This Row],[Order_date]]</f>
        <v>5</v>
      </c>
      <c r="T440">
        <f>Sheet1[[#This Row],[Quantity]]*Sheet1[[#This Row],[Sales]]</f>
        <v>802</v>
      </c>
      <c r="U440">
        <f>Sheet1[[#This Row],[Total Sales]]*Sheet1[[#This Row],[Discount]]</f>
        <v>320.8</v>
      </c>
      <c r="V440" s="4">
        <f>Sheet1[[#This Row],[Total Sales]]-Sheet1[[#This Row],[Total Sales]]*Sheet1[[#This Row],[Discount]]</f>
        <v>481.2</v>
      </c>
      <c r="W440" s="4">
        <f>Sheet1[[#This Row],[Quantity]]*Sheet1[[#This Row],[Profit]]</f>
        <v>40.048000000000002</v>
      </c>
      <c r="X440" s="5">
        <f>Sheet1[[#This Row],[Total Profit]]/Sheet1[[#This Row],[Sales After Discount]]</f>
        <v>8.32252701579385E-2</v>
      </c>
      <c r="Y440" s="4">
        <f>Sheet1[[#This Row],[Shipping_cost]]*Sheet1[[#This Row],[Quantity]]</f>
        <v>42.76</v>
      </c>
      <c r="Z440" s="4">
        <f>Sheet1[[#This Row],[Total Profit]]-Sheet1[[#This Row],[Total Shipping Cost]]</f>
        <v>-2.7119999999999962</v>
      </c>
      <c r="AA440" s="4" t="str">
        <f>IF(Sheet1[[#This Row],[Net Profit]]&gt;0,"Profit","Loss")</f>
        <v>Loss</v>
      </c>
    </row>
    <row r="441" spans="1:27" x14ac:dyDescent="0.25">
      <c r="A441" t="s">
        <v>690</v>
      </c>
      <c r="B441" s="1">
        <v>40575</v>
      </c>
      <c r="C441" s="1">
        <v>40580</v>
      </c>
      <c r="D441" t="s">
        <v>1</v>
      </c>
      <c r="E441" t="s">
        <v>604</v>
      </c>
      <c r="F441" t="s">
        <v>3</v>
      </c>
      <c r="G441" t="s">
        <v>90</v>
      </c>
      <c r="H441" t="s">
        <v>81</v>
      </c>
      <c r="I441" t="s">
        <v>22</v>
      </c>
      <c r="J441" t="s">
        <v>22</v>
      </c>
      <c r="K441" t="s">
        <v>32</v>
      </c>
      <c r="L441" t="s">
        <v>33</v>
      </c>
      <c r="M441">
        <v>310</v>
      </c>
      <c r="N441">
        <v>6</v>
      </c>
      <c r="O441">
        <v>0</v>
      </c>
      <c r="P441">
        <v>148.5</v>
      </c>
      <c r="Q441">
        <v>19.649999999999999</v>
      </c>
      <c r="R441" t="s">
        <v>23</v>
      </c>
      <c r="S441">
        <f>Sheet1[[#This Row],[Ship_date]]-Sheet1[[#This Row],[Order_date]]</f>
        <v>5</v>
      </c>
      <c r="T441">
        <f>Sheet1[[#This Row],[Quantity]]*Sheet1[[#This Row],[Sales]]</f>
        <v>1860</v>
      </c>
      <c r="U441">
        <f>Sheet1[[#This Row],[Total Sales]]*Sheet1[[#This Row],[Discount]]</f>
        <v>0</v>
      </c>
      <c r="V441" s="4">
        <f>Sheet1[[#This Row],[Total Sales]]-Sheet1[[#This Row],[Total Sales]]*Sheet1[[#This Row],[Discount]]</f>
        <v>1860</v>
      </c>
      <c r="W441" s="4">
        <f>Sheet1[[#This Row],[Quantity]]*Sheet1[[#This Row],[Profit]]</f>
        <v>891</v>
      </c>
      <c r="X441" s="5">
        <f>Sheet1[[#This Row],[Total Profit]]/Sheet1[[#This Row],[Sales After Discount]]</f>
        <v>0.4790322580645161</v>
      </c>
      <c r="Y441" s="4">
        <f>Sheet1[[#This Row],[Shipping_cost]]*Sheet1[[#This Row],[Quantity]]</f>
        <v>117.89999999999999</v>
      </c>
      <c r="Z441" s="4">
        <f>Sheet1[[#This Row],[Total Profit]]-Sheet1[[#This Row],[Total Shipping Cost]]</f>
        <v>773.1</v>
      </c>
      <c r="AA441" s="4" t="str">
        <f>IF(Sheet1[[#This Row],[Net Profit]]&gt;0,"Profit","Loss")</f>
        <v>Profit</v>
      </c>
    </row>
    <row r="442" spans="1:27" x14ac:dyDescent="0.25">
      <c r="A442" t="s">
        <v>691</v>
      </c>
      <c r="B442" s="1">
        <v>40575</v>
      </c>
      <c r="C442" s="1">
        <v>40577</v>
      </c>
      <c r="D442" t="s">
        <v>18</v>
      </c>
      <c r="E442" t="s">
        <v>692</v>
      </c>
      <c r="F442" t="s">
        <v>43</v>
      </c>
      <c r="G442" t="s">
        <v>550</v>
      </c>
      <c r="H442" t="s">
        <v>115</v>
      </c>
      <c r="I442" t="s">
        <v>29</v>
      </c>
      <c r="J442" t="s">
        <v>76</v>
      </c>
      <c r="K442" t="s">
        <v>7</v>
      </c>
      <c r="L442" t="s">
        <v>91</v>
      </c>
      <c r="M442">
        <v>140</v>
      </c>
      <c r="N442">
        <v>5</v>
      </c>
      <c r="O442">
        <v>0</v>
      </c>
      <c r="P442">
        <v>15.3</v>
      </c>
      <c r="Q442">
        <v>19.23</v>
      </c>
      <c r="R442" t="s">
        <v>23</v>
      </c>
      <c r="S442">
        <f>Sheet1[[#This Row],[Ship_date]]-Sheet1[[#This Row],[Order_date]]</f>
        <v>2</v>
      </c>
      <c r="T442">
        <f>Sheet1[[#This Row],[Quantity]]*Sheet1[[#This Row],[Sales]]</f>
        <v>700</v>
      </c>
      <c r="U442">
        <f>Sheet1[[#This Row],[Total Sales]]*Sheet1[[#This Row],[Discount]]</f>
        <v>0</v>
      </c>
      <c r="V442" s="4">
        <f>Sheet1[[#This Row],[Total Sales]]-Sheet1[[#This Row],[Total Sales]]*Sheet1[[#This Row],[Discount]]</f>
        <v>700</v>
      </c>
      <c r="W442" s="4">
        <f>Sheet1[[#This Row],[Quantity]]*Sheet1[[#This Row],[Profit]]</f>
        <v>76.5</v>
      </c>
      <c r="X442" s="5">
        <f>Sheet1[[#This Row],[Total Profit]]/Sheet1[[#This Row],[Sales After Discount]]</f>
        <v>0.10928571428571429</v>
      </c>
      <c r="Y442" s="4">
        <f>Sheet1[[#This Row],[Shipping_cost]]*Sheet1[[#This Row],[Quantity]]</f>
        <v>96.15</v>
      </c>
      <c r="Z442" s="4">
        <f>Sheet1[[#This Row],[Total Profit]]-Sheet1[[#This Row],[Total Shipping Cost]]</f>
        <v>-19.650000000000006</v>
      </c>
      <c r="AA442" s="4" t="str">
        <f>IF(Sheet1[[#This Row],[Net Profit]]&gt;0,"Profit","Loss")</f>
        <v>Loss</v>
      </c>
    </row>
    <row r="443" spans="1:27" x14ac:dyDescent="0.25">
      <c r="A443" t="s">
        <v>676</v>
      </c>
      <c r="B443" s="1">
        <v>40575</v>
      </c>
      <c r="C443" s="1">
        <v>40577</v>
      </c>
      <c r="D443" t="s">
        <v>18</v>
      </c>
      <c r="E443" t="s">
        <v>254</v>
      </c>
      <c r="F443" t="s">
        <v>3</v>
      </c>
      <c r="G443" t="s">
        <v>677</v>
      </c>
      <c r="H443" t="s">
        <v>678</v>
      </c>
      <c r="I443" t="s">
        <v>14</v>
      </c>
      <c r="J443" t="s">
        <v>281</v>
      </c>
      <c r="K443" t="s">
        <v>7</v>
      </c>
      <c r="L443" t="s">
        <v>16</v>
      </c>
      <c r="M443">
        <v>41</v>
      </c>
      <c r="N443">
        <v>3</v>
      </c>
      <c r="O443">
        <v>0</v>
      </c>
      <c r="P443">
        <v>11.79</v>
      </c>
      <c r="Q443">
        <v>11.13</v>
      </c>
      <c r="R443" t="s">
        <v>45</v>
      </c>
      <c r="S443">
        <f>Sheet1[[#This Row],[Ship_date]]-Sheet1[[#This Row],[Order_date]]</f>
        <v>2</v>
      </c>
      <c r="T443">
        <f>Sheet1[[#This Row],[Quantity]]*Sheet1[[#This Row],[Sales]]</f>
        <v>123</v>
      </c>
      <c r="U443">
        <f>Sheet1[[#This Row],[Total Sales]]*Sheet1[[#This Row],[Discount]]</f>
        <v>0</v>
      </c>
      <c r="V443" s="4">
        <f>Sheet1[[#This Row],[Total Sales]]-Sheet1[[#This Row],[Total Sales]]*Sheet1[[#This Row],[Discount]]</f>
        <v>123</v>
      </c>
      <c r="W443" s="4">
        <f>Sheet1[[#This Row],[Quantity]]*Sheet1[[#This Row],[Profit]]</f>
        <v>35.369999999999997</v>
      </c>
      <c r="X443" s="5">
        <f>Sheet1[[#This Row],[Total Profit]]/Sheet1[[#This Row],[Sales After Discount]]</f>
        <v>0.28756097560975608</v>
      </c>
      <c r="Y443" s="4">
        <f>Sheet1[[#This Row],[Shipping_cost]]*Sheet1[[#This Row],[Quantity]]</f>
        <v>33.39</v>
      </c>
      <c r="Z443" s="4">
        <f>Sheet1[[#This Row],[Total Profit]]-Sheet1[[#This Row],[Total Shipping Cost]]</f>
        <v>1.9799999999999969</v>
      </c>
      <c r="AA443" s="4" t="str">
        <f>IF(Sheet1[[#This Row],[Net Profit]]&gt;0,"Profit","Loss")</f>
        <v>Profit</v>
      </c>
    </row>
    <row r="444" spans="1:27" x14ac:dyDescent="0.25">
      <c r="A444" t="s">
        <v>687</v>
      </c>
      <c r="B444" s="1">
        <v>40575</v>
      </c>
      <c r="C444" s="1">
        <v>40580</v>
      </c>
      <c r="D444" t="s">
        <v>1</v>
      </c>
      <c r="E444" t="s">
        <v>688</v>
      </c>
      <c r="F444" t="s">
        <v>43</v>
      </c>
      <c r="G444" t="s">
        <v>689</v>
      </c>
      <c r="H444" t="s">
        <v>689</v>
      </c>
      <c r="I444" t="s">
        <v>75</v>
      </c>
      <c r="J444" t="s">
        <v>76</v>
      </c>
      <c r="K444" t="s">
        <v>38</v>
      </c>
      <c r="L444" t="s">
        <v>82</v>
      </c>
      <c r="M444">
        <v>82</v>
      </c>
      <c r="N444">
        <v>2</v>
      </c>
      <c r="O444">
        <v>0.4</v>
      </c>
      <c r="P444">
        <v>-19.135999999999999</v>
      </c>
      <c r="Q444">
        <v>6.21</v>
      </c>
      <c r="R444" t="s">
        <v>9</v>
      </c>
      <c r="S444">
        <f>Sheet1[[#This Row],[Ship_date]]-Sheet1[[#This Row],[Order_date]]</f>
        <v>5</v>
      </c>
      <c r="T444">
        <f>Sheet1[[#This Row],[Quantity]]*Sheet1[[#This Row],[Sales]]</f>
        <v>164</v>
      </c>
      <c r="U444">
        <f>Sheet1[[#This Row],[Total Sales]]*Sheet1[[#This Row],[Discount]]</f>
        <v>65.600000000000009</v>
      </c>
      <c r="V444" s="4">
        <f>Sheet1[[#This Row],[Total Sales]]-Sheet1[[#This Row],[Total Sales]]*Sheet1[[#This Row],[Discount]]</f>
        <v>98.399999999999991</v>
      </c>
      <c r="W444" s="4">
        <f>Sheet1[[#This Row],[Quantity]]*Sheet1[[#This Row],[Profit]]</f>
        <v>-38.271999999999998</v>
      </c>
      <c r="X444" s="5">
        <f>Sheet1[[#This Row],[Total Profit]]/Sheet1[[#This Row],[Sales After Discount]]</f>
        <v>-0.38894308943089434</v>
      </c>
      <c r="Y444" s="4">
        <f>Sheet1[[#This Row],[Shipping_cost]]*Sheet1[[#This Row],[Quantity]]</f>
        <v>12.42</v>
      </c>
      <c r="Z444" s="4">
        <f>Sheet1[[#This Row],[Total Profit]]-Sheet1[[#This Row],[Total Shipping Cost]]</f>
        <v>-50.692</v>
      </c>
      <c r="AA444" s="4" t="str">
        <f>IF(Sheet1[[#This Row],[Net Profit]]&gt;0,"Profit","Loss")</f>
        <v>Loss</v>
      </c>
    </row>
    <row r="445" spans="1:27" x14ac:dyDescent="0.25">
      <c r="A445" t="s">
        <v>693</v>
      </c>
      <c r="B445" s="1">
        <v>40575</v>
      </c>
      <c r="C445" s="1">
        <v>40579</v>
      </c>
      <c r="D445" t="s">
        <v>1</v>
      </c>
      <c r="E445" t="s">
        <v>694</v>
      </c>
      <c r="F445" t="s">
        <v>3</v>
      </c>
      <c r="G445" t="s">
        <v>520</v>
      </c>
      <c r="H445" t="s">
        <v>298</v>
      </c>
      <c r="I445" t="s">
        <v>29</v>
      </c>
      <c r="J445" t="s">
        <v>102</v>
      </c>
      <c r="K445" t="s">
        <v>7</v>
      </c>
      <c r="L445" t="s">
        <v>91</v>
      </c>
      <c r="M445">
        <v>78</v>
      </c>
      <c r="N445">
        <v>3</v>
      </c>
      <c r="O445">
        <v>0</v>
      </c>
      <c r="P445">
        <v>20.34</v>
      </c>
      <c r="Q445">
        <v>6.03</v>
      </c>
      <c r="R445" t="s">
        <v>9</v>
      </c>
      <c r="S445">
        <f>Sheet1[[#This Row],[Ship_date]]-Sheet1[[#This Row],[Order_date]]</f>
        <v>4</v>
      </c>
      <c r="T445">
        <f>Sheet1[[#This Row],[Quantity]]*Sheet1[[#This Row],[Sales]]</f>
        <v>234</v>
      </c>
      <c r="U445">
        <f>Sheet1[[#This Row],[Total Sales]]*Sheet1[[#This Row],[Discount]]</f>
        <v>0</v>
      </c>
      <c r="V445" s="4">
        <f>Sheet1[[#This Row],[Total Sales]]-Sheet1[[#This Row],[Total Sales]]*Sheet1[[#This Row],[Discount]]</f>
        <v>234</v>
      </c>
      <c r="W445" s="4">
        <f>Sheet1[[#This Row],[Quantity]]*Sheet1[[#This Row],[Profit]]</f>
        <v>61.019999999999996</v>
      </c>
      <c r="X445" s="5">
        <f>Sheet1[[#This Row],[Total Profit]]/Sheet1[[#This Row],[Sales After Discount]]</f>
        <v>0.26076923076923075</v>
      </c>
      <c r="Y445" s="4">
        <f>Sheet1[[#This Row],[Shipping_cost]]*Sheet1[[#This Row],[Quantity]]</f>
        <v>18.09</v>
      </c>
      <c r="Z445" s="4">
        <f>Sheet1[[#This Row],[Total Profit]]-Sheet1[[#This Row],[Total Shipping Cost]]</f>
        <v>42.929999999999993</v>
      </c>
      <c r="AA445" s="4" t="str">
        <f>IF(Sheet1[[#This Row],[Net Profit]]&gt;0,"Profit","Loss")</f>
        <v>Profit</v>
      </c>
    </row>
    <row r="446" spans="1:27" x14ac:dyDescent="0.25">
      <c r="A446" t="s">
        <v>676</v>
      </c>
      <c r="B446" s="1">
        <v>40575</v>
      </c>
      <c r="C446" s="1">
        <v>40577</v>
      </c>
      <c r="D446" t="s">
        <v>18</v>
      </c>
      <c r="E446" t="s">
        <v>254</v>
      </c>
      <c r="F446" t="s">
        <v>3</v>
      </c>
      <c r="G446" t="s">
        <v>677</v>
      </c>
      <c r="H446" t="s">
        <v>678</v>
      </c>
      <c r="I446" t="s">
        <v>14</v>
      </c>
      <c r="J446" t="s">
        <v>281</v>
      </c>
      <c r="K446" t="s">
        <v>7</v>
      </c>
      <c r="L446" t="s">
        <v>137</v>
      </c>
      <c r="M446">
        <v>23</v>
      </c>
      <c r="N446">
        <v>5</v>
      </c>
      <c r="O446">
        <v>0</v>
      </c>
      <c r="P446">
        <v>9.6</v>
      </c>
      <c r="Q446">
        <v>5.29</v>
      </c>
      <c r="R446" t="s">
        <v>45</v>
      </c>
      <c r="S446">
        <f>Sheet1[[#This Row],[Ship_date]]-Sheet1[[#This Row],[Order_date]]</f>
        <v>2</v>
      </c>
      <c r="T446">
        <f>Sheet1[[#This Row],[Quantity]]*Sheet1[[#This Row],[Sales]]</f>
        <v>115</v>
      </c>
      <c r="U446">
        <f>Sheet1[[#This Row],[Total Sales]]*Sheet1[[#This Row],[Discount]]</f>
        <v>0</v>
      </c>
      <c r="V446" s="4">
        <f>Sheet1[[#This Row],[Total Sales]]-Sheet1[[#This Row],[Total Sales]]*Sheet1[[#This Row],[Discount]]</f>
        <v>115</v>
      </c>
      <c r="W446" s="4">
        <f>Sheet1[[#This Row],[Quantity]]*Sheet1[[#This Row],[Profit]]</f>
        <v>48</v>
      </c>
      <c r="X446" s="5">
        <f>Sheet1[[#This Row],[Total Profit]]/Sheet1[[#This Row],[Sales After Discount]]</f>
        <v>0.41739130434782606</v>
      </c>
      <c r="Y446" s="4">
        <f>Sheet1[[#This Row],[Shipping_cost]]*Sheet1[[#This Row],[Quantity]]</f>
        <v>26.45</v>
      </c>
      <c r="Z446" s="4">
        <f>Sheet1[[#This Row],[Total Profit]]-Sheet1[[#This Row],[Total Shipping Cost]]</f>
        <v>21.55</v>
      </c>
      <c r="AA446" s="4" t="str">
        <f>IF(Sheet1[[#This Row],[Net Profit]]&gt;0,"Profit","Loss")</f>
        <v>Profit</v>
      </c>
    </row>
    <row r="447" spans="1:27" x14ac:dyDescent="0.25">
      <c r="A447" t="s">
        <v>676</v>
      </c>
      <c r="B447" s="1">
        <v>40575</v>
      </c>
      <c r="C447" s="1">
        <v>40577</v>
      </c>
      <c r="D447" t="s">
        <v>18</v>
      </c>
      <c r="E447" t="s">
        <v>254</v>
      </c>
      <c r="F447" t="s">
        <v>3</v>
      </c>
      <c r="G447" t="s">
        <v>677</v>
      </c>
      <c r="H447" t="s">
        <v>678</v>
      </c>
      <c r="I447" t="s">
        <v>14</v>
      </c>
      <c r="J447" t="s">
        <v>281</v>
      </c>
      <c r="K447" t="s">
        <v>7</v>
      </c>
      <c r="L447" t="s">
        <v>87</v>
      </c>
      <c r="M447">
        <v>20</v>
      </c>
      <c r="N447">
        <v>3</v>
      </c>
      <c r="O447">
        <v>0</v>
      </c>
      <c r="P447">
        <v>9.9</v>
      </c>
      <c r="Q447">
        <v>3.78</v>
      </c>
      <c r="R447" t="s">
        <v>45</v>
      </c>
      <c r="S447">
        <f>Sheet1[[#This Row],[Ship_date]]-Sheet1[[#This Row],[Order_date]]</f>
        <v>2</v>
      </c>
      <c r="T447">
        <f>Sheet1[[#This Row],[Quantity]]*Sheet1[[#This Row],[Sales]]</f>
        <v>60</v>
      </c>
      <c r="U447">
        <f>Sheet1[[#This Row],[Total Sales]]*Sheet1[[#This Row],[Discount]]</f>
        <v>0</v>
      </c>
      <c r="V447" s="4">
        <f>Sheet1[[#This Row],[Total Sales]]-Sheet1[[#This Row],[Total Sales]]*Sheet1[[#This Row],[Discount]]</f>
        <v>60</v>
      </c>
      <c r="W447" s="4">
        <f>Sheet1[[#This Row],[Quantity]]*Sheet1[[#This Row],[Profit]]</f>
        <v>29.700000000000003</v>
      </c>
      <c r="X447" s="5">
        <f>Sheet1[[#This Row],[Total Profit]]/Sheet1[[#This Row],[Sales After Discount]]</f>
        <v>0.49500000000000005</v>
      </c>
      <c r="Y447" s="4">
        <f>Sheet1[[#This Row],[Shipping_cost]]*Sheet1[[#This Row],[Quantity]]</f>
        <v>11.34</v>
      </c>
      <c r="Z447" s="4">
        <f>Sheet1[[#This Row],[Total Profit]]-Sheet1[[#This Row],[Total Shipping Cost]]</f>
        <v>18.360000000000003</v>
      </c>
      <c r="AA447" s="4" t="str">
        <f>IF(Sheet1[[#This Row],[Net Profit]]&gt;0,"Profit","Loss")</f>
        <v>Profit</v>
      </c>
    </row>
    <row r="448" spans="1:27" x14ac:dyDescent="0.25">
      <c r="A448" t="s">
        <v>691</v>
      </c>
      <c r="B448" s="1">
        <v>40575</v>
      </c>
      <c r="C448" s="1">
        <v>40577</v>
      </c>
      <c r="D448" t="s">
        <v>18</v>
      </c>
      <c r="E448" t="s">
        <v>692</v>
      </c>
      <c r="F448" t="s">
        <v>43</v>
      </c>
      <c r="G448" t="s">
        <v>550</v>
      </c>
      <c r="H448" t="s">
        <v>115</v>
      </c>
      <c r="I448" t="s">
        <v>29</v>
      </c>
      <c r="J448" t="s">
        <v>76</v>
      </c>
      <c r="K448" t="s">
        <v>7</v>
      </c>
      <c r="L448" t="s">
        <v>96</v>
      </c>
      <c r="M448">
        <v>21</v>
      </c>
      <c r="N448">
        <v>1</v>
      </c>
      <c r="O448">
        <v>0</v>
      </c>
      <c r="P448">
        <v>0</v>
      </c>
      <c r="Q448">
        <v>3.34</v>
      </c>
      <c r="R448" t="s">
        <v>23</v>
      </c>
      <c r="S448">
        <f>Sheet1[[#This Row],[Ship_date]]-Sheet1[[#This Row],[Order_date]]</f>
        <v>2</v>
      </c>
      <c r="T448">
        <f>Sheet1[[#This Row],[Quantity]]*Sheet1[[#This Row],[Sales]]</f>
        <v>21</v>
      </c>
      <c r="U448">
        <f>Sheet1[[#This Row],[Total Sales]]*Sheet1[[#This Row],[Discount]]</f>
        <v>0</v>
      </c>
      <c r="V448" s="4">
        <f>Sheet1[[#This Row],[Total Sales]]-Sheet1[[#This Row],[Total Sales]]*Sheet1[[#This Row],[Discount]]</f>
        <v>21</v>
      </c>
      <c r="W448" s="4">
        <f>Sheet1[[#This Row],[Quantity]]*Sheet1[[#This Row],[Profit]]</f>
        <v>0</v>
      </c>
      <c r="X448" s="5">
        <f>Sheet1[[#This Row],[Total Profit]]/Sheet1[[#This Row],[Sales After Discount]]</f>
        <v>0</v>
      </c>
      <c r="Y448" s="4">
        <f>Sheet1[[#This Row],[Shipping_cost]]*Sheet1[[#This Row],[Quantity]]</f>
        <v>3.34</v>
      </c>
      <c r="Z448" s="4">
        <f>Sheet1[[#This Row],[Total Profit]]-Sheet1[[#This Row],[Total Shipping Cost]]</f>
        <v>-3.34</v>
      </c>
      <c r="AA448" s="4" t="str">
        <f>IF(Sheet1[[#This Row],[Net Profit]]&gt;0,"Profit","Loss")</f>
        <v>Loss</v>
      </c>
    </row>
    <row r="449" spans="1:27" x14ac:dyDescent="0.25">
      <c r="A449" t="s">
        <v>695</v>
      </c>
      <c r="B449" s="1">
        <v>40575</v>
      </c>
      <c r="C449" s="1">
        <v>40581</v>
      </c>
      <c r="D449" t="s">
        <v>1</v>
      </c>
      <c r="E449" t="s">
        <v>528</v>
      </c>
      <c r="F449" t="s">
        <v>3</v>
      </c>
      <c r="G449" t="s">
        <v>471</v>
      </c>
      <c r="H449" t="s">
        <v>305</v>
      </c>
      <c r="I449" t="s">
        <v>29</v>
      </c>
      <c r="J449" t="s">
        <v>76</v>
      </c>
      <c r="K449" t="s">
        <v>7</v>
      </c>
      <c r="L449" t="s">
        <v>137</v>
      </c>
      <c r="M449">
        <v>21</v>
      </c>
      <c r="N449">
        <v>3</v>
      </c>
      <c r="O449">
        <v>0</v>
      </c>
      <c r="P449">
        <v>10.53</v>
      </c>
      <c r="Q449">
        <v>1.86</v>
      </c>
      <c r="R449" t="s">
        <v>9</v>
      </c>
      <c r="S449">
        <f>Sheet1[[#This Row],[Ship_date]]-Sheet1[[#This Row],[Order_date]]</f>
        <v>6</v>
      </c>
      <c r="T449">
        <f>Sheet1[[#This Row],[Quantity]]*Sheet1[[#This Row],[Sales]]</f>
        <v>63</v>
      </c>
      <c r="U449">
        <f>Sheet1[[#This Row],[Total Sales]]*Sheet1[[#This Row],[Discount]]</f>
        <v>0</v>
      </c>
      <c r="V449" s="4">
        <f>Sheet1[[#This Row],[Total Sales]]-Sheet1[[#This Row],[Total Sales]]*Sheet1[[#This Row],[Discount]]</f>
        <v>63</v>
      </c>
      <c r="W449" s="4">
        <f>Sheet1[[#This Row],[Quantity]]*Sheet1[[#This Row],[Profit]]</f>
        <v>31.589999999999996</v>
      </c>
      <c r="X449" s="5">
        <f>Sheet1[[#This Row],[Total Profit]]/Sheet1[[#This Row],[Sales After Discount]]</f>
        <v>0.50142857142857133</v>
      </c>
      <c r="Y449" s="4">
        <f>Sheet1[[#This Row],[Shipping_cost]]*Sheet1[[#This Row],[Quantity]]</f>
        <v>5.58</v>
      </c>
      <c r="Z449" s="4">
        <f>Sheet1[[#This Row],[Total Profit]]-Sheet1[[#This Row],[Total Shipping Cost]]</f>
        <v>26.009999999999998</v>
      </c>
      <c r="AA449" s="4" t="str">
        <f>IF(Sheet1[[#This Row],[Net Profit]]&gt;0,"Profit","Loss")</f>
        <v>Profit</v>
      </c>
    </row>
    <row r="450" spans="1:27" x14ac:dyDescent="0.25">
      <c r="A450" t="s">
        <v>695</v>
      </c>
      <c r="B450" s="1">
        <v>40575</v>
      </c>
      <c r="C450" s="1">
        <v>40581</v>
      </c>
      <c r="D450" t="s">
        <v>1</v>
      </c>
      <c r="E450" t="s">
        <v>528</v>
      </c>
      <c r="F450" t="s">
        <v>3</v>
      </c>
      <c r="G450" t="s">
        <v>471</v>
      </c>
      <c r="H450" t="s">
        <v>305</v>
      </c>
      <c r="I450" t="s">
        <v>29</v>
      </c>
      <c r="J450" t="s">
        <v>76</v>
      </c>
      <c r="K450" t="s">
        <v>7</v>
      </c>
      <c r="L450" t="s">
        <v>137</v>
      </c>
      <c r="M450">
        <v>12</v>
      </c>
      <c r="N450">
        <v>2</v>
      </c>
      <c r="O450">
        <v>0</v>
      </c>
      <c r="P450">
        <v>4.2</v>
      </c>
      <c r="Q450">
        <v>0.93</v>
      </c>
      <c r="R450" t="s">
        <v>9</v>
      </c>
      <c r="S450">
        <f>Sheet1[[#This Row],[Ship_date]]-Sheet1[[#This Row],[Order_date]]</f>
        <v>6</v>
      </c>
      <c r="T450">
        <f>Sheet1[[#This Row],[Quantity]]*Sheet1[[#This Row],[Sales]]</f>
        <v>24</v>
      </c>
      <c r="U450">
        <f>Sheet1[[#This Row],[Total Sales]]*Sheet1[[#This Row],[Discount]]</f>
        <v>0</v>
      </c>
      <c r="V450" s="4">
        <f>Sheet1[[#This Row],[Total Sales]]-Sheet1[[#This Row],[Total Sales]]*Sheet1[[#This Row],[Discount]]</f>
        <v>24</v>
      </c>
      <c r="W450" s="4">
        <f>Sheet1[[#This Row],[Quantity]]*Sheet1[[#This Row],[Profit]]</f>
        <v>8.4</v>
      </c>
      <c r="X450" s="5">
        <f>Sheet1[[#This Row],[Total Profit]]/Sheet1[[#This Row],[Sales After Discount]]</f>
        <v>0.35000000000000003</v>
      </c>
      <c r="Y450" s="4">
        <f>Sheet1[[#This Row],[Shipping_cost]]*Sheet1[[#This Row],[Quantity]]</f>
        <v>1.86</v>
      </c>
      <c r="Z450" s="4">
        <f>Sheet1[[#This Row],[Total Profit]]-Sheet1[[#This Row],[Total Shipping Cost]]</f>
        <v>6.54</v>
      </c>
      <c r="AA450" s="4" t="str">
        <f>IF(Sheet1[[#This Row],[Net Profit]]&gt;0,"Profit","Loss")</f>
        <v>Profit</v>
      </c>
    </row>
    <row r="451" spans="1:27" x14ac:dyDescent="0.25">
      <c r="A451" t="s">
        <v>687</v>
      </c>
      <c r="B451" s="1">
        <v>40575</v>
      </c>
      <c r="C451" s="1">
        <v>40580</v>
      </c>
      <c r="D451" t="s">
        <v>1</v>
      </c>
      <c r="E451" t="s">
        <v>688</v>
      </c>
      <c r="F451" t="s">
        <v>43</v>
      </c>
      <c r="G451" t="s">
        <v>689</v>
      </c>
      <c r="H451" t="s">
        <v>689</v>
      </c>
      <c r="I451" t="s">
        <v>75</v>
      </c>
      <c r="J451" t="s">
        <v>76</v>
      </c>
      <c r="K451" t="s">
        <v>7</v>
      </c>
      <c r="L451" t="s">
        <v>137</v>
      </c>
      <c r="M451">
        <v>10</v>
      </c>
      <c r="N451">
        <v>6</v>
      </c>
      <c r="O451">
        <v>0.4</v>
      </c>
      <c r="P451">
        <v>-0.98399999999999999</v>
      </c>
      <c r="Q451">
        <v>0.81</v>
      </c>
      <c r="R451" t="s">
        <v>9</v>
      </c>
      <c r="S451">
        <f>Sheet1[[#This Row],[Ship_date]]-Sheet1[[#This Row],[Order_date]]</f>
        <v>5</v>
      </c>
      <c r="T451">
        <f>Sheet1[[#This Row],[Quantity]]*Sheet1[[#This Row],[Sales]]</f>
        <v>60</v>
      </c>
      <c r="U451">
        <f>Sheet1[[#This Row],[Total Sales]]*Sheet1[[#This Row],[Discount]]</f>
        <v>24</v>
      </c>
      <c r="V451" s="4">
        <f>Sheet1[[#This Row],[Total Sales]]-Sheet1[[#This Row],[Total Sales]]*Sheet1[[#This Row],[Discount]]</f>
        <v>36</v>
      </c>
      <c r="W451" s="4">
        <f>Sheet1[[#This Row],[Quantity]]*Sheet1[[#This Row],[Profit]]</f>
        <v>-5.9039999999999999</v>
      </c>
      <c r="X451" s="5">
        <f>Sheet1[[#This Row],[Total Profit]]/Sheet1[[#This Row],[Sales After Discount]]</f>
        <v>-0.16400000000000001</v>
      </c>
      <c r="Y451" s="4">
        <f>Sheet1[[#This Row],[Shipping_cost]]*Sheet1[[#This Row],[Quantity]]</f>
        <v>4.8600000000000003</v>
      </c>
      <c r="Z451" s="4">
        <f>Sheet1[[#This Row],[Total Profit]]-Sheet1[[#This Row],[Total Shipping Cost]]</f>
        <v>-10.763999999999999</v>
      </c>
      <c r="AA451" s="4" t="str">
        <f>IF(Sheet1[[#This Row],[Net Profit]]&gt;0,"Profit","Loss")</f>
        <v>Loss</v>
      </c>
    </row>
    <row r="452" spans="1:27" x14ac:dyDescent="0.25">
      <c r="A452" t="s">
        <v>696</v>
      </c>
      <c r="B452" s="1">
        <v>40576</v>
      </c>
      <c r="C452" s="1">
        <v>40579</v>
      </c>
      <c r="D452" t="s">
        <v>142</v>
      </c>
      <c r="E452" t="s">
        <v>697</v>
      </c>
      <c r="F452" t="s">
        <v>43</v>
      </c>
      <c r="G452" t="s">
        <v>698</v>
      </c>
      <c r="H452" t="s">
        <v>169</v>
      </c>
      <c r="I452" t="s">
        <v>14</v>
      </c>
      <c r="J452" t="s">
        <v>132</v>
      </c>
      <c r="K452" t="s">
        <v>32</v>
      </c>
      <c r="L452" t="s">
        <v>67</v>
      </c>
      <c r="M452">
        <v>1052</v>
      </c>
      <c r="N452">
        <v>7</v>
      </c>
      <c r="O452">
        <v>0</v>
      </c>
      <c r="P452">
        <v>105.21</v>
      </c>
      <c r="Q452">
        <v>154.4</v>
      </c>
      <c r="R452" t="s">
        <v>9</v>
      </c>
      <c r="S452">
        <f>Sheet1[[#This Row],[Ship_date]]-Sheet1[[#This Row],[Order_date]]</f>
        <v>3</v>
      </c>
      <c r="T452">
        <f>Sheet1[[#This Row],[Quantity]]*Sheet1[[#This Row],[Sales]]</f>
        <v>7364</v>
      </c>
      <c r="U452">
        <f>Sheet1[[#This Row],[Total Sales]]*Sheet1[[#This Row],[Discount]]</f>
        <v>0</v>
      </c>
      <c r="V452" s="4">
        <f>Sheet1[[#This Row],[Total Sales]]-Sheet1[[#This Row],[Total Sales]]*Sheet1[[#This Row],[Discount]]</f>
        <v>7364</v>
      </c>
      <c r="W452" s="4">
        <f>Sheet1[[#This Row],[Quantity]]*Sheet1[[#This Row],[Profit]]</f>
        <v>736.46999999999991</v>
      </c>
      <c r="X452" s="5">
        <f>Sheet1[[#This Row],[Total Profit]]/Sheet1[[#This Row],[Sales After Discount]]</f>
        <v>0.10000950570342204</v>
      </c>
      <c r="Y452" s="4">
        <f>Sheet1[[#This Row],[Shipping_cost]]*Sheet1[[#This Row],[Quantity]]</f>
        <v>1080.8</v>
      </c>
      <c r="Z452" s="4">
        <f>Sheet1[[#This Row],[Total Profit]]-Sheet1[[#This Row],[Total Shipping Cost]]</f>
        <v>-344.33000000000004</v>
      </c>
      <c r="AA452" s="4" t="str">
        <f>IF(Sheet1[[#This Row],[Net Profit]]&gt;0,"Profit","Loss")</f>
        <v>Loss</v>
      </c>
    </row>
    <row r="453" spans="1:27" x14ac:dyDescent="0.25">
      <c r="A453" t="s">
        <v>699</v>
      </c>
      <c r="B453" s="1">
        <v>40576</v>
      </c>
      <c r="C453" s="1">
        <v>40579</v>
      </c>
      <c r="D453" t="s">
        <v>142</v>
      </c>
      <c r="E453" t="s">
        <v>700</v>
      </c>
      <c r="F453" t="s">
        <v>43</v>
      </c>
      <c r="G453" t="s">
        <v>701</v>
      </c>
      <c r="H453" t="s">
        <v>305</v>
      </c>
      <c r="I453" t="s">
        <v>29</v>
      </c>
      <c r="J453" t="s">
        <v>76</v>
      </c>
      <c r="K453" t="s">
        <v>38</v>
      </c>
      <c r="L453" t="s">
        <v>77</v>
      </c>
      <c r="M453">
        <v>584</v>
      </c>
      <c r="N453">
        <v>8</v>
      </c>
      <c r="O453">
        <v>0.5</v>
      </c>
      <c r="P453">
        <v>-58.56</v>
      </c>
      <c r="Q453">
        <v>109.14</v>
      </c>
      <c r="R453" t="s">
        <v>23</v>
      </c>
      <c r="S453">
        <f>Sheet1[[#This Row],[Ship_date]]-Sheet1[[#This Row],[Order_date]]</f>
        <v>3</v>
      </c>
      <c r="T453">
        <f>Sheet1[[#This Row],[Quantity]]*Sheet1[[#This Row],[Sales]]</f>
        <v>4672</v>
      </c>
      <c r="U453">
        <f>Sheet1[[#This Row],[Total Sales]]*Sheet1[[#This Row],[Discount]]</f>
        <v>2336</v>
      </c>
      <c r="V453" s="4">
        <f>Sheet1[[#This Row],[Total Sales]]-Sheet1[[#This Row],[Total Sales]]*Sheet1[[#This Row],[Discount]]</f>
        <v>2336</v>
      </c>
      <c r="W453" s="4">
        <f>Sheet1[[#This Row],[Quantity]]*Sheet1[[#This Row],[Profit]]</f>
        <v>-468.48</v>
      </c>
      <c r="X453" s="5">
        <f>Sheet1[[#This Row],[Total Profit]]/Sheet1[[#This Row],[Sales After Discount]]</f>
        <v>-0.20054794520547947</v>
      </c>
      <c r="Y453" s="4">
        <f>Sheet1[[#This Row],[Shipping_cost]]*Sheet1[[#This Row],[Quantity]]</f>
        <v>873.12</v>
      </c>
      <c r="Z453" s="4">
        <f>Sheet1[[#This Row],[Total Profit]]-Sheet1[[#This Row],[Total Shipping Cost]]</f>
        <v>-1341.6</v>
      </c>
      <c r="AA453" s="4" t="str">
        <f>IF(Sheet1[[#This Row],[Net Profit]]&gt;0,"Profit","Loss")</f>
        <v>Loss</v>
      </c>
    </row>
    <row r="454" spans="1:27" x14ac:dyDescent="0.25">
      <c r="A454" t="s">
        <v>702</v>
      </c>
      <c r="B454" s="1">
        <v>40576</v>
      </c>
      <c r="C454" s="1">
        <v>40580</v>
      </c>
      <c r="D454" t="s">
        <v>1</v>
      </c>
      <c r="E454" t="s">
        <v>703</v>
      </c>
      <c r="F454" t="s">
        <v>3</v>
      </c>
      <c r="G454" t="s">
        <v>495</v>
      </c>
      <c r="H454" t="s">
        <v>115</v>
      </c>
      <c r="I454" t="s">
        <v>29</v>
      </c>
      <c r="J454" t="s">
        <v>76</v>
      </c>
      <c r="K454" t="s">
        <v>38</v>
      </c>
      <c r="L454" t="s">
        <v>50</v>
      </c>
      <c r="M454">
        <v>550</v>
      </c>
      <c r="N454">
        <v>6</v>
      </c>
      <c r="O454">
        <v>0.65</v>
      </c>
      <c r="P454">
        <v>-235.773</v>
      </c>
      <c r="Q454">
        <v>96.84</v>
      </c>
      <c r="R454" t="s">
        <v>23</v>
      </c>
      <c r="S454">
        <f>Sheet1[[#This Row],[Ship_date]]-Sheet1[[#This Row],[Order_date]]</f>
        <v>4</v>
      </c>
      <c r="T454">
        <f>Sheet1[[#This Row],[Quantity]]*Sheet1[[#This Row],[Sales]]</f>
        <v>3300</v>
      </c>
      <c r="U454">
        <f>Sheet1[[#This Row],[Total Sales]]*Sheet1[[#This Row],[Discount]]</f>
        <v>2145</v>
      </c>
      <c r="V454" s="4">
        <f>Sheet1[[#This Row],[Total Sales]]-Sheet1[[#This Row],[Total Sales]]*Sheet1[[#This Row],[Discount]]</f>
        <v>1155</v>
      </c>
      <c r="W454" s="4">
        <f>Sheet1[[#This Row],[Quantity]]*Sheet1[[#This Row],[Profit]]</f>
        <v>-1414.6379999999999</v>
      </c>
      <c r="X454" s="5">
        <f>Sheet1[[#This Row],[Total Profit]]/Sheet1[[#This Row],[Sales After Discount]]</f>
        <v>-1.2247948051948052</v>
      </c>
      <c r="Y454" s="4">
        <f>Sheet1[[#This Row],[Shipping_cost]]*Sheet1[[#This Row],[Quantity]]</f>
        <v>581.04</v>
      </c>
      <c r="Z454" s="4">
        <f>Sheet1[[#This Row],[Total Profit]]-Sheet1[[#This Row],[Total Shipping Cost]]</f>
        <v>-1995.6779999999999</v>
      </c>
      <c r="AA454" s="4" t="str">
        <f>IF(Sheet1[[#This Row],[Net Profit]]&gt;0,"Profit","Loss")</f>
        <v>Loss</v>
      </c>
    </row>
    <row r="455" spans="1:27" x14ac:dyDescent="0.25">
      <c r="A455" t="s">
        <v>696</v>
      </c>
      <c r="B455" s="1">
        <v>40576</v>
      </c>
      <c r="C455" s="1">
        <v>40579</v>
      </c>
      <c r="D455" t="s">
        <v>142</v>
      </c>
      <c r="E455" t="s">
        <v>697</v>
      </c>
      <c r="F455" t="s">
        <v>43</v>
      </c>
      <c r="G455" t="s">
        <v>698</v>
      </c>
      <c r="H455" t="s">
        <v>169</v>
      </c>
      <c r="I455" t="s">
        <v>14</v>
      </c>
      <c r="J455" t="s">
        <v>132</v>
      </c>
      <c r="K455" t="s">
        <v>7</v>
      </c>
      <c r="L455" t="s">
        <v>8</v>
      </c>
      <c r="M455">
        <v>381</v>
      </c>
      <c r="N455">
        <v>3</v>
      </c>
      <c r="O455">
        <v>0</v>
      </c>
      <c r="P455">
        <v>102.78</v>
      </c>
      <c r="Q455">
        <v>88.42</v>
      </c>
      <c r="R455" t="s">
        <v>9</v>
      </c>
      <c r="S455">
        <f>Sheet1[[#This Row],[Ship_date]]-Sheet1[[#This Row],[Order_date]]</f>
        <v>3</v>
      </c>
      <c r="T455">
        <f>Sheet1[[#This Row],[Quantity]]*Sheet1[[#This Row],[Sales]]</f>
        <v>1143</v>
      </c>
      <c r="U455">
        <f>Sheet1[[#This Row],[Total Sales]]*Sheet1[[#This Row],[Discount]]</f>
        <v>0</v>
      </c>
      <c r="V455" s="4">
        <f>Sheet1[[#This Row],[Total Sales]]-Sheet1[[#This Row],[Total Sales]]*Sheet1[[#This Row],[Discount]]</f>
        <v>1143</v>
      </c>
      <c r="W455" s="4">
        <f>Sheet1[[#This Row],[Quantity]]*Sheet1[[#This Row],[Profit]]</f>
        <v>308.34000000000003</v>
      </c>
      <c r="X455" s="5">
        <f>Sheet1[[#This Row],[Total Profit]]/Sheet1[[#This Row],[Sales After Discount]]</f>
        <v>0.26976377952755909</v>
      </c>
      <c r="Y455" s="4">
        <f>Sheet1[[#This Row],[Shipping_cost]]*Sheet1[[#This Row],[Quantity]]</f>
        <v>265.26</v>
      </c>
      <c r="Z455" s="4">
        <f>Sheet1[[#This Row],[Total Profit]]-Sheet1[[#This Row],[Total Shipping Cost]]</f>
        <v>43.080000000000041</v>
      </c>
      <c r="AA455" s="4" t="str">
        <f>IF(Sheet1[[#This Row],[Net Profit]]&gt;0,"Profit","Loss")</f>
        <v>Profit</v>
      </c>
    </row>
    <row r="456" spans="1:27" x14ac:dyDescent="0.25">
      <c r="A456" t="s">
        <v>704</v>
      </c>
      <c r="B456" s="1">
        <v>40576</v>
      </c>
      <c r="C456" s="1">
        <v>40580</v>
      </c>
      <c r="D456" t="s">
        <v>18</v>
      </c>
      <c r="E456" t="s">
        <v>225</v>
      </c>
      <c r="F456" t="s">
        <v>43</v>
      </c>
      <c r="G456" t="s">
        <v>705</v>
      </c>
      <c r="H456" t="s">
        <v>276</v>
      </c>
      <c r="I456" t="s">
        <v>29</v>
      </c>
      <c r="J456" t="s">
        <v>102</v>
      </c>
      <c r="K456" t="s">
        <v>38</v>
      </c>
      <c r="L456" t="s">
        <v>77</v>
      </c>
      <c r="M456">
        <v>587</v>
      </c>
      <c r="N456">
        <v>1</v>
      </c>
      <c r="O456">
        <v>0.1</v>
      </c>
      <c r="P456">
        <v>104.41200000000001</v>
      </c>
      <c r="Q456">
        <v>78</v>
      </c>
      <c r="R456" t="s">
        <v>23</v>
      </c>
      <c r="S456">
        <f>Sheet1[[#This Row],[Ship_date]]-Sheet1[[#This Row],[Order_date]]</f>
        <v>4</v>
      </c>
      <c r="T456">
        <f>Sheet1[[#This Row],[Quantity]]*Sheet1[[#This Row],[Sales]]</f>
        <v>587</v>
      </c>
      <c r="U456">
        <f>Sheet1[[#This Row],[Total Sales]]*Sheet1[[#This Row],[Discount]]</f>
        <v>58.7</v>
      </c>
      <c r="V456" s="4">
        <f>Sheet1[[#This Row],[Total Sales]]-Sheet1[[#This Row],[Total Sales]]*Sheet1[[#This Row],[Discount]]</f>
        <v>528.29999999999995</v>
      </c>
      <c r="W456" s="4">
        <f>Sheet1[[#This Row],[Quantity]]*Sheet1[[#This Row],[Profit]]</f>
        <v>104.41200000000001</v>
      </c>
      <c r="X456" s="5">
        <f>Sheet1[[#This Row],[Total Profit]]/Sheet1[[#This Row],[Sales After Discount]]</f>
        <v>0.19763770584894949</v>
      </c>
      <c r="Y456" s="4">
        <f>Sheet1[[#This Row],[Shipping_cost]]*Sheet1[[#This Row],[Quantity]]</f>
        <v>78</v>
      </c>
      <c r="Z456" s="4">
        <f>Sheet1[[#This Row],[Total Profit]]-Sheet1[[#This Row],[Total Shipping Cost]]</f>
        <v>26.412000000000006</v>
      </c>
      <c r="AA456" s="4" t="str">
        <f>IF(Sheet1[[#This Row],[Net Profit]]&gt;0,"Profit","Loss")</f>
        <v>Profit</v>
      </c>
    </row>
    <row r="457" spans="1:27" x14ac:dyDescent="0.25">
      <c r="A457" t="s">
        <v>706</v>
      </c>
      <c r="B457" s="1">
        <v>40576</v>
      </c>
      <c r="C457" s="1">
        <v>40576</v>
      </c>
      <c r="D457" t="s">
        <v>41</v>
      </c>
      <c r="E457" t="s">
        <v>707</v>
      </c>
      <c r="F457" t="s">
        <v>43</v>
      </c>
      <c r="G457" t="s">
        <v>708</v>
      </c>
      <c r="H457" t="s">
        <v>305</v>
      </c>
      <c r="I457" t="s">
        <v>29</v>
      </c>
      <c r="J457" t="s">
        <v>76</v>
      </c>
      <c r="K457" t="s">
        <v>38</v>
      </c>
      <c r="L457" t="s">
        <v>50</v>
      </c>
      <c r="M457">
        <v>379</v>
      </c>
      <c r="N457">
        <v>1</v>
      </c>
      <c r="O457">
        <v>0</v>
      </c>
      <c r="P457">
        <v>140.13</v>
      </c>
      <c r="Q457">
        <v>71.569999999999993</v>
      </c>
      <c r="R457" t="s">
        <v>23</v>
      </c>
      <c r="S457">
        <f>Sheet1[[#This Row],[Ship_date]]-Sheet1[[#This Row],[Order_date]]</f>
        <v>0</v>
      </c>
      <c r="T457">
        <f>Sheet1[[#This Row],[Quantity]]*Sheet1[[#This Row],[Sales]]</f>
        <v>379</v>
      </c>
      <c r="U457">
        <f>Sheet1[[#This Row],[Total Sales]]*Sheet1[[#This Row],[Discount]]</f>
        <v>0</v>
      </c>
      <c r="V457" s="4">
        <f>Sheet1[[#This Row],[Total Sales]]-Sheet1[[#This Row],[Total Sales]]*Sheet1[[#This Row],[Discount]]</f>
        <v>379</v>
      </c>
      <c r="W457" s="4">
        <f>Sheet1[[#This Row],[Quantity]]*Sheet1[[#This Row],[Profit]]</f>
        <v>140.13</v>
      </c>
      <c r="X457" s="5">
        <f>Sheet1[[#This Row],[Total Profit]]/Sheet1[[#This Row],[Sales After Discount]]</f>
        <v>0.36973614775725594</v>
      </c>
      <c r="Y457" s="4">
        <f>Sheet1[[#This Row],[Shipping_cost]]*Sheet1[[#This Row],[Quantity]]</f>
        <v>71.569999999999993</v>
      </c>
      <c r="Z457" s="4">
        <f>Sheet1[[#This Row],[Total Profit]]-Sheet1[[#This Row],[Total Shipping Cost]]</f>
        <v>68.56</v>
      </c>
      <c r="AA457" s="4" t="str">
        <f>IF(Sheet1[[#This Row],[Net Profit]]&gt;0,"Profit","Loss")</f>
        <v>Profit</v>
      </c>
    </row>
    <row r="458" spans="1:27" x14ac:dyDescent="0.25">
      <c r="A458" t="s">
        <v>696</v>
      </c>
      <c r="B458" s="1">
        <v>40576</v>
      </c>
      <c r="C458" s="1">
        <v>40579</v>
      </c>
      <c r="D458" t="s">
        <v>142</v>
      </c>
      <c r="E458" t="s">
        <v>697</v>
      </c>
      <c r="F458" t="s">
        <v>43</v>
      </c>
      <c r="G458" t="s">
        <v>698</v>
      </c>
      <c r="H458" t="s">
        <v>169</v>
      </c>
      <c r="I458" t="s">
        <v>14</v>
      </c>
      <c r="J458" t="s">
        <v>132</v>
      </c>
      <c r="K458" t="s">
        <v>32</v>
      </c>
      <c r="L458" t="s">
        <v>62</v>
      </c>
      <c r="M458">
        <v>692</v>
      </c>
      <c r="N458">
        <v>2</v>
      </c>
      <c r="O458">
        <v>0.3</v>
      </c>
      <c r="P458">
        <v>-207.732</v>
      </c>
      <c r="Q458">
        <v>70.94</v>
      </c>
      <c r="R458" t="s">
        <v>9</v>
      </c>
      <c r="S458">
        <f>Sheet1[[#This Row],[Ship_date]]-Sheet1[[#This Row],[Order_date]]</f>
        <v>3</v>
      </c>
      <c r="T458">
        <f>Sheet1[[#This Row],[Quantity]]*Sheet1[[#This Row],[Sales]]</f>
        <v>1384</v>
      </c>
      <c r="U458">
        <f>Sheet1[[#This Row],[Total Sales]]*Sheet1[[#This Row],[Discount]]</f>
        <v>415.2</v>
      </c>
      <c r="V458" s="4">
        <f>Sheet1[[#This Row],[Total Sales]]-Sheet1[[#This Row],[Total Sales]]*Sheet1[[#This Row],[Discount]]</f>
        <v>968.8</v>
      </c>
      <c r="W458" s="4">
        <f>Sheet1[[#This Row],[Quantity]]*Sheet1[[#This Row],[Profit]]</f>
        <v>-415.464</v>
      </c>
      <c r="X458" s="5">
        <f>Sheet1[[#This Row],[Total Profit]]/Sheet1[[#This Row],[Sales After Discount]]</f>
        <v>-0.42884393063583814</v>
      </c>
      <c r="Y458" s="4">
        <f>Sheet1[[#This Row],[Shipping_cost]]*Sheet1[[#This Row],[Quantity]]</f>
        <v>141.88</v>
      </c>
      <c r="Z458" s="4">
        <f>Sheet1[[#This Row],[Total Profit]]-Sheet1[[#This Row],[Total Shipping Cost]]</f>
        <v>-557.34400000000005</v>
      </c>
      <c r="AA458" s="4" t="str">
        <f>IF(Sheet1[[#This Row],[Net Profit]]&gt;0,"Profit","Loss")</f>
        <v>Loss</v>
      </c>
    </row>
    <row r="459" spans="1:27" x14ac:dyDescent="0.25">
      <c r="A459" t="s">
        <v>709</v>
      </c>
      <c r="B459" s="1">
        <v>40576</v>
      </c>
      <c r="C459" s="1">
        <v>40578</v>
      </c>
      <c r="D459" t="s">
        <v>142</v>
      </c>
      <c r="E459" t="s">
        <v>129</v>
      </c>
      <c r="F459" t="s">
        <v>3</v>
      </c>
      <c r="G459" t="s">
        <v>710</v>
      </c>
      <c r="H459" t="s">
        <v>126</v>
      </c>
      <c r="I459" t="s">
        <v>127</v>
      </c>
      <c r="J459" t="s">
        <v>76</v>
      </c>
      <c r="K459" t="s">
        <v>38</v>
      </c>
      <c r="L459" t="s">
        <v>82</v>
      </c>
      <c r="M459">
        <v>469</v>
      </c>
      <c r="N459">
        <v>6</v>
      </c>
      <c r="O459">
        <v>0</v>
      </c>
      <c r="P459">
        <v>206.316</v>
      </c>
      <c r="Q459">
        <v>66.88</v>
      </c>
      <c r="R459" t="s">
        <v>23</v>
      </c>
      <c r="S459">
        <f>Sheet1[[#This Row],[Ship_date]]-Sheet1[[#This Row],[Order_date]]</f>
        <v>2</v>
      </c>
      <c r="T459">
        <f>Sheet1[[#This Row],[Quantity]]*Sheet1[[#This Row],[Sales]]</f>
        <v>2814</v>
      </c>
      <c r="U459">
        <f>Sheet1[[#This Row],[Total Sales]]*Sheet1[[#This Row],[Discount]]</f>
        <v>0</v>
      </c>
      <c r="V459" s="4">
        <f>Sheet1[[#This Row],[Total Sales]]-Sheet1[[#This Row],[Total Sales]]*Sheet1[[#This Row],[Discount]]</f>
        <v>2814</v>
      </c>
      <c r="W459" s="4">
        <f>Sheet1[[#This Row],[Quantity]]*Sheet1[[#This Row],[Profit]]</f>
        <v>1237.896</v>
      </c>
      <c r="X459" s="5">
        <f>Sheet1[[#This Row],[Total Profit]]/Sheet1[[#This Row],[Sales After Discount]]</f>
        <v>0.43990618336886994</v>
      </c>
      <c r="Y459" s="4">
        <f>Sheet1[[#This Row],[Shipping_cost]]*Sheet1[[#This Row],[Quantity]]</f>
        <v>401.28</v>
      </c>
      <c r="Z459" s="4">
        <f>Sheet1[[#This Row],[Total Profit]]-Sheet1[[#This Row],[Total Shipping Cost]]</f>
        <v>836.61599999999999</v>
      </c>
      <c r="AA459" s="4" t="str">
        <f>IF(Sheet1[[#This Row],[Net Profit]]&gt;0,"Profit","Loss")</f>
        <v>Profit</v>
      </c>
    </row>
    <row r="460" spans="1:27" x14ac:dyDescent="0.25">
      <c r="A460" t="s">
        <v>711</v>
      </c>
      <c r="B460" s="1">
        <v>40576</v>
      </c>
      <c r="C460" s="1">
        <v>40581</v>
      </c>
      <c r="D460" t="s">
        <v>18</v>
      </c>
      <c r="E460" t="s">
        <v>47</v>
      </c>
      <c r="F460" t="s">
        <v>3</v>
      </c>
      <c r="G460" t="s">
        <v>712</v>
      </c>
      <c r="H460" t="s">
        <v>276</v>
      </c>
      <c r="I460" t="s">
        <v>29</v>
      </c>
      <c r="J460" t="s">
        <v>102</v>
      </c>
      <c r="K460" t="s">
        <v>32</v>
      </c>
      <c r="L460" t="s">
        <v>67</v>
      </c>
      <c r="M460">
        <v>729</v>
      </c>
      <c r="N460">
        <v>2</v>
      </c>
      <c r="O460">
        <v>0</v>
      </c>
      <c r="P460">
        <v>240.72</v>
      </c>
      <c r="Q460">
        <v>56.01</v>
      </c>
      <c r="R460" t="s">
        <v>9</v>
      </c>
      <c r="S460">
        <f>Sheet1[[#This Row],[Ship_date]]-Sheet1[[#This Row],[Order_date]]</f>
        <v>5</v>
      </c>
      <c r="T460">
        <f>Sheet1[[#This Row],[Quantity]]*Sheet1[[#This Row],[Sales]]</f>
        <v>1458</v>
      </c>
      <c r="U460">
        <f>Sheet1[[#This Row],[Total Sales]]*Sheet1[[#This Row],[Discount]]</f>
        <v>0</v>
      </c>
      <c r="V460" s="4">
        <f>Sheet1[[#This Row],[Total Sales]]-Sheet1[[#This Row],[Total Sales]]*Sheet1[[#This Row],[Discount]]</f>
        <v>1458</v>
      </c>
      <c r="W460" s="4">
        <f>Sheet1[[#This Row],[Quantity]]*Sheet1[[#This Row],[Profit]]</f>
        <v>481.44</v>
      </c>
      <c r="X460" s="5">
        <f>Sheet1[[#This Row],[Total Profit]]/Sheet1[[#This Row],[Sales After Discount]]</f>
        <v>0.3302057613168724</v>
      </c>
      <c r="Y460" s="4">
        <f>Sheet1[[#This Row],[Shipping_cost]]*Sheet1[[#This Row],[Quantity]]</f>
        <v>112.02</v>
      </c>
      <c r="Z460" s="4">
        <f>Sheet1[[#This Row],[Total Profit]]-Sheet1[[#This Row],[Total Shipping Cost]]</f>
        <v>369.42</v>
      </c>
      <c r="AA460" s="4" t="str">
        <f>IF(Sheet1[[#This Row],[Net Profit]]&gt;0,"Profit","Loss")</f>
        <v>Profit</v>
      </c>
    </row>
    <row r="461" spans="1:27" x14ac:dyDescent="0.25">
      <c r="A461" t="s">
        <v>713</v>
      </c>
      <c r="B461" s="1">
        <v>40576</v>
      </c>
      <c r="C461" s="1">
        <v>40578</v>
      </c>
      <c r="D461" t="s">
        <v>142</v>
      </c>
      <c r="E461" t="s">
        <v>522</v>
      </c>
      <c r="F461" t="s">
        <v>3</v>
      </c>
      <c r="G461" t="s">
        <v>65</v>
      </c>
      <c r="H461" t="s">
        <v>66</v>
      </c>
      <c r="I461" t="s">
        <v>29</v>
      </c>
      <c r="J461" t="s">
        <v>30</v>
      </c>
      <c r="K461" t="s">
        <v>38</v>
      </c>
      <c r="L461" t="s">
        <v>77</v>
      </c>
      <c r="M461">
        <v>162</v>
      </c>
      <c r="N461">
        <v>2</v>
      </c>
      <c r="O461">
        <v>0.1</v>
      </c>
      <c r="P461">
        <v>43.014000000000003</v>
      </c>
      <c r="Q461">
        <v>49.6</v>
      </c>
      <c r="R461" t="s">
        <v>23</v>
      </c>
      <c r="S461">
        <f>Sheet1[[#This Row],[Ship_date]]-Sheet1[[#This Row],[Order_date]]</f>
        <v>2</v>
      </c>
      <c r="T461">
        <f>Sheet1[[#This Row],[Quantity]]*Sheet1[[#This Row],[Sales]]</f>
        <v>324</v>
      </c>
      <c r="U461">
        <f>Sheet1[[#This Row],[Total Sales]]*Sheet1[[#This Row],[Discount]]</f>
        <v>32.4</v>
      </c>
      <c r="V461" s="4">
        <f>Sheet1[[#This Row],[Total Sales]]-Sheet1[[#This Row],[Total Sales]]*Sheet1[[#This Row],[Discount]]</f>
        <v>291.60000000000002</v>
      </c>
      <c r="W461" s="4">
        <f>Sheet1[[#This Row],[Quantity]]*Sheet1[[#This Row],[Profit]]</f>
        <v>86.028000000000006</v>
      </c>
      <c r="X461" s="5">
        <f>Sheet1[[#This Row],[Total Profit]]/Sheet1[[#This Row],[Sales After Discount]]</f>
        <v>0.29502057613168725</v>
      </c>
      <c r="Y461" s="4">
        <f>Sheet1[[#This Row],[Shipping_cost]]*Sheet1[[#This Row],[Quantity]]</f>
        <v>99.2</v>
      </c>
      <c r="Z461" s="4">
        <f>Sheet1[[#This Row],[Total Profit]]-Sheet1[[#This Row],[Total Shipping Cost]]</f>
        <v>-13.171999999999997</v>
      </c>
      <c r="AA461" s="4" t="str">
        <f>IF(Sheet1[[#This Row],[Net Profit]]&gt;0,"Profit","Loss")</f>
        <v>Loss</v>
      </c>
    </row>
    <row r="462" spans="1:27" x14ac:dyDescent="0.25">
      <c r="A462" t="s">
        <v>714</v>
      </c>
      <c r="B462" s="1">
        <v>40576</v>
      </c>
      <c r="C462" s="1">
        <v>40578</v>
      </c>
      <c r="D462" t="s">
        <v>18</v>
      </c>
      <c r="E462" t="s">
        <v>715</v>
      </c>
      <c r="F462" t="s">
        <v>43</v>
      </c>
      <c r="G462" t="s">
        <v>264</v>
      </c>
      <c r="H462" t="s">
        <v>86</v>
      </c>
      <c r="I462" t="s">
        <v>14</v>
      </c>
      <c r="J462" t="s">
        <v>61</v>
      </c>
      <c r="K462" t="s">
        <v>32</v>
      </c>
      <c r="L462" t="s">
        <v>56</v>
      </c>
      <c r="M462">
        <v>334</v>
      </c>
      <c r="N462">
        <v>1</v>
      </c>
      <c r="O462">
        <v>0.27</v>
      </c>
      <c r="P462">
        <v>-109.9365</v>
      </c>
      <c r="Q462">
        <v>46.3</v>
      </c>
      <c r="R462" t="s">
        <v>9</v>
      </c>
      <c r="S462">
        <f>Sheet1[[#This Row],[Ship_date]]-Sheet1[[#This Row],[Order_date]]</f>
        <v>2</v>
      </c>
      <c r="T462">
        <f>Sheet1[[#This Row],[Quantity]]*Sheet1[[#This Row],[Sales]]</f>
        <v>334</v>
      </c>
      <c r="U462">
        <f>Sheet1[[#This Row],[Total Sales]]*Sheet1[[#This Row],[Discount]]</f>
        <v>90.18</v>
      </c>
      <c r="V462" s="4">
        <f>Sheet1[[#This Row],[Total Sales]]-Sheet1[[#This Row],[Total Sales]]*Sheet1[[#This Row],[Discount]]</f>
        <v>243.82</v>
      </c>
      <c r="W462" s="4">
        <f>Sheet1[[#This Row],[Quantity]]*Sheet1[[#This Row],[Profit]]</f>
        <v>-109.9365</v>
      </c>
      <c r="X462" s="5">
        <f>Sheet1[[#This Row],[Total Profit]]/Sheet1[[#This Row],[Sales After Discount]]</f>
        <v>-0.45089205151341155</v>
      </c>
      <c r="Y462" s="4">
        <f>Sheet1[[#This Row],[Shipping_cost]]*Sheet1[[#This Row],[Quantity]]</f>
        <v>46.3</v>
      </c>
      <c r="Z462" s="4">
        <f>Sheet1[[#This Row],[Total Profit]]-Sheet1[[#This Row],[Total Shipping Cost]]</f>
        <v>-156.23649999999998</v>
      </c>
      <c r="AA462" s="4" t="str">
        <f>IF(Sheet1[[#This Row],[Net Profit]]&gt;0,"Profit","Loss")</f>
        <v>Loss</v>
      </c>
    </row>
    <row r="463" spans="1:27" x14ac:dyDescent="0.25">
      <c r="A463" t="s">
        <v>706</v>
      </c>
      <c r="B463" s="1">
        <v>40576</v>
      </c>
      <c r="C463" s="1">
        <v>40576</v>
      </c>
      <c r="D463" t="s">
        <v>41</v>
      </c>
      <c r="E463" t="s">
        <v>707</v>
      </c>
      <c r="F463" t="s">
        <v>43</v>
      </c>
      <c r="G463" t="s">
        <v>708</v>
      </c>
      <c r="H463" t="s">
        <v>305</v>
      </c>
      <c r="I463" t="s">
        <v>29</v>
      </c>
      <c r="J463" t="s">
        <v>76</v>
      </c>
      <c r="K463" t="s">
        <v>7</v>
      </c>
      <c r="L463" t="s">
        <v>8</v>
      </c>
      <c r="M463">
        <v>248</v>
      </c>
      <c r="N463">
        <v>2</v>
      </c>
      <c r="O463">
        <v>0.1</v>
      </c>
      <c r="P463">
        <v>8.2620000000000005</v>
      </c>
      <c r="Q463">
        <v>35.68</v>
      </c>
      <c r="R463" t="s">
        <v>23</v>
      </c>
      <c r="S463">
        <f>Sheet1[[#This Row],[Ship_date]]-Sheet1[[#This Row],[Order_date]]</f>
        <v>0</v>
      </c>
      <c r="T463">
        <f>Sheet1[[#This Row],[Quantity]]*Sheet1[[#This Row],[Sales]]</f>
        <v>496</v>
      </c>
      <c r="U463">
        <f>Sheet1[[#This Row],[Total Sales]]*Sheet1[[#This Row],[Discount]]</f>
        <v>49.6</v>
      </c>
      <c r="V463" s="4">
        <f>Sheet1[[#This Row],[Total Sales]]-Sheet1[[#This Row],[Total Sales]]*Sheet1[[#This Row],[Discount]]</f>
        <v>446.4</v>
      </c>
      <c r="W463" s="4">
        <f>Sheet1[[#This Row],[Quantity]]*Sheet1[[#This Row],[Profit]]</f>
        <v>16.524000000000001</v>
      </c>
      <c r="X463" s="5">
        <f>Sheet1[[#This Row],[Total Profit]]/Sheet1[[#This Row],[Sales After Discount]]</f>
        <v>3.7016129032258066E-2</v>
      </c>
      <c r="Y463" s="4">
        <f>Sheet1[[#This Row],[Shipping_cost]]*Sheet1[[#This Row],[Quantity]]</f>
        <v>71.36</v>
      </c>
      <c r="Z463" s="4">
        <f>Sheet1[[#This Row],[Total Profit]]-Sheet1[[#This Row],[Total Shipping Cost]]</f>
        <v>-54.835999999999999</v>
      </c>
      <c r="AA463" s="4" t="str">
        <f>IF(Sheet1[[#This Row],[Net Profit]]&gt;0,"Profit","Loss")</f>
        <v>Loss</v>
      </c>
    </row>
    <row r="464" spans="1:27" x14ac:dyDescent="0.25">
      <c r="A464" t="s">
        <v>696</v>
      </c>
      <c r="B464" s="1">
        <v>40576</v>
      </c>
      <c r="C464" s="1">
        <v>40579</v>
      </c>
      <c r="D464" t="s">
        <v>142</v>
      </c>
      <c r="E464" t="s">
        <v>697</v>
      </c>
      <c r="F464" t="s">
        <v>43</v>
      </c>
      <c r="G464" t="s">
        <v>698</v>
      </c>
      <c r="H464" t="s">
        <v>169</v>
      </c>
      <c r="I464" t="s">
        <v>14</v>
      </c>
      <c r="J464" t="s">
        <v>132</v>
      </c>
      <c r="K464" t="s">
        <v>38</v>
      </c>
      <c r="L464" t="s">
        <v>39</v>
      </c>
      <c r="M464">
        <v>468</v>
      </c>
      <c r="N464">
        <v>4</v>
      </c>
      <c r="O464">
        <v>0</v>
      </c>
      <c r="P464">
        <v>112.32</v>
      </c>
      <c r="Q464">
        <v>26.59</v>
      </c>
      <c r="R464" t="s">
        <v>9</v>
      </c>
      <c r="S464">
        <f>Sheet1[[#This Row],[Ship_date]]-Sheet1[[#This Row],[Order_date]]</f>
        <v>3</v>
      </c>
      <c r="T464">
        <f>Sheet1[[#This Row],[Quantity]]*Sheet1[[#This Row],[Sales]]</f>
        <v>1872</v>
      </c>
      <c r="U464">
        <f>Sheet1[[#This Row],[Total Sales]]*Sheet1[[#This Row],[Discount]]</f>
        <v>0</v>
      </c>
      <c r="V464" s="4">
        <f>Sheet1[[#This Row],[Total Sales]]-Sheet1[[#This Row],[Total Sales]]*Sheet1[[#This Row],[Discount]]</f>
        <v>1872</v>
      </c>
      <c r="W464" s="4">
        <f>Sheet1[[#This Row],[Quantity]]*Sheet1[[#This Row],[Profit]]</f>
        <v>449.28</v>
      </c>
      <c r="X464" s="5">
        <f>Sheet1[[#This Row],[Total Profit]]/Sheet1[[#This Row],[Sales After Discount]]</f>
        <v>0.24</v>
      </c>
      <c r="Y464" s="4">
        <f>Sheet1[[#This Row],[Shipping_cost]]*Sheet1[[#This Row],[Quantity]]</f>
        <v>106.36</v>
      </c>
      <c r="Z464" s="4">
        <f>Sheet1[[#This Row],[Total Profit]]-Sheet1[[#This Row],[Total Shipping Cost]]</f>
        <v>342.91999999999996</v>
      </c>
      <c r="AA464" s="4" t="str">
        <f>IF(Sheet1[[#This Row],[Net Profit]]&gt;0,"Profit","Loss")</f>
        <v>Profit</v>
      </c>
    </row>
    <row r="465" spans="1:27" x14ac:dyDescent="0.25">
      <c r="A465" t="s">
        <v>711</v>
      </c>
      <c r="B465" s="1">
        <v>40576</v>
      </c>
      <c r="C465" s="1">
        <v>40581</v>
      </c>
      <c r="D465" t="s">
        <v>18</v>
      </c>
      <c r="E465" t="s">
        <v>47</v>
      </c>
      <c r="F465" t="s">
        <v>3</v>
      </c>
      <c r="G465" t="s">
        <v>712</v>
      </c>
      <c r="H465" t="s">
        <v>276</v>
      </c>
      <c r="I465" t="s">
        <v>29</v>
      </c>
      <c r="J465" t="s">
        <v>102</v>
      </c>
      <c r="K465" t="s">
        <v>32</v>
      </c>
      <c r="L465" t="s">
        <v>56</v>
      </c>
      <c r="M465">
        <v>266</v>
      </c>
      <c r="N465">
        <v>4</v>
      </c>
      <c r="O465">
        <v>0.2</v>
      </c>
      <c r="P465">
        <v>23.256</v>
      </c>
      <c r="Q465">
        <v>23.69</v>
      </c>
      <c r="R465" t="s">
        <v>9</v>
      </c>
      <c r="S465">
        <f>Sheet1[[#This Row],[Ship_date]]-Sheet1[[#This Row],[Order_date]]</f>
        <v>5</v>
      </c>
      <c r="T465">
        <f>Sheet1[[#This Row],[Quantity]]*Sheet1[[#This Row],[Sales]]</f>
        <v>1064</v>
      </c>
      <c r="U465">
        <f>Sheet1[[#This Row],[Total Sales]]*Sheet1[[#This Row],[Discount]]</f>
        <v>212.8</v>
      </c>
      <c r="V465" s="4">
        <f>Sheet1[[#This Row],[Total Sales]]-Sheet1[[#This Row],[Total Sales]]*Sheet1[[#This Row],[Discount]]</f>
        <v>851.2</v>
      </c>
      <c r="W465" s="4">
        <f>Sheet1[[#This Row],[Quantity]]*Sheet1[[#This Row],[Profit]]</f>
        <v>93.024000000000001</v>
      </c>
      <c r="X465" s="5">
        <f>Sheet1[[#This Row],[Total Profit]]/Sheet1[[#This Row],[Sales After Discount]]</f>
        <v>0.10928571428571428</v>
      </c>
      <c r="Y465" s="4">
        <f>Sheet1[[#This Row],[Shipping_cost]]*Sheet1[[#This Row],[Quantity]]</f>
        <v>94.76</v>
      </c>
      <c r="Z465" s="4">
        <f>Sheet1[[#This Row],[Total Profit]]-Sheet1[[#This Row],[Total Shipping Cost]]</f>
        <v>-1.7360000000000042</v>
      </c>
      <c r="AA465" s="4" t="str">
        <f>IF(Sheet1[[#This Row],[Net Profit]]&gt;0,"Profit","Loss")</f>
        <v>Loss</v>
      </c>
    </row>
    <row r="466" spans="1:27" x14ac:dyDescent="0.25">
      <c r="A466" t="s">
        <v>699</v>
      </c>
      <c r="B466" s="1">
        <v>40576</v>
      </c>
      <c r="C466" s="1">
        <v>40579</v>
      </c>
      <c r="D466" t="s">
        <v>142</v>
      </c>
      <c r="E466" t="s">
        <v>700</v>
      </c>
      <c r="F466" t="s">
        <v>43</v>
      </c>
      <c r="G466" t="s">
        <v>701</v>
      </c>
      <c r="H466" t="s">
        <v>305</v>
      </c>
      <c r="I466" t="s">
        <v>29</v>
      </c>
      <c r="J466" t="s">
        <v>76</v>
      </c>
      <c r="K466" t="s">
        <v>38</v>
      </c>
      <c r="L466" t="s">
        <v>50</v>
      </c>
      <c r="M466">
        <v>86</v>
      </c>
      <c r="N466">
        <v>1</v>
      </c>
      <c r="O466">
        <v>0.5</v>
      </c>
      <c r="P466">
        <v>-1.4999999999999999E-2</v>
      </c>
      <c r="Q466">
        <v>16.559999999999999</v>
      </c>
      <c r="R466" t="s">
        <v>23</v>
      </c>
      <c r="S466">
        <f>Sheet1[[#This Row],[Ship_date]]-Sheet1[[#This Row],[Order_date]]</f>
        <v>3</v>
      </c>
      <c r="T466">
        <f>Sheet1[[#This Row],[Quantity]]*Sheet1[[#This Row],[Sales]]</f>
        <v>86</v>
      </c>
      <c r="U466">
        <f>Sheet1[[#This Row],[Total Sales]]*Sheet1[[#This Row],[Discount]]</f>
        <v>43</v>
      </c>
      <c r="V466" s="4">
        <f>Sheet1[[#This Row],[Total Sales]]-Sheet1[[#This Row],[Total Sales]]*Sheet1[[#This Row],[Discount]]</f>
        <v>43</v>
      </c>
      <c r="W466" s="4">
        <f>Sheet1[[#This Row],[Quantity]]*Sheet1[[#This Row],[Profit]]</f>
        <v>-1.4999999999999999E-2</v>
      </c>
      <c r="X466" s="5">
        <f>Sheet1[[#This Row],[Total Profit]]/Sheet1[[#This Row],[Sales After Discount]]</f>
        <v>-3.4883720930232559E-4</v>
      </c>
      <c r="Y466" s="4">
        <f>Sheet1[[#This Row],[Shipping_cost]]*Sheet1[[#This Row],[Quantity]]</f>
        <v>16.559999999999999</v>
      </c>
      <c r="Z466" s="4">
        <f>Sheet1[[#This Row],[Total Profit]]-Sheet1[[#This Row],[Total Shipping Cost]]</f>
        <v>-16.574999999999999</v>
      </c>
      <c r="AA466" s="4" t="str">
        <f>IF(Sheet1[[#This Row],[Net Profit]]&gt;0,"Profit","Loss")</f>
        <v>Loss</v>
      </c>
    </row>
    <row r="467" spans="1:27" x14ac:dyDescent="0.25">
      <c r="A467" t="s">
        <v>714</v>
      </c>
      <c r="B467" s="1">
        <v>40576</v>
      </c>
      <c r="C467" s="1">
        <v>40578</v>
      </c>
      <c r="D467" t="s">
        <v>18</v>
      </c>
      <c r="E467" t="s">
        <v>715</v>
      </c>
      <c r="F467" t="s">
        <v>43</v>
      </c>
      <c r="G467" t="s">
        <v>264</v>
      </c>
      <c r="H467" t="s">
        <v>86</v>
      </c>
      <c r="I467" t="s">
        <v>14</v>
      </c>
      <c r="J467" t="s">
        <v>61</v>
      </c>
      <c r="K467" t="s">
        <v>7</v>
      </c>
      <c r="L467" t="s">
        <v>91</v>
      </c>
      <c r="M467">
        <v>105</v>
      </c>
      <c r="N467">
        <v>4</v>
      </c>
      <c r="O467">
        <v>0.47</v>
      </c>
      <c r="P467">
        <v>-47.523600000000002</v>
      </c>
      <c r="Q467">
        <v>13.49</v>
      </c>
      <c r="R467" t="s">
        <v>9</v>
      </c>
      <c r="S467">
        <f>Sheet1[[#This Row],[Ship_date]]-Sheet1[[#This Row],[Order_date]]</f>
        <v>2</v>
      </c>
      <c r="T467">
        <f>Sheet1[[#This Row],[Quantity]]*Sheet1[[#This Row],[Sales]]</f>
        <v>420</v>
      </c>
      <c r="U467">
        <f>Sheet1[[#This Row],[Total Sales]]*Sheet1[[#This Row],[Discount]]</f>
        <v>197.39999999999998</v>
      </c>
      <c r="V467" s="4">
        <f>Sheet1[[#This Row],[Total Sales]]-Sheet1[[#This Row],[Total Sales]]*Sheet1[[#This Row],[Discount]]</f>
        <v>222.60000000000002</v>
      </c>
      <c r="W467" s="4">
        <f>Sheet1[[#This Row],[Quantity]]*Sheet1[[#This Row],[Profit]]</f>
        <v>-190.09440000000001</v>
      </c>
      <c r="X467" s="5">
        <f>Sheet1[[#This Row],[Total Profit]]/Sheet1[[#This Row],[Sales After Discount]]</f>
        <v>-0.85397304582210232</v>
      </c>
      <c r="Y467" s="4">
        <f>Sheet1[[#This Row],[Shipping_cost]]*Sheet1[[#This Row],[Quantity]]</f>
        <v>53.96</v>
      </c>
      <c r="Z467" s="4">
        <f>Sheet1[[#This Row],[Total Profit]]-Sheet1[[#This Row],[Total Shipping Cost]]</f>
        <v>-244.05440000000002</v>
      </c>
      <c r="AA467" s="4" t="str">
        <f>IF(Sheet1[[#This Row],[Net Profit]]&gt;0,"Profit","Loss")</f>
        <v>Loss</v>
      </c>
    </row>
    <row r="468" spans="1:27" x14ac:dyDescent="0.25">
      <c r="A468" t="s">
        <v>702</v>
      </c>
      <c r="B468" s="1">
        <v>40576</v>
      </c>
      <c r="C468" s="1">
        <v>40580</v>
      </c>
      <c r="D468" t="s">
        <v>1</v>
      </c>
      <c r="E468" t="s">
        <v>703</v>
      </c>
      <c r="F468" t="s">
        <v>3</v>
      </c>
      <c r="G468" t="s">
        <v>495</v>
      </c>
      <c r="H468" t="s">
        <v>115</v>
      </c>
      <c r="I468" t="s">
        <v>29</v>
      </c>
      <c r="J468" t="s">
        <v>76</v>
      </c>
      <c r="K468" t="s">
        <v>38</v>
      </c>
      <c r="L468" t="s">
        <v>39</v>
      </c>
      <c r="M468">
        <v>89</v>
      </c>
      <c r="N468">
        <v>3</v>
      </c>
      <c r="O468">
        <v>0.65</v>
      </c>
      <c r="P468">
        <v>-76.14</v>
      </c>
      <c r="Q468">
        <v>12.91</v>
      </c>
      <c r="R468" t="s">
        <v>23</v>
      </c>
      <c r="S468">
        <f>Sheet1[[#This Row],[Ship_date]]-Sheet1[[#This Row],[Order_date]]</f>
        <v>4</v>
      </c>
      <c r="T468">
        <f>Sheet1[[#This Row],[Quantity]]*Sheet1[[#This Row],[Sales]]</f>
        <v>267</v>
      </c>
      <c r="U468">
        <f>Sheet1[[#This Row],[Total Sales]]*Sheet1[[#This Row],[Discount]]</f>
        <v>173.55</v>
      </c>
      <c r="V468" s="4">
        <f>Sheet1[[#This Row],[Total Sales]]-Sheet1[[#This Row],[Total Sales]]*Sheet1[[#This Row],[Discount]]</f>
        <v>93.449999999999989</v>
      </c>
      <c r="W468" s="4">
        <f>Sheet1[[#This Row],[Quantity]]*Sheet1[[#This Row],[Profit]]</f>
        <v>-228.42000000000002</v>
      </c>
      <c r="X468" s="5">
        <f>Sheet1[[#This Row],[Total Profit]]/Sheet1[[#This Row],[Sales After Discount]]</f>
        <v>-2.4443017656500805</v>
      </c>
      <c r="Y468" s="4">
        <f>Sheet1[[#This Row],[Shipping_cost]]*Sheet1[[#This Row],[Quantity]]</f>
        <v>38.730000000000004</v>
      </c>
      <c r="Z468" s="4">
        <f>Sheet1[[#This Row],[Total Profit]]-Sheet1[[#This Row],[Total Shipping Cost]]</f>
        <v>-267.15000000000003</v>
      </c>
      <c r="AA468" s="4" t="str">
        <f>IF(Sheet1[[#This Row],[Net Profit]]&gt;0,"Profit","Loss")</f>
        <v>Loss</v>
      </c>
    </row>
    <row r="469" spans="1:27" x14ac:dyDescent="0.25">
      <c r="A469" t="s">
        <v>702</v>
      </c>
      <c r="B469" s="1">
        <v>40576</v>
      </c>
      <c r="C469" s="1">
        <v>40580</v>
      </c>
      <c r="D469" t="s">
        <v>1</v>
      </c>
      <c r="E469" t="s">
        <v>703</v>
      </c>
      <c r="F469" t="s">
        <v>3</v>
      </c>
      <c r="G469" t="s">
        <v>495</v>
      </c>
      <c r="H469" t="s">
        <v>115</v>
      </c>
      <c r="I469" t="s">
        <v>29</v>
      </c>
      <c r="J469" t="s">
        <v>76</v>
      </c>
      <c r="K469" t="s">
        <v>7</v>
      </c>
      <c r="L469" t="s">
        <v>31</v>
      </c>
      <c r="M469">
        <v>46</v>
      </c>
      <c r="N469">
        <v>5</v>
      </c>
      <c r="O469">
        <v>0.5</v>
      </c>
      <c r="P469">
        <v>-41.475000000000001</v>
      </c>
      <c r="Q469">
        <v>6.72</v>
      </c>
      <c r="R469" t="s">
        <v>23</v>
      </c>
      <c r="S469">
        <f>Sheet1[[#This Row],[Ship_date]]-Sheet1[[#This Row],[Order_date]]</f>
        <v>4</v>
      </c>
      <c r="T469">
        <f>Sheet1[[#This Row],[Quantity]]*Sheet1[[#This Row],[Sales]]</f>
        <v>230</v>
      </c>
      <c r="U469">
        <f>Sheet1[[#This Row],[Total Sales]]*Sheet1[[#This Row],[Discount]]</f>
        <v>115</v>
      </c>
      <c r="V469" s="4">
        <f>Sheet1[[#This Row],[Total Sales]]-Sheet1[[#This Row],[Total Sales]]*Sheet1[[#This Row],[Discount]]</f>
        <v>115</v>
      </c>
      <c r="W469" s="4">
        <f>Sheet1[[#This Row],[Quantity]]*Sheet1[[#This Row],[Profit]]</f>
        <v>-207.375</v>
      </c>
      <c r="X469" s="5">
        <f>Sheet1[[#This Row],[Total Profit]]/Sheet1[[#This Row],[Sales After Discount]]</f>
        <v>-1.8032608695652175</v>
      </c>
      <c r="Y469" s="4">
        <f>Sheet1[[#This Row],[Shipping_cost]]*Sheet1[[#This Row],[Quantity]]</f>
        <v>33.6</v>
      </c>
      <c r="Z469" s="4">
        <f>Sheet1[[#This Row],[Total Profit]]-Sheet1[[#This Row],[Total Shipping Cost]]</f>
        <v>-240.97499999999999</v>
      </c>
      <c r="AA469" s="4" t="str">
        <f>IF(Sheet1[[#This Row],[Net Profit]]&gt;0,"Profit","Loss")</f>
        <v>Loss</v>
      </c>
    </row>
    <row r="470" spans="1:27" x14ac:dyDescent="0.25">
      <c r="A470" t="s">
        <v>702</v>
      </c>
      <c r="B470" s="1">
        <v>40576</v>
      </c>
      <c r="C470" s="1">
        <v>40580</v>
      </c>
      <c r="D470" t="s">
        <v>1</v>
      </c>
      <c r="E470" t="s">
        <v>703</v>
      </c>
      <c r="F470" t="s">
        <v>3</v>
      </c>
      <c r="G470" t="s">
        <v>495</v>
      </c>
      <c r="H470" t="s">
        <v>115</v>
      </c>
      <c r="I470" t="s">
        <v>29</v>
      </c>
      <c r="J470" t="s">
        <v>76</v>
      </c>
      <c r="K470" t="s">
        <v>38</v>
      </c>
      <c r="L470" t="s">
        <v>82</v>
      </c>
      <c r="M470">
        <v>44</v>
      </c>
      <c r="N470">
        <v>2</v>
      </c>
      <c r="O470">
        <v>0.5</v>
      </c>
      <c r="P470">
        <v>-7.95</v>
      </c>
      <c r="Q470">
        <v>6.24</v>
      </c>
      <c r="R470" t="s">
        <v>23</v>
      </c>
      <c r="S470">
        <f>Sheet1[[#This Row],[Ship_date]]-Sheet1[[#This Row],[Order_date]]</f>
        <v>4</v>
      </c>
      <c r="T470">
        <f>Sheet1[[#This Row],[Quantity]]*Sheet1[[#This Row],[Sales]]</f>
        <v>88</v>
      </c>
      <c r="U470">
        <f>Sheet1[[#This Row],[Total Sales]]*Sheet1[[#This Row],[Discount]]</f>
        <v>44</v>
      </c>
      <c r="V470" s="4">
        <f>Sheet1[[#This Row],[Total Sales]]-Sheet1[[#This Row],[Total Sales]]*Sheet1[[#This Row],[Discount]]</f>
        <v>44</v>
      </c>
      <c r="W470" s="4">
        <f>Sheet1[[#This Row],[Quantity]]*Sheet1[[#This Row],[Profit]]</f>
        <v>-15.9</v>
      </c>
      <c r="X470" s="5">
        <f>Sheet1[[#This Row],[Total Profit]]/Sheet1[[#This Row],[Sales After Discount]]</f>
        <v>-0.36136363636363639</v>
      </c>
      <c r="Y470" s="4">
        <f>Sheet1[[#This Row],[Shipping_cost]]*Sheet1[[#This Row],[Quantity]]</f>
        <v>12.48</v>
      </c>
      <c r="Z470" s="4">
        <f>Sheet1[[#This Row],[Total Profit]]-Sheet1[[#This Row],[Total Shipping Cost]]</f>
        <v>-28.380000000000003</v>
      </c>
      <c r="AA470" s="4" t="str">
        <f>IF(Sheet1[[#This Row],[Net Profit]]&gt;0,"Profit","Loss")</f>
        <v>Loss</v>
      </c>
    </row>
    <row r="471" spans="1:27" x14ac:dyDescent="0.25">
      <c r="A471" t="s">
        <v>716</v>
      </c>
      <c r="B471" s="1">
        <v>40576</v>
      </c>
      <c r="C471" s="1">
        <v>40578</v>
      </c>
      <c r="D471" t="s">
        <v>142</v>
      </c>
      <c r="E471" t="s">
        <v>717</v>
      </c>
      <c r="F471" t="s">
        <v>43</v>
      </c>
      <c r="G471" t="s">
        <v>400</v>
      </c>
      <c r="H471" t="s">
        <v>276</v>
      </c>
      <c r="I471" t="s">
        <v>29</v>
      </c>
      <c r="J471" t="s">
        <v>102</v>
      </c>
      <c r="K471" t="s">
        <v>7</v>
      </c>
      <c r="L471" t="s">
        <v>91</v>
      </c>
      <c r="M471">
        <v>44</v>
      </c>
      <c r="N471">
        <v>2</v>
      </c>
      <c r="O471">
        <v>0</v>
      </c>
      <c r="P471">
        <v>7.92</v>
      </c>
      <c r="Q471">
        <v>6.18</v>
      </c>
      <c r="R471" t="s">
        <v>23</v>
      </c>
      <c r="S471">
        <f>Sheet1[[#This Row],[Ship_date]]-Sheet1[[#This Row],[Order_date]]</f>
        <v>2</v>
      </c>
      <c r="T471">
        <f>Sheet1[[#This Row],[Quantity]]*Sheet1[[#This Row],[Sales]]</f>
        <v>88</v>
      </c>
      <c r="U471">
        <f>Sheet1[[#This Row],[Total Sales]]*Sheet1[[#This Row],[Discount]]</f>
        <v>0</v>
      </c>
      <c r="V471" s="4">
        <f>Sheet1[[#This Row],[Total Sales]]-Sheet1[[#This Row],[Total Sales]]*Sheet1[[#This Row],[Discount]]</f>
        <v>88</v>
      </c>
      <c r="W471" s="4">
        <f>Sheet1[[#This Row],[Quantity]]*Sheet1[[#This Row],[Profit]]</f>
        <v>15.84</v>
      </c>
      <c r="X471" s="5">
        <f>Sheet1[[#This Row],[Total Profit]]/Sheet1[[#This Row],[Sales After Discount]]</f>
        <v>0.18</v>
      </c>
      <c r="Y471" s="4">
        <f>Sheet1[[#This Row],[Shipping_cost]]*Sheet1[[#This Row],[Quantity]]</f>
        <v>12.36</v>
      </c>
      <c r="Z471" s="4">
        <f>Sheet1[[#This Row],[Total Profit]]-Sheet1[[#This Row],[Total Shipping Cost]]</f>
        <v>3.4800000000000004</v>
      </c>
      <c r="AA471" s="4" t="str">
        <f>IF(Sheet1[[#This Row],[Net Profit]]&gt;0,"Profit","Loss")</f>
        <v>Profit</v>
      </c>
    </row>
    <row r="472" spans="1:27" x14ac:dyDescent="0.25">
      <c r="A472" t="s">
        <v>711</v>
      </c>
      <c r="B472" s="1">
        <v>40576</v>
      </c>
      <c r="C472" s="1">
        <v>40581</v>
      </c>
      <c r="D472" t="s">
        <v>18</v>
      </c>
      <c r="E472" t="s">
        <v>47</v>
      </c>
      <c r="F472" t="s">
        <v>3</v>
      </c>
      <c r="G472" t="s">
        <v>712</v>
      </c>
      <c r="H472" t="s">
        <v>276</v>
      </c>
      <c r="I472" t="s">
        <v>29</v>
      </c>
      <c r="J472" t="s">
        <v>102</v>
      </c>
      <c r="K472" t="s">
        <v>7</v>
      </c>
      <c r="L472" t="s">
        <v>91</v>
      </c>
      <c r="M472">
        <v>57</v>
      </c>
      <c r="N472">
        <v>1</v>
      </c>
      <c r="O472">
        <v>0</v>
      </c>
      <c r="P472">
        <v>0.54</v>
      </c>
      <c r="Q472">
        <v>5.96</v>
      </c>
      <c r="R472" t="s">
        <v>9</v>
      </c>
      <c r="S472">
        <f>Sheet1[[#This Row],[Ship_date]]-Sheet1[[#This Row],[Order_date]]</f>
        <v>5</v>
      </c>
      <c r="T472">
        <f>Sheet1[[#This Row],[Quantity]]*Sheet1[[#This Row],[Sales]]</f>
        <v>57</v>
      </c>
      <c r="U472">
        <f>Sheet1[[#This Row],[Total Sales]]*Sheet1[[#This Row],[Discount]]</f>
        <v>0</v>
      </c>
      <c r="V472" s="4">
        <f>Sheet1[[#This Row],[Total Sales]]-Sheet1[[#This Row],[Total Sales]]*Sheet1[[#This Row],[Discount]]</f>
        <v>57</v>
      </c>
      <c r="W472" s="4">
        <f>Sheet1[[#This Row],[Quantity]]*Sheet1[[#This Row],[Profit]]</f>
        <v>0.54</v>
      </c>
      <c r="X472" s="5">
        <f>Sheet1[[#This Row],[Total Profit]]/Sheet1[[#This Row],[Sales After Discount]]</f>
        <v>9.4736842105263164E-3</v>
      </c>
      <c r="Y472" s="4">
        <f>Sheet1[[#This Row],[Shipping_cost]]*Sheet1[[#This Row],[Quantity]]</f>
        <v>5.96</v>
      </c>
      <c r="Z472" s="4">
        <f>Sheet1[[#This Row],[Total Profit]]-Sheet1[[#This Row],[Total Shipping Cost]]</f>
        <v>-5.42</v>
      </c>
      <c r="AA472" s="4" t="str">
        <f>IF(Sheet1[[#This Row],[Net Profit]]&gt;0,"Profit","Loss")</f>
        <v>Loss</v>
      </c>
    </row>
    <row r="473" spans="1:27" x14ac:dyDescent="0.25">
      <c r="A473" t="s">
        <v>711</v>
      </c>
      <c r="B473" s="1">
        <v>40576</v>
      </c>
      <c r="C473" s="1">
        <v>40581</v>
      </c>
      <c r="D473" t="s">
        <v>18</v>
      </c>
      <c r="E473" t="s">
        <v>47</v>
      </c>
      <c r="F473" t="s">
        <v>3</v>
      </c>
      <c r="G473" t="s">
        <v>712</v>
      </c>
      <c r="H473" t="s">
        <v>276</v>
      </c>
      <c r="I473" t="s">
        <v>29</v>
      </c>
      <c r="J473" t="s">
        <v>102</v>
      </c>
      <c r="K473" t="s">
        <v>7</v>
      </c>
      <c r="L473" t="s">
        <v>91</v>
      </c>
      <c r="M473">
        <v>116</v>
      </c>
      <c r="N473">
        <v>4</v>
      </c>
      <c r="O473">
        <v>0</v>
      </c>
      <c r="P473">
        <v>12.72</v>
      </c>
      <c r="Q473">
        <v>4.7</v>
      </c>
      <c r="R473" t="s">
        <v>9</v>
      </c>
      <c r="S473">
        <f>Sheet1[[#This Row],[Ship_date]]-Sheet1[[#This Row],[Order_date]]</f>
        <v>5</v>
      </c>
      <c r="T473">
        <f>Sheet1[[#This Row],[Quantity]]*Sheet1[[#This Row],[Sales]]</f>
        <v>464</v>
      </c>
      <c r="U473">
        <f>Sheet1[[#This Row],[Total Sales]]*Sheet1[[#This Row],[Discount]]</f>
        <v>0</v>
      </c>
      <c r="V473" s="4">
        <f>Sheet1[[#This Row],[Total Sales]]-Sheet1[[#This Row],[Total Sales]]*Sheet1[[#This Row],[Discount]]</f>
        <v>464</v>
      </c>
      <c r="W473" s="4">
        <f>Sheet1[[#This Row],[Quantity]]*Sheet1[[#This Row],[Profit]]</f>
        <v>50.88</v>
      </c>
      <c r="X473" s="5">
        <f>Sheet1[[#This Row],[Total Profit]]/Sheet1[[#This Row],[Sales After Discount]]</f>
        <v>0.10965517241379311</v>
      </c>
      <c r="Y473" s="4">
        <f>Sheet1[[#This Row],[Shipping_cost]]*Sheet1[[#This Row],[Quantity]]</f>
        <v>18.8</v>
      </c>
      <c r="Z473" s="4">
        <f>Sheet1[[#This Row],[Total Profit]]-Sheet1[[#This Row],[Total Shipping Cost]]</f>
        <v>32.08</v>
      </c>
      <c r="AA473" s="4" t="str">
        <f>IF(Sheet1[[#This Row],[Net Profit]]&gt;0,"Profit","Loss")</f>
        <v>Profit</v>
      </c>
    </row>
    <row r="474" spans="1:27" x14ac:dyDescent="0.25">
      <c r="A474" t="s">
        <v>704</v>
      </c>
      <c r="B474" s="1">
        <v>40576</v>
      </c>
      <c r="C474" s="1">
        <v>40580</v>
      </c>
      <c r="D474" t="s">
        <v>18</v>
      </c>
      <c r="E474" t="s">
        <v>225</v>
      </c>
      <c r="F474" t="s">
        <v>43</v>
      </c>
      <c r="G474" t="s">
        <v>705</v>
      </c>
      <c r="H474" t="s">
        <v>276</v>
      </c>
      <c r="I474" t="s">
        <v>29</v>
      </c>
      <c r="J474" t="s">
        <v>102</v>
      </c>
      <c r="K474" t="s">
        <v>7</v>
      </c>
      <c r="L474" t="s">
        <v>16</v>
      </c>
      <c r="M474">
        <v>38</v>
      </c>
      <c r="N474">
        <v>1</v>
      </c>
      <c r="O474">
        <v>0</v>
      </c>
      <c r="P474">
        <v>18.12</v>
      </c>
      <c r="Q474">
        <v>4.16</v>
      </c>
      <c r="R474" t="s">
        <v>23</v>
      </c>
      <c r="S474">
        <f>Sheet1[[#This Row],[Ship_date]]-Sheet1[[#This Row],[Order_date]]</f>
        <v>4</v>
      </c>
      <c r="T474">
        <f>Sheet1[[#This Row],[Quantity]]*Sheet1[[#This Row],[Sales]]</f>
        <v>38</v>
      </c>
      <c r="U474">
        <f>Sheet1[[#This Row],[Total Sales]]*Sheet1[[#This Row],[Discount]]</f>
        <v>0</v>
      </c>
      <c r="V474" s="4">
        <f>Sheet1[[#This Row],[Total Sales]]-Sheet1[[#This Row],[Total Sales]]*Sheet1[[#This Row],[Discount]]</f>
        <v>38</v>
      </c>
      <c r="W474" s="4">
        <f>Sheet1[[#This Row],[Quantity]]*Sheet1[[#This Row],[Profit]]</f>
        <v>18.12</v>
      </c>
      <c r="X474" s="5">
        <f>Sheet1[[#This Row],[Total Profit]]/Sheet1[[#This Row],[Sales After Discount]]</f>
        <v>0.4768421052631579</v>
      </c>
      <c r="Y474" s="4">
        <f>Sheet1[[#This Row],[Shipping_cost]]*Sheet1[[#This Row],[Quantity]]</f>
        <v>4.16</v>
      </c>
      <c r="Z474" s="4">
        <f>Sheet1[[#This Row],[Total Profit]]-Sheet1[[#This Row],[Total Shipping Cost]]</f>
        <v>13.96</v>
      </c>
      <c r="AA474" s="4" t="str">
        <f>IF(Sheet1[[#This Row],[Net Profit]]&gt;0,"Profit","Loss")</f>
        <v>Profit</v>
      </c>
    </row>
    <row r="475" spans="1:27" x14ac:dyDescent="0.25">
      <c r="A475" t="s">
        <v>696</v>
      </c>
      <c r="B475" s="1">
        <v>40576</v>
      </c>
      <c r="C475" s="1">
        <v>40579</v>
      </c>
      <c r="D475" t="s">
        <v>142</v>
      </c>
      <c r="E475" t="s">
        <v>697</v>
      </c>
      <c r="F475" t="s">
        <v>43</v>
      </c>
      <c r="G475" t="s">
        <v>698</v>
      </c>
      <c r="H475" t="s">
        <v>169</v>
      </c>
      <c r="I475" t="s">
        <v>14</v>
      </c>
      <c r="J475" t="s">
        <v>132</v>
      </c>
      <c r="K475" t="s">
        <v>7</v>
      </c>
      <c r="L475" t="s">
        <v>91</v>
      </c>
      <c r="M475">
        <v>95</v>
      </c>
      <c r="N475">
        <v>5</v>
      </c>
      <c r="O475">
        <v>0</v>
      </c>
      <c r="P475">
        <v>42.45</v>
      </c>
      <c r="Q475">
        <v>4.1399999999999997</v>
      </c>
      <c r="R475" t="s">
        <v>9</v>
      </c>
      <c r="S475">
        <f>Sheet1[[#This Row],[Ship_date]]-Sheet1[[#This Row],[Order_date]]</f>
        <v>3</v>
      </c>
      <c r="T475">
        <f>Sheet1[[#This Row],[Quantity]]*Sheet1[[#This Row],[Sales]]</f>
        <v>475</v>
      </c>
      <c r="U475">
        <f>Sheet1[[#This Row],[Total Sales]]*Sheet1[[#This Row],[Discount]]</f>
        <v>0</v>
      </c>
      <c r="V475" s="4">
        <f>Sheet1[[#This Row],[Total Sales]]-Sheet1[[#This Row],[Total Sales]]*Sheet1[[#This Row],[Discount]]</f>
        <v>475</v>
      </c>
      <c r="W475" s="4">
        <f>Sheet1[[#This Row],[Quantity]]*Sheet1[[#This Row],[Profit]]</f>
        <v>212.25</v>
      </c>
      <c r="X475" s="5">
        <f>Sheet1[[#This Row],[Total Profit]]/Sheet1[[#This Row],[Sales After Discount]]</f>
        <v>0.44684210526315787</v>
      </c>
      <c r="Y475" s="4">
        <f>Sheet1[[#This Row],[Shipping_cost]]*Sheet1[[#This Row],[Quantity]]</f>
        <v>20.7</v>
      </c>
      <c r="Z475" s="4">
        <f>Sheet1[[#This Row],[Total Profit]]-Sheet1[[#This Row],[Total Shipping Cost]]</f>
        <v>191.55</v>
      </c>
      <c r="AA475" s="4" t="str">
        <f>IF(Sheet1[[#This Row],[Net Profit]]&gt;0,"Profit","Loss")</f>
        <v>Profit</v>
      </c>
    </row>
    <row r="476" spans="1:27" x14ac:dyDescent="0.25">
      <c r="A476" t="s">
        <v>699</v>
      </c>
      <c r="B476" s="1">
        <v>40576</v>
      </c>
      <c r="C476" s="1">
        <v>40579</v>
      </c>
      <c r="D476" t="s">
        <v>142</v>
      </c>
      <c r="E476" t="s">
        <v>700</v>
      </c>
      <c r="F476" t="s">
        <v>43</v>
      </c>
      <c r="G476" t="s">
        <v>701</v>
      </c>
      <c r="H476" t="s">
        <v>305</v>
      </c>
      <c r="I476" t="s">
        <v>29</v>
      </c>
      <c r="J476" t="s">
        <v>76</v>
      </c>
      <c r="K476" t="s">
        <v>7</v>
      </c>
      <c r="L476" t="s">
        <v>31</v>
      </c>
      <c r="M476">
        <v>13</v>
      </c>
      <c r="N476">
        <v>1</v>
      </c>
      <c r="O476">
        <v>0.5</v>
      </c>
      <c r="P476">
        <v>-7.9349999999999996</v>
      </c>
      <c r="Q476">
        <v>1.83</v>
      </c>
      <c r="R476" t="s">
        <v>23</v>
      </c>
      <c r="S476">
        <f>Sheet1[[#This Row],[Ship_date]]-Sheet1[[#This Row],[Order_date]]</f>
        <v>3</v>
      </c>
      <c r="T476">
        <f>Sheet1[[#This Row],[Quantity]]*Sheet1[[#This Row],[Sales]]</f>
        <v>13</v>
      </c>
      <c r="U476">
        <f>Sheet1[[#This Row],[Total Sales]]*Sheet1[[#This Row],[Discount]]</f>
        <v>6.5</v>
      </c>
      <c r="V476" s="4">
        <f>Sheet1[[#This Row],[Total Sales]]-Sheet1[[#This Row],[Total Sales]]*Sheet1[[#This Row],[Discount]]</f>
        <v>6.5</v>
      </c>
      <c r="W476" s="4">
        <f>Sheet1[[#This Row],[Quantity]]*Sheet1[[#This Row],[Profit]]</f>
        <v>-7.9349999999999996</v>
      </c>
      <c r="X476" s="5">
        <f>Sheet1[[#This Row],[Total Profit]]/Sheet1[[#This Row],[Sales After Discount]]</f>
        <v>-1.2207692307692306</v>
      </c>
      <c r="Y476" s="4">
        <f>Sheet1[[#This Row],[Shipping_cost]]*Sheet1[[#This Row],[Quantity]]</f>
        <v>1.83</v>
      </c>
      <c r="Z476" s="4">
        <f>Sheet1[[#This Row],[Total Profit]]-Sheet1[[#This Row],[Total Shipping Cost]]</f>
        <v>-9.7650000000000006</v>
      </c>
      <c r="AA476" s="4" t="str">
        <f>IF(Sheet1[[#This Row],[Net Profit]]&gt;0,"Profit","Loss")</f>
        <v>Loss</v>
      </c>
    </row>
    <row r="477" spans="1:27" x14ac:dyDescent="0.25">
      <c r="A477" t="s">
        <v>714</v>
      </c>
      <c r="B477" s="1">
        <v>40576</v>
      </c>
      <c r="C477" s="1">
        <v>40578</v>
      </c>
      <c r="D477" t="s">
        <v>18</v>
      </c>
      <c r="E477" t="s">
        <v>715</v>
      </c>
      <c r="F477" t="s">
        <v>43</v>
      </c>
      <c r="G477" t="s">
        <v>264</v>
      </c>
      <c r="H477" t="s">
        <v>86</v>
      </c>
      <c r="I477" t="s">
        <v>14</v>
      </c>
      <c r="J477" t="s">
        <v>61</v>
      </c>
      <c r="K477" t="s">
        <v>7</v>
      </c>
      <c r="L477" t="s">
        <v>87</v>
      </c>
      <c r="M477">
        <v>44</v>
      </c>
      <c r="N477">
        <v>6</v>
      </c>
      <c r="O477">
        <v>0.47</v>
      </c>
      <c r="P477">
        <v>-26.337599999999998</v>
      </c>
      <c r="Q477">
        <v>1.78</v>
      </c>
      <c r="R477" t="s">
        <v>9</v>
      </c>
      <c r="S477">
        <f>Sheet1[[#This Row],[Ship_date]]-Sheet1[[#This Row],[Order_date]]</f>
        <v>2</v>
      </c>
      <c r="T477">
        <f>Sheet1[[#This Row],[Quantity]]*Sheet1[[#This Row],[Sales]]</f>
        <v>264</v>
      </c>
      <c r="U477">
        <f>Sheet1[[#This Row],[Total Sales]]*Sheet1[[#This Row],[Discount]]</f>
        <v>124.08</v>
      </c>
      <c r="V477" s="4">
        <f>Sheet1[[#This Row],[Total Sales]]-Sheet1[[#This Row],[Total Sales]]*Sheet1[[#This Row],[Discount]]</f>
        <v>139.92000000000002</v>
      </c>
      <c r="W477" s="4">
        <f>Sheet1[[#This Row],[Quantity]]*Sheet1[[#This Row],[Profit]]</f>
        <v>-158.0256</v>
      </c>
      <c r="X477" s="5">
        <f>Sheet1[[#This Row],[Total Profit]]/Sheet1[[#This Row],[Sales After Discount]]</f>
        <v>-1.1293996569468265</v>
      </c>
      <c r="Y477" s="4">
        <f>Sheet1[[#This Row],[Shipping_cost]]*Sheet1[[#This Row],[Quantity]]</f>
        <v>10.68</v>
      </c>
      <c r="Z477" s="4">
        <f>Sheet1[[#This Row],[Total Profit]]-Sheet1[[#This Row],[Total Shipping Cost]]</f>
        <v>-168.7056</v>
      </c>
      <c r="AA477" s="4" t="str">
        <f>IF(Sheet1[[#This Row],[Net Profit]]&gt;0,"Profit","Loss")</f>
        <v>Loss</v>
      </c>
    </row>
    <row r="478" spans="1:27" x14ac:dyDescent="0.25">
      <c r="A478" t="s">
        <v>718</v>
      </c>
      <c r="B478" s="1">
        <v>40576</v>
      </c>
      <c r="C478" s="1">
        <v>40581</v>
      </c>
      <c r="D478" t="s">
        <v>1</v>
      </c>
      <c r="E478" t="s">
        <v>719</v>
      </c>
      <c r="F478" t="s">
        <v>3</v>
      </c>
      <c r="G478" t="s">
        <v>12</v>
      </c>
      <c r="H478" t="s">
        <v>13</v>
      </c>
      <c r="I478" t="s">
        <v>14</v>
      </c>
      <c r="J478" t="s">
        <v>15</v>
      </c>
      <c r="K478" t="s">
        <v>32</v>
      </c>
      <c r="L478" t="s">
        <v>33</v>
      </c>
      <c r="M478">
        <v>34</v>
      </c>
      <c r="N478">
        <v>2</v>
      </c>
      <c r="O478">
        <v>0.1</v>
      </c>
      <c r="P478">
        <v>7.92</v>
      </c>
      <c r="Q478">
        <v>1.77</v>
      </c>
      <c r="R478" t="s">
        <v>9</v>
      </c>
      <c r="S478">
        <f>Sheet1[[#This Row],[Ship_date]]-Sheet1[[#This Row],[Order_date]]</f>
        <v>5</v>
      </c>
      <c r="T478">
        <f>Sheet1[[#This Row],[Quantity]]*Sheet1[[#This Row],[Sales]]</f>
        <v>68</v>
      </c>
      <c r="U478">
        <f>Sheet1[[#This Row],[Total Sales]]*Sheet1[[#This Row],[Discount]]</f>
        <v>6.8000000000000007</v>
      </c>
      <c r="V478" s="4">
        <f>Sheet1[[#This Row],[Total Sales]]-Sheet1[[#This Row],[Total Sales]]*Sheet1[[#This Row],[Discount]]</f>
        <v>61.2</v>
      </c>
      <c r="W478" s="4">
        <f>Sheet1[[#This Row],[Quantity]]*Sheet1[[#This Row],[Profit]]</f>
        <v>15.84</v>
      </c>
      <c r="X478" s="5">
        <f>Sheet1[[#This Row],[Total Profit]]/Sheet1[[#This Row],[Sales After Discount]]</f>
        <v>0.25882352941176467</v>
      </c>
      <c r="Y478" s="4">
        <f>Sheet1[[#This Row],[Shipping_cost]]*Sheet1[[#This Row],[Quantity]]</f>
        <v>3.54</v>
      </c>
      <c r="Z478" s="4">
        <f>Sheet1[[#This Row],[Total Profit]]-Sheet1[[#This Row],[Total Shipping Cost]]</f>
        <v>12.3</v>
      </c>
      <c r="AA478" s="4" t="str">
        <f>IF(Sheet1[[#This Row],[Net Profit]]&gt;0,"Profit","Loss")</f>
        <v>Profit</v>
      </c>
    </row>
    <row r="479" spans="1:27" x14ac:dyDescent="0.25">
      <c r="A479" t="s">
        <v>720</v>
      </c>
      <c r="B479" s="1">
        <v>40577</v>
      </c>
      <c r="C479" s="1">
        <v>40579</v>
      </c>
      <c r="D479" t="s">
        <v>18</v>
      </c>
      <c r="E479" t="s">
        <v>721</v>
      </c>
      <c r="F479" t="s">
        <v>26</v>
      </c>
      <c r="G479" t="s">
        <v>722</v>
      </c>
      <c r="H479" t="s">
        <v>28</v>
      </c>
      <c r="I479" t="s">
        <v>29</v>
      </c>
      <c r="J479" t="s">
        <v>30</v>
      </c>
      <c r="K479" t="s">
        <v>7</v>
      </c>
      <c r="L479" t="s">
        <v>91</v>
      </c>
      <c r="M479">
        <v>91</v>
      </c>
      <c r="N479">
        <v>6</v>
      </c>
      <c r="O479">
        <v>0.5</v>
      </c>
      <c r="P479">
        <v>-61.65</v>
      </c>
      <c r="Q479">
        <v>6.64</v>
      </c>
      <c r="R479" t="s">
        <v>9</v>
      </c>
      <c r="S479">
        <f>Sheet1[[#This Row],[Ship_date]]-Sheet1[[#This Row],[Order_date]]</f>
        <v>2</v>
      </c>
      <c r="T479">
        <f>Sheet1[[#This Row],[Quantity]]*Sheet1[[#This Row],[Sales]]</f>
        <v>546</v>
      </c>
      <c r="U479">
        <f>Sheet1[[#This Row],[Total Sales]]*Sheet1[[#This Row],[Discount]]</f>
        <v>273</v>
      </c>
      <c r="V479" s="4">
        <f>Sheet1[[#This Row],[Total Sales]]-Sheet1[[#This Row],[Total Sales]]*Sheet1[[#This Row],[Discount]]</f>
        <v>273</v>
      </c>
      <c r="W479" s="4">
        <f>Sheet1[[#This Row],[Quantity]]*Sheet1[[#This Row],[Profit]]</f>
        <v>-369.9</v>
      </c>
      <c r="X479" s="5">
        <f>Sheet1[[#This Row],[Total Profit]]/Sheet1[[#This Row],[Sales After Discount]]</f>
        <v>-1.3549450549450548</v>
      </c>
      <c r="Y479" s="4">
        <f>Sheet1[[#This Row],[Shipping_cost]]*Sheet1[[#This Row],[Quantity]]</f>
        <v>39.839999999999996</v>
      </c>
      <c r="Z479" s="4">
        <f>Sheet1[[#This Row],[Total Profit]]-Sheet1[[#This Row],[Total Shipping Cost]]</f>
        <v>-409.73999999999995</v>
      </c>
      <c r="AA479" s="4" t="str">
        <f>IF(Sheet1[[#This Row],[Net Profit]]&gt;0,"Profit","Loss")</f>
        <v>Loss</v>
      </c>
    </row>
    <row r="480" spans="1:27" x14ac:dyDescent="0.25">
      <c r="A480" t="s">
        <v>723</v>
      </c>
      <c r="B480" s="1">
        <v>40577</v>
      </c>
      <c r="C480" s="1">
        <v>40584</v>
      </c>
      <c r="D480" t="s">
        <v>1</v>
      </c>
      <c r="E480" t="s">
        <v>724</v>
      </c>
      <c r="F480" t="s">
        <v>3</v>
      </c>
      <c r="G480" t="s">
        <v>505</v>
      </c>
      <c r="H480" t="s">
        <v>126</v>
      </c>
      <c r="I480" t="s">
        <v>127</v>
      </c>
      <c r="J480" t="s">
        <v>102</v>
      </c>
      <c r="K480" t="s">
        <v>38</v>
      </c>
      <c r="L480" t="s">
        <v>77</v>
      </c>
      <c r="M480">
        <v>181</v>
      </c>
      <c r="N480">
        <v>5</v>
      </c>
      <c r="O480">
        <v>0.2</v>
      </c>
      <c r="P480">
        <v>13.571999999999999</v>
      </c>
      <c r="Q480">
        <v>4.99</v>
      </c>
      <c r="R480" t="s">
        <v>9</v>
      </c>
      <c r="S480">
        <f>Sheet1[[#This Row],[Ship_date]]-Sheet1[[#This Row],[Order_date]]</f>
        <v>7</v>
      </c>
      <c r="T480">
        <f>Sheet1[[#This Row],[Quantity]]*Sheet1[[#This Row],[Sales]]</f>
        <v>905</v>
      </c>
      <c r="U480">
        <f>Sheet1[[#This Row],[Total Sales]]*Sheet1[[#This Row],[Discount]]</f>
        <v>181</v>
      </c>
      <c r="V480" s="4">
        <f>Sheet1[[#This Row],[Total Sales]]-Sheet1[[#This Row],[Total Sales]]*Sheet1[[#This Row],[Discount]]</f>
        <v>724</v>
      </c>
      <c r="W480" s="4">
        <f>Sheet1[[#This Row],[Quantity]]*Sheet1[[#This Row],[Profit]]</f>
        <v>67.86</v>
      </c>
      <c r="X480" s="5">
        <f>Sheet1[[#This Row],[Total Profit]]/Sheet1[[#This Row],[Sales After Discount]]</f>
        <v>9.3729281767955794E-2</v>
      </c>
      <c r="Y480" s="4">
        <f>Sheet1[[#This Row],[Shipping_cost]]*Sheet1[[#This Row],[Quantity]]</f>
        <v>24.950000000000003</v>
      </c>
      <c r="Z480" s="4">
        <f>Sheet1[[#This Row],[Total Profit]]-Sheet1[[#This Row],[Total Shipping Cost]]</f>
        <v>42.91</v>
      </c>
      <c r="AA480" s="4" t="str">
        <f>IF(Sheet1[[#This Row],[Net Profit]]&gt;0,"Profit","Loss")</f>
        <v>Profit</v>
      </c>
    </row>
    <row r="481" spans="1:27" x14ac:dyDescent="0.25">
      <c r="A481" t="s">
        <v>725</v>
      </c>
      <c r="B481" s="1">
        <v>40577</v>
      </c>
      <c r="C481" s="1">
        <v>40581</v>
      </c>
      <c r="D481" t="s">
        <v>1</v>
      </c>
      <c r="E481" t="s">
        <v>726</v>
      </c>
      <c r="F481" t="s">
        <v>3</v>
      </c>
      <c r="G481" t="s">
        <v>222</v>
      </c>
      <c r="H481" t="s">
        <v>223</v>
      </c>
      <c r="I481" t="s">
        <v>6</v>
      </c>
      <c r="J481" t="s">
        <v>6</v>
      </c>
      <c r="K481" t="s">
        <v>38</v>
      </c>
      <c r="L481" t="s">
        <v>82</v>
      </c>
      <c r="M481">
        <v>25</v>
      </c>
      <c r="N481">
        <v>1</v>
      </c>
      <c r="O481">
        <v>0.7</v>
      </c>
      <c r="P481">
        <v>-22.962</v>
      </c>
      <c r="Q481">
        <v>3.34</v>
      </c>
      <c r="R481" t="s">
        <v>23</v>
      </c>
      <c r="S481">
        <f>Sheet1[[#This Row],[Ship_date]]-Sheet1[[#This Row],[Order_date]]</f>
        <v>4</v>
      </c>
      <c r="T481">
        <f>Sheet1[[#This Row],[Quantity]]*Sheet1[[#This Row],[Sales]]</f>
        <v>25</v>
      </c>
      <c r="U481">
        <f>Sheet1[[#This Row],[Total Sales]]*Sheet1[[#This Row],[Discount]]</f>
        <v>17.5</v>
      </c>
      <c r="V481" s="4">
        <f>Sheet1[[#This Row],[Total Sales]]-Sheet1[[#This Row],[Total Sales]]*Sheet1[[#This Row],[Discount]]</f>
        <v>7.5</v>
      </c>
      <c r="W481" s="4">
        <f>Sheet1[[#This Row],[Quantity]]*Sheet1[[#This Row],[Profit]]</f>
        <v>-22.962</v>
      </c>
      <c r="X481" s="5">
        <f>Sheet1[[#This Row],[Total Profit]]/Sheet1[[#This Row],[Sales After Discount]]</f>
        <v>-3.0615999999999999</v>
      </c>
      <c r="Y481" s="4">
        <f>Sheet1[[#This Row],[Shipping_cost]]*Sheet1[[#This Row],[Quantity]]</f>
        <v>3.34</v>
      </c>
      <c r="Z481" s="4">
        <f>Sheet1[[#This Row],[Total Profit]]-Sheet1[[#This Row],[Total Shipping Cost]]</f>
        <v>-26.302</v>
      </c>
      <c r="AA481" s="4" t="str">
        <f>IF(Sheet1[[#This Row],[Net Profit]]&gt;0,"Profit","Loss")</f>
        <v>Loss</v>
      </c>
    </row>
    <row r="482" spans="1:27" x14ac:dyDescent="0.25">
      <c r="A482" t="s">
        <v>727</v>
      </c>
      <c r="B482" s="1">
        <v>40577</v>
      </c>
      <c r="C482" s="1">
        <v>40582</v>
      </c>
      <c r="D482" t="s">
        <v>1</v>
      </c>
      <c r="E482" t="s">
        <v>728</v>
      </c>
      <c r="F482" t="s">
        <v>43</v>
      </c>
      <c r="G482" t="s">
        <v>729</v>
      </c>
      <c r="H482" t="s">
        <v>169</v>
      </c>
      <c r="I482" t="s">
        <v>14</v>
      </c>
      <c r="J482" t="s">
        <v>132</v>
      </c>
      <c r="K482" t="s">
        <v>7</v>
      </c>
      <c r="L482" t="s">
        <v>97</v>
      </c>
      <c r="M482">
        <v>30</v>
      </c>
      <c r="N482">
        <v>2</v>
      </c>
      <c r="O482">
        <v>0</v>
      </c>
      <c r="P482">
        <v>5.64</v>
      </c>
      <c r="Q482">
        <v>3.13</v>
      </c>
      <c r="R482" t="s">
        <v>9</v>
      </c>
      <c r="S482">
        <f>Sheet1[[#This Row],[Ship_date]]-Sheet1[[#This Row],[Order_date]]</f>
        <v>5</v>
      </c>
      <c r="T482">
        <f>Sheet1[[#This Row],[Quantity]]*Sheet1[[#This Row],[Sales]]</f>
        <v>60</v>
      </c>
      <c r="U482">
        <f>Sheet1[[#This Row],[Total Sales]]*Sheet1[[#This Row],[Discount]]</f>
        <v>0</v>
      </c>
      <c r="V482" s="4">
        <f>Sheet1[[#This Row],[Total Sales]]-Sheet1[[#This Row],[Total Sales]]*Sheet1[[#This Row],[Discount]]</f>
        <v>60</v>
      </c>
      <c r="W482" s="4">
        <f>Sheet1[[#This Row],[Quantity]]*Sheet1[[#This Row],[Profit]]</f>
        <v>11.28</v>
      </c>
      <c r="X482" s="5">
        <f>Sheet1[[#This Row],[Total Profit]]/Sheet1[[#This Row],[Sales After Discount]]</f>
        <v>0.188</v>
      </c>
      <c r="Y482" s="4">
        <f>Sheet1[[#This Row],[Shipping_cost]]*Sheet1[[#This Row],[Quantity]]</f>
        <v>6.26</v>
      </c>
      <c r="Z482" s="4">
        <f>Sheet1[[#This Row],[Total Profit]]-Sheet1[[#This Row],[Total Shipping Cost]]</f>
        <v>5.0199999999999996</v>
      </c>
      <c r="AA482" s="4" t="str">
        <f>IF(Sheet1[[#This Row],[Net Profit]]&gt;0,"Profit","Loss")</f>
        <v>Profit</v>
      </c>
    </row>
    <row r="483" spans="1:27" x14ac:dyDescent="0.25">
      <c r="A483" t="s">
        <v>723</v>
      </c>
      <c r="B483" s="1">
        <v>40577</v>
      </c>
      <c r="C483" s="1">
        <v>40584</v>
      </c>
      <c r="D483" t="s">
        <v>1</v>
      </c>
      <c r="E483" t="s">
        <v>724</v>
      </c>
      <c r="F483" t="s">
        <v>3</v>
      </c>
      <c r="G483" t="s">
        <v>505</v>
      </c>
      <c r="H483" t="s">
        <v>126</v>
      </c>
      <c r="I483" t="s">
        <v>127</v>
      </c>
      <c r="J483" t="s">
        <v>102</v>
      </c>
      <c r="K483" t="s">
        <v>7</v>
      </c>
      <c r="L483" t="s">
        <v>137</v>
      </c>
      <c r="M483">
        <v>18</v>
      </c>
      <c r="N483">
        <v>2</v>
      </c>
      <c r="O483">
        <v>0.7</v>
      </c>
      <c r="P483">
        <v>-12.224</v>
      </c>
      <c r="Q483">
        <v>1.66</v>
      </c>
      <c r="R483" t="s">
        <v>9</v>
      </c>
      <c r="S483">
        <f>Sheet1[[#This Row],[Ship_date]]-Sheet1[[#This Row],[Order_date]]</f>
        <v>7</v>
      </c>
      <c r="T483">
        <f>Sheet1[[#This Row],[Quantity]]*Sheet1[[#This Row],[Sales]]</f>
        <v>36</v>
      </c>
      <c r="U483">
        <f>Sheet1[[#This Row],[Total Sales]]*Sheet1[[#This Row],[Discount]]</f>
        <v>25.2</v>
      </c>
      <c r="V483" s="4">
        <f>Sheet1[[#This Row],[Total Sales]]-Sheet1[[#This Row],[Total Sales]]*Sheet1[[#This Row],[Discount]]</f>
        <v>10.8</v>
      </c>
      <c r="W483" s="4">
        <f>Sheet1[[#This Row],[Quantity]]*Sheet1[[#This Row],[Profit]]</f>
        <v>-24.448</v>
      </c>
      <c r="X483" s="5">
        <f>Sheet1[[#This Row],[Total Profit]]/Sheet1[[#This Row],[Sales After Discount]]</f>
        <v>-2.2637037037037038</v>
      </c>
      <c r="Y483" s="4">
        <f>Sheet1[[#This Row],[Shipping_cost]]*Sheet1[[#This Row],[Quantity]]</f>
        <v>3.32</v>
      </c>
      <c r="Z483" s="4">
        <f>Sheet1[[#This Row],[Total Profit]]-Sheet1[[#This Row],[Total Shipping Cost]]</f>
        <v>-27.768000000000001</v>
      </c>
      <c r="AA483" s="4" t="str">
        <f>IF(Sheet1[[#This Row],[Net Profit]]&gt;0,"Profit","Loss")</f>
        <v>Loss</v>
      </c>
    </row>
    <row r="484" spans="1:27" x14ac:dyDescent="0.25">
      <c r="A484" t="s">
        <v>730</v>
      </c>
      <c r="B484" s="1">
        <v>40577</v>
      </c>
      <c r="C484" s="1">
        <v>40584</v>
      </c>
      <c r="D484" t="s">
        <v>1</v>
      </c>
      <c r="E484" t="s">
        <v>148</v>
      </c>
      <c r="F484" t="s">
        <v>3</v>
      </c>
      <c r="G484" t="s">
        <v>164</v>
      </c>
      <c r="H484" t="s">
        <v>165</v>
      </c>
      <c r="I484" t="s">
        <v>6</v>
      </c>
      <c r="J484" t="s">
        <v>6</v>
      </c>
      <c r="K484" t="s">
        <v>7</v>
      </c>
      <c r="L484" t="s">
        <v>137</v>
      </c>
      <c r="M484">
        <v>9</v>
      </c>
      <c r="N484">
        <v>2</v>
      </c>
      <c r="O484">
        <v>0</v>
      </c>
      <c r="P484">
        <v>4.5</v>
      </c>
      <c r="Q484">
        <v>0.8</v>
      </c>
      <c r="R484" t="s">
        <v>51</v>
      </c>
      <c r="S484">
        <f>Sheet1[[#This Row],[Ship_date]]-Sheet1[[#This Row],[Order_date]]</f>
        <v>7</v>
      </c>
      <c r="T484">
        <f>Sheet1[[#This Row],[Quantity]]*Sheet1[[#This Row],[Sales]]</f>
        <v>18</v>
      </c>
      <c r="U484">
        <f>Sheet1[[#This Row],[Total Sales]]*Sheet1[[#This Row],[Discount]]</f>
        <v>0</v>
      </c>
      <c r="V484" s="4">
        <f>Sheet1[[#This Row],[Total Sales]]-Sheet1[[#This Row],[Total Sales]]*Sheet1[[#This Row],[Discount]]</f>
        <v>18</v>
      </c>
      <c r="W484" s="4">
        <f>Sheet1[[#This Row],[Quantity]]*Sheet1[[#This Row],[Profit]]</f>
        <v>9</v>
      </c>
      <c r="X484" s="5">
        <f>Sheet1[[#This Row],[Total Profit]]/Sheet1[[#This Row],[Sales After Discount]]</f>
        <v>0.5</v>
      </c>
      <c r="Y484" s="4">
        <f>Sheet1[[#This Row],[Shipping_cost]]*Sheet1[[#This Row],[Quantity]]</f>
        <v>1.6</v>
      </c>
      <c r="Z484" s="4">
        <f>Sheet1[[#This Row],[Total Profit]]-Sheet1[[#This Row],[Total Shipping Cost]]</f>
        <v>7.4</v>
      </c>
      <c r="AA484" s="4" t="str">
        <f>IF(Sheet1[[#This Row],[Net Profit]]&gt;0,"Profit","Loss")</f>
        <v>Profit</v>
      </c>
    </row>
    <row r="485" spans="1:27" x14ac:dyDescent="0.25">
      <c r="A485" t="s">
        <v>731</v>
      </c>
      <c r="B485" s="1">
        <v>40577</v>
      </c>
      <c r="C485" s="1">
        <v>40581</v>
      </c>
      <c r="D485" t="s">
        <v>1</v>
      </c>
      <c r="E485" t="s">
        <v>732</v>
      </c>
      <c r="F485" t="s">
        <v>26</v>
      </c>
      <c r="G485" t="s">
        <v>191</v>
      </c>
      <c r="H485" t="s">
        <v>126</v>
      </c>
      <c r="I485" t="s">
        <v>127</v>
      </c>
      <c r="J485" t="s">
        <v>192</v>
      </c>
      <c r="K485" t="s">
        <v>7</v>
      </c>
      <c r="L485" t="s">
        <v>97</v>
      </c>
      <c r="M485">
        <v>12</v>
      </c>
      <c r="N485">
        <v>5</v>
      </c>
      <c r="O485">
        <v>0</v>
      </c>
      <c r="P485">
        <v>5.8045</v>
      </c>
      <c r="Q485">
        <v>0.28999999999999998</v>
      </c>
      <c r="R485" t="s">
        <v>9</v>
      </c>
      <c r="S485">
        <f>Sheet1[[#This Row],[Ship_date]]-Sheet1[[#This Row],[Order_date]]</f>
        <v>4</v>
      </c>
      <c r="T485">
        <f>Sheet1[[#This Row],[Quantity]]*Sheet1[[#This Row],[Sales]]</f>
        <v>60</v>
      </c>
      <c r="U485">
        <f>Sheet1[[#This Row],[Total Sales]]*Sheet1[[#This Row],[Discount]]</f>
        <v>0</v>
      </c>
      <c r="V485" s="4">
        <f>Sheet1[[#This Row],[Total Sales]]-Sheet1[[#This Row],[Total Sales]]*Sheet1[[#This Row],[Discount]]</f>
        <v>60</v>
      </c>
      <c r="W485" s="4">
        <f>Sheet1[[#This Row],[Quantity]]*Sheet1[[#This Row],[Profit]]</f>
        <v>29.022500000000001</v>
      </c>
      <c r="X485" s="5">
        <f>Sheet1[[#This Row],[Total Profit]]/Sheet1[[#This Row],[Sales After Discount]]</f>
        <v>0.48370833333333335</v>
      </c>
      <c r="Y485" s="4">
        <f>Sheet1[[#This Row],[Shipping_cost]]*Sheet1[[#This Row],[Quantity]]</f>
        <v>1.45</v>
      </c>
      <c r="Z485" s="4">
        <f>Sheet1[[#This Row],[Total Profit]]-Sheet1[[#This Row],[Total Shipping Cost]]</f>
        <v>27.572500000000002</v>
      </c>
      <c r="AA485" s="4" t="str">
        <f>IF(Sheet1[[#This Row],[Net Profit]]&gt;0,"Profit","Loss")</f>
        <v>Profit</v>
      </c>
    </row>
    <row r="486" spans="1:27" x14ac:dyDescent="0.25">
      <c r="A486" t="s">
        <v>733</v>
      </c>
      <c r="B486" s="1">
        <v>40578</v>
      </c>
      <c r="C486" s="1">
        <v>40581</v>
      </c>
      <c r="D486" t="s">
        <v>142</v>
      </c>
      <c r="E486" t="s">
        <v>734</v>
      </c>
      <c r="F486" t="s">
        <v>3</v>
      </c>
      <c r="G486" t="s">
        <v>523</v>
      </c>
      <c r="H486" t="s">
        <v>49</v>
      </c>
      <c r="I486" t="s">
        <v>14</v>
      </c>
      <c r="J486" t="s">
        <v>15</v>
      </c>
      <c r="K486" t="s">
        <v>38</v>
      </c>
      <c r="L486" t="s">
        <v>82</v>
      </c>
      <c r="M486">
        <v>441</v>
      </c>
      <c r="N486">
        <v>4</v>
      </c>
      <c r="O486">
        <v>0</v>
      </c>
      <c r="P486">
        <v>39.6</v>
      </c>
      <c r="Q486">
        <v>66.08</v>
      </c>
      <c r="R486" t="s">
        <v>9</v>
      </c>
      <c r="S486">
        <f>Sheet1[[#This Row],[Ship_date]]-Sheet1[[#This Row],[Order_date]]</f>
        <v>3</v>
      </c>
      <c r="T486">
        <f>Sheet1[[#This Row],[Quantity]]*Sheet1[[#This Row],[Sales]]</f>
        <v>1764</v>
      </c>
      <c r="U486">
        <f>Sheet1[[#This Row],[Total Sales]]*Sheet1[[#This Row],[Discount]]</f>
        <v>0</v>
      </c>
      <c r="V486" s="4">
        <f>Sheet1[[#This Row],[Total Sales]]-Sheet1[[#This Row],[Total Sales]]*Sheet1[[#This Row],[Discount]]</f>
        <v>1764</v>
      </c>
      <c r="W486" s="4">
        <f>Sheet1[[#This Row],[Quantity]]*Sheet1[[#This Row],[Profit]]</f>
        <v>158.4</v>
      </c>
      <c r="X486" s="5">
        <f>Sheet1[[#This Row],[Total Profit]]/Sheet1[[#This Row],[Sales After Discount]]</f>
        <v>8.9795918367346947E-2</v>
      </c>
      <c r="Y486" s="4">
        <f>Sheet1[[#This Row],[Shipping_cost]]*Sheet1[[#This Row],[Quantity]]</f>
        <v>264.32</v>
      </c>
      <c r="Z486" s="4">
        <f>Sheet1[[#This Row],[Total Profit]]-Sheet1[[#This Row],[Total Shipping Cost]]</f>
        <v>-105.91999999999999</v>
      </c>
      <c r="AA486" s="4" t="str">
        <f>IF(Sheet1[[#This Row],[Net Profit]]&gt;0,"Profit","Loss")</f>
        <v>Loss</v>
      </c>
    </row>
    <row r="487" spans="1:27" x14ac:dyDescent="0.25">
      <c r="A487" t="s">
        <v>733</v>
      </c>
      <c r="B487" s="1">
        <v>40578</v>
      </c>
      <c r="C487" s="1">
        <v>40581</v>
      </c>
      <c r="D487" t="s">
        <v>142</v>
      </c>
      <c r="E487" t="s">
        <v>734</v>
      </c>
      <c r="F487" t="s">
        <v>3</v>
      </c>
      <c r="G487" t="s">
        <v>523</v>
      </c>
      <c r="H487" t="s">
        <v>49</v>
      </c>
      <c r="I487" t="s">
        <v>14</v>
      </c>
      <c r="J487" t="s">
        <v>15</v>
      </c>
      <c r="K487" t="s">
        <v>7</v>
      </c>
      <c r="L487" t="s">
        <v>44</v>
      </c>
      <c r="M487">
        <v>884</v>
      </c>
      <c r="N487">
        <v>10</v>
      </c>
      <c r="O487">
        <v>0</v>
      </c>
      <c r="P487">
        <v>70.5</v>
      </c>
      <c r="Q487">
        <v>42</v>
      </c>
      <c r="R487" t="s">
        <v>9</v>
      </c>
      <c r="S487">
        <f>Sheet1[[#This Row],[Ship_date]]-Sheet1[[#This Row],[Order_date]]</f>
        <v>3</v>
      </c>
      <c r="T487">
        <f>Sheet1[[#This Row],[Quantity]]*Sheet1[[#This Row],[Sales]]</f>
        <v>8840</v>
      </c>
      <c r="U487">
        <f>Sheet1[[#This Row],[Total Sales]]*Sheet1[[#This Row],[Discount]]</f>
        <v>0</v>
      </c>
      <c r="V487" s="4">
        <f>Sheet1[[#This Row],[Total Sales]]-Sheet1[[#This Row],[Total Sales]]*Sheet1[[#This Row],[Discount]]</f>
        <v>8840</v>
      </c>
      <c r="W487" s="4">
        <f>Sheet1[[#This Row],[Quantity]]*Sheet1[[#This Row],[Profit]]</f>
        <v>705</v>
      </c>
      <c r="X487" s="5">
        <f>Sheet1[[#This Row],[Total Profit]]/Sheet1[[#This Row],[Sales After Discount]]</f>
        <v>7.9751131221719451E-2</v>
      </c>
      <c r="Y487" s="4">
        <f>Sheet1[[#This Row],[Shipping_cost]]*Sheet1[[#This Row],[Quantity]]</f>
        <v>420</v>
      </c>
      <c r="Z487" s="4">
        <f>Sheet1[[#This Row],[Total Profit]]-Sheet1[[#This Row],[Total Shipping Cost]]</f>
        <v>285</v>
      </c>
      <c r="AA487" s="4" t="str">
        <f>IF(Sheet1[[#This Row],[Net Profit]]&gt;0,"Profit","Loss")</f>
        <v>Profit</v>
      </c>
    </row>
    <row r="488" spans="1:27" x14ac:dyDescent="0.25">
      <c r="A488" t="s">
        <v>735</v>
      </c>
      <c r="B488" s="1">
        <v>40578</v>
      </c>
      <c r="C488" s="1">
        <v>40583</v>
      </c>
      <c r="D488" t="s">
        <v>18</v>
      </c>
      <c r="E488" t="s">
        <v>736</v>
      </c>
      <c r="F488" t="s">
        <v>43</v>
      </c>
      <c r="G488" t="s">
        <v>737</v>
      </c>
      <c r="H488" t="s">
        <v>259</v>
      </c>
      <c r="I488" t="s">
        <v>6</v>
      </c>
      <c r="J488" t="s">
        <v>6</v>
      </c>
      <c r="K488" t="s">
        <v>38</v>
      </c>
      <c r="L488" t="s">
        <v>39</v>
      </c>
      <c r="M488">
        <v>115</v>
      </c>
      <c r="N488">
        <v>1</v>
      </c>
      <c r="O488">
        <v>0</v>
      </c>
      <c r="P488">
        <v>49.62</v>
      </c>
      <c r="Q488">
        <v>20.22</v>
      </c>
      <c r="R488" t="s">
        <v>9</v>
      </c>
      <c r="S488">
        <f>Sheet1[[#This Row],[Ship_date]]-Sheet1[[#This Row],[Order_date]]</f>
        <v>5</v>
      </c>
      <c r="T488">
        <f>Sheet1[[#This Row],[Quantity]]*Sheet1[[#This Row],[Sales]]</f>
        <v>115</v>
      </c>
      <c r="U488">
        <f>Sheet1[[#This Row],[Total Sales]]*Sheet1[[#This Row],[Discount]]</f>
        <v>0</v>
      </c>
      <c r="V488" s="4">
        <f>Sheet1[[#This Row],[Total Sales]]-Sheet1[[#This Row],[Total Sales]]*Sheet1[[#This Row],[Discount]]</f>
        <v>115</v>
      </c>
      <c r="W488" s="4">
        <f>Sheet1[[#This Row],[Quantity]]*Sheet1[[#This Row],[Profit]]</f>
        <v>49.62</v>
      </c>
      <c r="X488" s="5">
        <f>Sheet1[[#This Row],[Total Profit]]/Sheet1[[#This Row],[Sales After Discount]]</f>
        <v>0.4314782608695652</v>
      </c>
      <c r="Y488" s="4">
        <f>Sheet1[[#This Row],[Shipping_cost]]*Sheet1[[#This Row],[Quantity]]</f>
        <v>20.22</v>
      </c>
      <c r="Z488" s="4">
        <f>Sheet1[[#This Row],[Total Profit]]-Sheet1[[#This Row],[Total Shipping Cost]]</f>
        <v>29.4</v>
      </c>
      <c r="AA488" s="4" t="str">
        <f>IF(Sheet1[[#This Row],[Net Profit]]&gt;0,"Profit","Loss")</f>
        <v>Profit</v>
      </c>
    </row>
    <row r="489" spans="1:27" x14ac:dyDescent="0.25">
      <c r="A489" t="s">
        <v>738</v>
      </c>
      <c r="B489" s="1">
        <v>40578</v>
      </c>
      <c r="C489" s="1">
        <v>40582</v>
      </c>
      <c r="D489" t="s">
        <v>1</v>
      </c>
      <c r="E489" t="s">
        <v>64</v>
      </c>
      <c r="F489" t="s">
        <v>3</v>
      </c>
      <c r="G489" t="s">
        <v>184</v>
      </c>
      <c r="H489" t="s">
        <v>115</v>
      </c>
      <c r="I489" t="s">
        <v>29</v>
      </c>
      <c r="J489" t="s">
        <v>76</v>
      </c>
      <c r="K489" t="s">
        <v>7</v>
      </c>
      <c r="L489" t="s">
        <v>8</v>
      </c>
      <c r="M489">
        <v>149</v>
      </c>
      <c r="N489">
        <v>3</v>
      </c>
      <c r="O489">
        <v>0.1</v>
      </c>
      <c r="P489">
        <v>14.868</v>
      </c>
      <c r="Q489">
        <v>14.97</v>
      </c>
      <c r="R489" t="s">
        <v>9</v>
      </c>
      <c r="S489">
        <f>Sheet1[[#This Row],[Ship_date]]-Sheet1[[#This Row],[Order_date]]</f>
        <v>4</v>
      </c>
      <c r="T489">
        <f>Sheet1[[#This Row],[Quantity]]*Sheet1[[#This Row],[Sales]]</f>
        <v>447</v>
      </c>
      <c r="U489">
        <f>Sheet1[[#This Row],[Total Sales]]*Sheet1[[#This Row],[Discount]]</f>
        <v>44.7</v>
      </c>
      <c r="V489" s="4">
        <f>Sheet1[[#This Row],[Total Sales]]-Sheet1[[#This Row],[Total Sales]]*Sheet1[[#This Row],[Discount]]</f>
        <v>402.3</v>
      </c>
      <c r="W489" s="4">
        <f>Sheet1[[#This Row],[Quantity]]*Sheet1[[#This Row],[Profit]]</f>
        <v>44.603999999999999</v>
      </c>
      <c r="X489" s="5">
        <f>Sheet1[[#This Row],[Total Profit]]/Sheet1[[#This Row],[Sales After Discount]]</f>
        <v>0.11087248322147651</v>
      </c>
      <c r="Y489" s="4">
        <f>Sheet1[[#This Row],[Shipping_cost]]*Sheet1[[#This Row],[Quantity]]</f>
        <v>44.910000000000004</v>
      </c>
      <c r="Z489" s="4">
        <f>Sheet1[[#This Row],[Total Profit]]-Sheet1[[#This Row],[Total Shipping Cost]]</f>
        <v>-0.30600000000000449</v>
      </c>
      <c r="AA489" s="4" t="str">
        <f>IF(Sheet1[[#This Row],[Net Profit]]&gt;0,"Profit","Loss")</f>
        <v>Loss</v>
      </c>
    </row>
    <row r="490" spans="1:27" x14ac:dyDescent="0.25">
      <c r="A490" t="s">
        <v>739</v>
      </c>
      <c r="B490" s="1">
        <v>40578</v>
      </c>
      <c r="C490" s="1">
        <v>40581</v>
      </c>
      <c r="D490" t="s">
        <v>18</v>
      </c>
      <c r="E490" t="s">
        <v>504</v>
      </c>
      <c r="F490" t="s">
        <v>3</v>
      </c>
      <c r="G490" t="s">
        <v>740</v>
      </c>
      <c r="H490" t="s">
        <v>126</v>
      </c>
      <c r="I490" t="s">
        <v>127</v>
      </c>
      <c r="J490" t="s">
        <v>192</v>
      </c>
      <c r="K490" t="s">
        <v>7</v>
      </c>
      <c r="L490" t="s">
        <v>137</v>
      </c>
      <c r="M490">
        <v>84</v>
      </c>
      <c r="N490">
        <v>2</v>
      </c>
      <c r="O490">
        <v>0.2</v>
      </c>
      <c r="P490">
        <v>27.248000000000001</v>
      </c>
      <c r="Q490">
        <v>8.82</v>
      </c>
      <c r="R490" t="s">
        <v>23</v>
      </c>
      <c r="S490">
        <f>Sheet1[[#This Row],[Ship_date]]-Sheet1[[#This Row],[Order_date]]</f>
        <v>3</v>
      </c>
      <c r="T490">
        <f>Sheet1[[#This Row],[Quantity]]*Sheet1[[#This Row],[Sales]]</f>
        <v>168</v>
      </c>
      <c r="U490">
        <f>Sheet1[[#This Row],[Total Sales]]*Sheet1[[#This Row],[Discount]]</f>
        <v>33.6</v>
      </c>
      <c r="V490" s="4">
        <f>Sheet1[[#This Row],[Total Sales]]-Sheet1[[#This Row],[Total Sales]]*Sheet1[[#This Row],[Discount]]</f>
        <v>134.4</v>
      </c>
      <c r="W490" s="4">
        <f>Sheet1[[#This Row],[Quantity]]*Sheet1[[#This Row],[Profit]]</f>
        <v>54.496000000000002</v>
      </c>
      <c r="X490" s="5">
        <f>Sheet1[[#This Row],[Total Profit]]/Sheet1[[#This Row],[Sales After Discount]]</f>
        <v>0.40547619047619049</v>
      </c>
      <c r="Y490" s="4">
        <f>Sheet1[[#This Row],[Shipping_cost]]*Sheet1[[#This Row],[Quantity]]</f>
        <v>17.64</v>
      </c>
      <c r="Z490" s="4">
        <f>Sheet1[[#This Row],[Total Profit]]-Sheet1[[#This Row],[Total Shipping Cost]]</f>
        <v>36.856000000000002</v>
      </c>
      <c r="AA490" s="4" t="str">
        <f>IF(Sheet1[[#This Row],[Net Profit]]&gt;0,"Profit","Loss")</f>
        <v>Profit</v>
      </c>
    </row>
    <row r="491" spans="1:27" x14ac:dyDescent="0.25">
      <c r="A491" t="s">
        <v>735</v>
      </c>
      <c r="B491" s="1">
        <v>40578</v>
      </c>
      <c r="C491" s="1">
        <v>40583</v>
      </c>
      <c r="D491" t="s">
        <v>18</v>
      </c>
      <c r="E491" t="s">
        <v>736</v>
      </c>
      <c r="F491" t="s">
        <v>43</v>
      </c>
      <c r="G491" t="s">
        <v>737</v>
      </c>
      <c r="H491" t="s">
        <v>259</v>
      </c>
      <c r="I491" t="s">
        <v>6</v>
      </c>
      <c r="J491" t="s">
        <v>6</v>
      </c>
      <c r="K491" t="s">
        <v>7</v>
      </c>
      <c r="L491" t="s">
        <v>137</v>
      </c>
      <c r="M491">
        <v>59</v>
      </c>
      <c r="N491">
        <v>2</v>
      </c>
      <c r="O491">
        <v>0</v>
      </c>
      <c r="P491">
        <v>12.36</v>
      </c>
      <c r="Q491">
        <v>6.06</v>
      </c>
      <c r="R491" t="s">
        <v>9</v>
      </c>
      <c r="S491">
        <f>Sheet1[[#This Row],[Ship_date]]-Sheet1[[#This Row],[Order_date]]</f>
        <v>5</v>
      </c>
      <c r="T491">
        <f>Sheet1[[#This Row],[Quantity]]*Sheet1[[#This Row],[Sales]]</f>
        <v>118</v>
      </c>
      <c r="U491">
        <f>Sheet1[[#This Row],[Total Sales]]*Sheet1[[#This Row],[Discount]]</f>
        <v>0</v>
      </c>
      <c r="V491" s="4">
        <f>Sheet1[[#This Row],[Total Sales]]-Sheet1[[#This Row],[Total Sales]]*Sheet1[[#This Row],[Discount]]</f>
        <v>118</v>
      </c>
      <c r="W491" s="4">
        <f>Sheet1[[#This Row],[Quantity]]*Sheet1[[#This Row],[Profit]]</f>
        <v>24.72</v>
      </c>
      <c r="X491" s="5">
        <f>Sheet1[[#This Row],[Total Profit]]/Sheet1[[#This Row],[Sales After Discount]]</f>
        <v>0.20949152542372881</v>
      </c>
      <c r="Y491" s="4">
        <f>Sheet1[[#This Row],[Shipping_cost]]*Sheet1[[#This Row],[Quantity]]</f>
        <v>12.12</v>
      </c>
      <c r="Z491" s="4">
        <f>Sheet1[[#This Row],[Total Profit]]-Sheet1[[#This Row],[Total Shipping Cost]]</f>
        <v>12.6</v>
      </c>
      <c r="AA491" s="4" t="str">
        <f>IF(Sheet1[[#This Row],[Net Profit]]&gt;0,"Profit","Loss")</f>
        <v>Profit</v>
      </c>
    </row>
    <row r="492" spans="1:27" x14ac:dyDescent="0.25">
      <c r="A492" t="s">
        <v>362</v>
      </c>
      <c r="B492" s="1">
        <v>40578</v>
      </c>
      <c r="C492" s="1">
        <v>40582</v>
      </c>
      <c r="D492" t="s">
        <v>1</v>
      </c>
      <c r="E492" t="s">
        <v>559</v>
      </c>
      <c r="F492" t="s">
        <v>26</v>
      </c>
      <c r="G492" t="s">
        <v>114</v>
      </c>
      <c r="H492" t="s">
        <v>115</v>
      </c>
      <c r="I492" t="s">
        <v>29</v>
      </c>
      <c r="J492" t="s">
        <v>76</v>
      </c>
      <c r="K492" t="s">
        <v>7</v>
      </c>
      <c r="L492" t="s">
        <v>91</v>
      </c>
      <c r="M492">
        <v>30</v>
      </c>
      <c r="N492">
        <v>2</v>
      </c>
      <c r="O492">
        <v>0</v>
      </c>
      <c r="P492">
        <v>10.86</v>
      </c>
      <c r="Q492">
        <v>3.76</v>
      </c>
      <c r="R492" t="s">
        <v>23</v>
      </c>
      <c r="S492">
        <f>Sheet1[[#This Row],[Ship_date]]-Sheet1[[#This Row],[Order_date]]</f>
        <v>4</v>
      </c>
      <c r="T492">
        <f>Sheet1[[#This Row],[Quantity]]*Sheet1[[#This Row],[Sales]]</f>
        <v>60</v>
      </c>
      <c r="U492">
        <f>Sheet1[[#This Row],[Total Sales]]*Sheet1[[#This Row],[Discount]]</f>
        <v>0</v>
      </c>
      <c r="V492" s="4">
        <f>Sheet1[[#This Row],[Total Sales]]-Sheet1[[#This Row],[Total Sales]]*Sheet1[[#This Row],[Discount]]</f>
        <v>60</v>
      </c>
      <c r="W492" s="4">
        <f>Sheet1[[#This Row],[Quantity]]*Sheet1[[#This Row],[Profit]]</f>
        <v>21.72</v>
      </c>
      <c r="X492" s="5">
        <f>Sheet1[[#This Row],[Total Profit]]/Sheet1[[#This Row],[Sales After Discount]]</f>
        <v>0.36199999999999999</v>
      </c>
      <c r="Y492" s="4">
        <f>Sheet1[[#This Row],[Shipping_cost]]*Sheet1[[#This Row],[Quantity]]</f>
        <v>7.52</v>
      </c>
      <c r="Z492" s="4">
        <f>Sheet1[[#This Row],[Total Profit]]-Sheet1[[#This Row],[Total Shipping Cost]]</f>
        <v>14.2</v>
      </c>
      <c r="AA492" s="4" t="str">
        <f>IF(Sheet1[[#This Row],[Net Profit]]&gt;0,"Profit","Loss")</f>
        <v>Profit</v>
      </c>
    </row>
    <row r="493" spans="1:27" x14ac:dyDescent="0.25">
      <c r="A493" t="s">
        <v>362</v>
      </c>
      <c r="B493" s="1">
        <v>40578</v>
      </c>
      <c r="C493" s="1">
        <v>40582</v>
      </c>
      <c r="D493" t="s">
        <v>1</v>
      </c>
      <c r="E493" t="s">
        <v>559</v>
      </c>
      <c r="F493" t="s">
        <v>26</v>
      </c>
      <c r="G493" t="s">
        <v>114</v>
      </c>
      <c r="H493" t="s">
        <v>115</v>
      </c>
      <c r="I493" t="s">
        <v>29</v>
      </c>
      <c r="J493" t="s">
        <v>76</v>
      </c>
      <c r="K493" t="s">
        <v>7</v>
      </c>
      <c r="L493" t="s">
        <v>87</v>
      </c>
      <c r="M493">
        <v>27</v>
      </c>
      <c r="N493">
        <v>3</v>
      </c>
      <c r="O493">
        <v>0</v>
      </c>
      <c r="P493">
        <v>5.94</v>
      </c>
      <c r="Q493">
        <v>3.33</v>
      </c>
      <c r="R493" t="s">
        <v>23</v>
      </c>
      <c r="S493">
        <f>Sheet1[[#This Row],[Ship_date]]-Sheet1[[#This Row],[Order_date]]</f>
        <v>4</v>
      </c>
      <c r="T493">
        <f>Sheet1[[#This Row],[Quantity]]*Sheet1[[#This Row],[Sales]]</f>
        <v>81</v>
      </c>
      <c r="U493">
        <f>Sheet1[[#This Row],[Total Sales]]*Sheet1[[#This Row],[Discount]]</f>
        <v>0</v>
      </c>
      <c r="V493" s="4">
        <f>Sheet1[[#This Row],[Total Sales]]-Sheet1[[#This Row],[Total Sales]]*Sheet1[[#This Row],[Discount]]</f>
        <v>81</v>
      </c>
      <c r="W493" s="4">
        <f>Sheet1[[#This Row],[Quantity]]*Sheet1[[#This Row],[Profit]]</f>
        <v>17.82</v>
      </c>
      <c r="X493" s="5">
        <f>Sheet1[[#This Row],[Total Profit]]/Sheet1[[#This Row],[Sales After Discount]]</f>
        <v>0.22</v>
      </c>
      <c r="Y493" s="4">
        <f>Sheet1[[#This Row],[Shipping_cost]]*Sheet1[[#This Row],[Quantity]]</f>
        <v>9.99</v>
      </c>
      <c r="Z493" s="4">
        <f>Sheet1[[#This Row],[Total Profit]]-Sheet1[[#This Row],[Total Shipping Cost]]</f>
        <v>7.83</v>
      </c>
      <c r="AA493" s="4" t="str">
        <f>IF(Sheet1[[#This Row],[Net Profit]]&gt;0,"Profit","Loss")</f>
        <v>Profit</v>
      </c>
    </row>
    <row r="494" spans="1:27" x14ac:dyDescent="0.25">
      <c r="A494" t="s">
        <v>739</v>
      </c>
      <c r="B494" s="1">
        <v>40578</v>
      </c>
      <c r="C494" s="1">
        <v>40581</v>
      </c>
      <c r="D494" t="s">
        <v>18</v>
      </c>
      <c r="E494" t="s">
        <v>504</v>
      </c>
      <c r="F494" t="s">
        <v>3</v>
      </c>
      <c r="G494" t="s">
        <v>740</v>
      </c>
      <c r="H494" t="s">
        <v>126</v>
      </c>
      <c r="I494" t="s">
        <v>127</v>
      </c>
      <c r="J494" t="s">
        <v>192</v>
      </c>
      <c r="K494" t="s">
        <v>7</v>
      </c>
      <c r="L494" t="s">
        <v>137</v>
      </c>
      <c r="M494">
        <v>13</v>
      </c>
      <c r="N494">
        <v>3</v>
      </c>
      <c r="O494">
        <v>0.2</v>
      </c>
      <c r="P494">
        <v>4.3133999999999997</v>
      </c>
      <c r="Q494">
        <v>2.2599999999999998</v>
      </c>
      <c r="R494" t="s">
        <v>23</v>
      </c>
      <c r="S494">
        <f>Sheet1[[#This Row],[Ship_date]]-Sheet1[[#This Row],[Order_date]]</f>
        <v>3</v>
      </c>
      <c r="T494">
        <f>Sheet1[[#This Row],[Quantity]]*Sheet1[[#This Row],[Sales]]</f>
        <v>39</v>
      </c>
      <c r="U494">
        <f>Sheet1[[#This Row],[Total Sales]]*Sheet1[[#This Row],[Discount]]</f>
        <v>7.8000000000000007</v>
      </c>
      <c r="V494" s="4">
        <f>Sheet1[[#This Row],[Total Sales]]-Sheet1[[#This Row],[Total Sales]]*Sheet1[[#This Row],[Discount]]</f>
        <v>31.2</v>
      </c>
      <c r="W494" s="4">
        <f>Sheet1[[#This Row],[Quantity]]*Sheet1[[#This Row],[Profit]]</f>
        <v>12.940199999999999</v>
      </c>
      <c r="X494" s="5">
        <f>Sheet1[[#This Row],[Total Profit]]/Sheet1[[#This Row],[Sales After Discount]]</f>
        <v>0.41474999999999995</v>
      </c>
      <c r="Y494" s="4">
        <f>Sheet1[[#This Row],[Shipping_cost]]*Sheet1[[#This Row],[Quantity]]</f>
        <v>6.7799999999999994</v>
      </c>
      <c r="Z494" s="4">
        <f>Sheet1[[#This Row],[Total Profit]]-Sheet1[[#This Row],[Total Shipping Cost]]</f>
        <v>6.1601999999999997</v>
      </c>
      <c r="AA494" s="4" t="str">
        <f>IF(Sheet1[[#This Row],[Net Profit]]&gt;0,"Profit","Loss")</f>
        <v>Profit</v>
      </c>
    </row>
    <row r="495" spans="1:27" x14ac:dyDescent="0.25">
      <c r="A495" t="s">
        <v>735</v>
      </c>
      <c r="B495" s="1">
        <v>40578</v>
      </c>
      <c r="C495" s="1">
        <v>40583</v>
      </c>
      <c r="D495" t="s">
        <v>18</v>
      </c>
      <c r="E495" t="s">
        <v>736</v>
      </c>
      <c r="F495" t="s">
        <v>43</v>
      </c>
      <c r="G495" t="s">
        <v>737</v>
      </c>
      <c r="H495" t="s">
        <v>259</v>
      </c>
      <c r="I495" t="s">
        <v>6</v>
      </c>
      <c r="J495" t="s">
        <v>6</v>
      </c>
      <c r="K495" t="s">
        <v>32</v>
      </c>
      <c r="L495" t="s">
        <v>33</v>
      </c>
      <c r="M495">
        <v>53</v>
      </c>
      <c r="N495">
        <v>2</v>
      </c>
      <c r="O495">
        <v>0</v>
      </c>
      <c r="P495">
        <v>14.76</v>
      </c>
      <c r="Q495">
        <v>1.77</v>
      </c>
      <c r="R495" t="s">
        <v>9</v>
      </c>
      <c r="S495">
        <f>Sheet1[[#This Row],[Ship_date]]-Sheet1[[#This Row],[Order_date]]</f>
        <v>5</v>
      </c>
      <c r="T495">
        <f>Sheet1[[#This Row],[Quantity]]*Sheet1[[#This Row],[Sales]]</f>
        <v>106</v>
      </c>
      <c r="U495">
        <f>Sheet1[[#This Row],[Total Sales]]*Sheet1[[#This Row],[Discount]]</f>
        <v>0</v>
      </c>
      <c r="V495" s="4">
        <f>Sheet1[[#This Row],[Total Sales]]-Sheet1[[#This Row],[Total Sales]]*Sheet1[[#This Row],[Discount]]</f>
        <v>106</v>
      </c>
      <c r="W495" s="4">
        <f>Sheet1[[#This Row],[Quantity]]*Sheet1[[#This Row],[Profit]]</f>
        <v>29.52</v>
      </c>
      <c r="X495" s="5">
        <f>Sheet1[[#This Row],[Total Profit]]/Sheet1[[#This Row],[Sales After Discount]]</f>
        <v>0.27849056603773586</v>
      </c>
      <c r="Y495" s="4">
        <f>Sheet1[[#This Row],[Shipping_cost]]*Sheet1[[#This Row],[Quantity]]</f>
        <v>3.54</v>
      </c>
      <c r="Z495" s="4">
        <f>Sheet1[[#This Row],[Total Profit]]-Sheet1[[#This Row],[Total Shipping Cost]]</f>
        <v>25.98</v>
      </c>
      <c r="AA495" s="4" t="str">
        <f>IF(Sheet1[[#This Row],[Net Profit]]&gt;0,"Profit","Loss")</f>
        <v>Profit</v>
      </c>
    </row>
    <row r="496" spans="1:27" x14ac:dyDescent="0.25">
      <c r="A496" t="s">
        <v>741</v>
      </c>
      <c r="B496" s="1">
        <v>40578</v>
      </c>
      <c r="C496" s="1">
        <v>40583</v>
      </c>
      <c r="D496" t="s">
        <v>18</v>
      </c>
      <c r="E496" t="s">
        <v>742</v>
      </c>
      <c r="F496" t="s">
        <v>26</v>
      </c>
      <c r="G496" t="s">
        <v>222</v>
      </c>
      <c r="H496" t="s">
        <v>223</v>
      </c>
      <c r="I496" t="s">
        <v>6</v>
      </c>
      <c r="J496" t="s">
        <v>6</v>
      </c>
      <c r="K496" t="s">
        <v>7</v>
      </c>
      <c r="L496" t="s">
        <v>91</v>
      </c>
      <c r="M496">
        <v>7</v>
      </c>
      <c r="N496">
        <v>2</v>
      </c>
      <c r="O496">
        <v>0.7</v>
      </c>
      <c r="P496">
        <v>-10.698</v>
      </c>
      <c r="Q496">
        <v>0.35</v>
      </c>
      <c r="R496" t="s">
        <v>9</v>
      </c>
      <c r="S496">
        <f>Sheet1[[#This Row],[Ship_date]]-Sheet1[[#This Row],[Order_date]]</f>
        <v>5</v>
      </c>
      <c r="T496">
        <f>Sheet1[[#This Row],[Quantity]]*Sheet1[[#This Row],[Sales]]</f>
        <v>14</v>
      </c>
      <c r="U496">
        <f>Sheet1[[#This Row],[Total Sales]]*Sheet1[[#This Row],[Discount]]</f>
        <v>9.7999999999999989</v>
      </c>
      <c r="V496" s="4">
        <f>Sheet1[[#This Row],[Total Sales]]-Sheet1[[#This Row],[Total Sales]]*Sheet1[[#This Row],[Discount]]</f>
        <v>4.2000000000000011</v>
      </c>
      <c r="W496" s="4">
        <f>Sheet1[[#This Row],[Quantity]]*Sheet1[[#This Row],[Profit]]</f>
        <v>-21.396000000000001</v>
      </c>
      <c r="X496" s="5">
        <f>Sheet1[[#This Row],[Total Profit]]/Sheet1[[#This Row],[Sales After Discount]]</f>
        <v>-5.0942857142857134</v>
      </c>
      <c r="Y496" s="4">
        <f>Sheet1[[#This Row],[Shipping_cost]]*Sheet1[[#This Row],[Quantity]]</f>
        <v>0.7</v>
      </c>
      <c r="Z496" s="4">
        <f>Sheet1[[#This Row],[Total Profit]]-Sheet1[[#This Row],[Total Shipping Cost]]</f>
        <v>-22.096</v>
      </c>
      <c r="AA496" s="4" t="str">
        <f>IF(Sheet1[[#This Row],[Net Profit]]&gt;0,"Profit","Loss")</f>
        <v>Loss</v>
      </c>
    </row>
    <row r="497" spans="1:27" x14ac:dyDescent="0.25">
      <c r="A497" t="s">
        <v>735</v>
      </c>
      <c r="B497" s="1">
        <v>40578</v>
      </c>
      <c r="C497" s="1">
        <v>40583</v>
      </c>
      <c r="D497" t="s">
        <v>18</v>
      </c>
      <c r="E497" t="s">
        <v>736</v>
      </c>
      <c r="F497" t="s">
        <v>43</v>
      </c>
      <c r="G497" t="s">
        <v>737</v>
      </c>
      <c r="H497" t="s">
        <v>259</v>
      </c>
      <c r="I497" t="s">
        <v>6</v>
      </c>
      <c r="J497" t="s">
        <v>6</v>
      </c>
      <c r="K497" t="s">
        <v>7</v>
      </c>
      <c r="L497" t="s">
        <v>137</v>
      </c>
      <c r="M497">
        <v>4</v>
      </c>
      <c r="N497">
        <v>1</v>
      </c>
      <c r="O497">
        <v>0</v>
      </c>
      <c r="P497">
        <v>0</v>
      </c>
      <c r="Q497">
        <v>0.19</v>
      </c>
      <c r="R497" t="s">
        <v>9</v>
      </c>
      <c r="S497">
        <f>Sheet1[[#This Row],[Ship_date]]-Sheet1[[#This Row],[Order_date]]</f>
        <v>5</v>
      </c>
      <c r="T497">
        <f>Sheet1[[#This Row],[Quantity]]*Sheet1[[#This Row],[Sales]]</f>
        <v>4</v>
      </c>
      <c r="U497">
        <f>Sheet1[[#This Row],[Total Sales]]*Sheet1[[#This Row],[Discount]]</f>
        <v>0</v>
      </c>
      <c r="V497" s="4">
        <f>Sheet1[[#This Row],[Total Sales]]-Sheet1[[#This Row],[Total Sales]]*Sheet1[[#This Row],[Discount]]</f>
        <v>4</v>
      </c>
      <c r="W497" s="4">
        <f>Sheet1[[#This Row],[Quantity]]*Sheet1[[#This Row],[Profit]]</f>
        <v>0</v>
      </c>
      <c r="X497" s="5">
        <f>Sheet1[[#This Row],[Total Profit]]/Sheet1[[#This Row],[Sales After Discount]]</f>
        <v>0</v>
      </c>
      <c r="Y497" s="4">
        <f>Sheet1[[#This Row],[Shipping_cost]]*Sheet1[[#This Row],[Quantity]]</f>
        <v>0.19</v>
      </c>
      <c r="Z497" s="4">
        <f>Sheet1[[#This Row],[Total Profit]]-Sheet1[[#This Row],[Total Shipping Cost]]</f>
        <v>-0.19</v>
      </c>
      <c r="AA497" s="4" t="str">
        <f>IF(Sheet1[[#This Row],[Net Profit]]&gt;0,"Profit","Loss")</f>
        <v>Loss</v>
      </c>
    </row>
    <row r="498" spans="1:27" x14ac:dyDescent="0.25">
      <c r="A498" t="s">
        <v>743</v>
      </c>
      <c r="B498" s="1">
        <v>40579</v>
      </c>
      <c r="C498" s="1">
        <v>40586</v>
      </c>
      <c r="D498" t="s">
        <v>1</v>
      </c>
      <c r="E498" t="s">
        <v>744</v>
      </c>
      <c r="F498" t="s">
        <v>3</v>
      </c>
      <c r="G498" t="s">
        <v>354</v>
      </c>
      <c r="H498" t="s">
        <v>285</v>
      </c>
      <c r="I498" t="s">
        <v>22</v>
      </c>
      <c r="J498" t="s">
        <v>22</v>
      </c>
      <c r="K498" t="s">
        <v>32</v>
      </c>
      <c r="L498" t="s">
        <v>56</v>
      </c>
      <c r="M498">
        <v>59</v>
      </c>
      <c r="N498">
        <v>2</v>
      </c>
      <c r="O498">
        <v>0.6</v>
      </c>
      <c r="P498">
        <v>-69.84</v>
      </c>
      <c r="Q498">
        <v>4.7699999999999996</v>
      </c>
      <c r="R498" t="s">
        <v>51</v>
      </c>
      <c r="S498">
        <f>Sheet1[[#This Row],[Ship_date]]-Sheet1[[#This Row],[Order_date]]</f>
        <v>7</v>
      </c>
      <c r="T498">
        <f>Sheet1[[#This Row],[Quantity]]*Sheet1[[#This Row],[Sales]]</f>
        <v>118</v>
      </c>
      <c r="U498">
        <f>Sheet1[[#This Row],[Total Sales]]*Sheet1[[#This Row],[Discount]]</f>
        <v>70.8</v>
      </c>
      <c r="V498" s="4">
        <f>Sheet1[[#This Row],[Total Sales]]-Sheet1[[#This Row],[Total Sales]]*Sheet1[[#This Row],[Discount]]</f>
        <v>47.2</v>
      </c>
      <c r="W498" s="4">
        <f>Sheet1[[#This Row],[Quantity]]*Sheet1[[#This Row],[Profit]]</f>
        <v>-139.68</v>
      </c>
      <c r="X498" s="5">
        <f>Sheet1[[#This Row],[Total Profit]]/Sheet1[[#This Row],[Sales After Discount]]</f>
        <v>-2.9593220338983048</v>
      </c>
      <c r="Y498" s="4">
        <f>Sheet1[[#This Row],[Shipping_cost]]*Sheet1[[#This Row],[Quantity]]</f>
        <v>9.5399999999999991</v>
      </c>
      <c r="Z498" s="4">
        <f>Sheet1[[#This Row],[Total Profit]]-Sheet1[[#This Row],[Total Shipping Cost]]</f>
        <v>-149.22</v>
      </c>
      <c r="AA498" s="4" t="str">
        <f>IF(Sheet1[[#This Row],[Net Profit]]&gt;0,"Profit","Loss")</f>
        <v>Loss</v>
      </c>
    </row>
    <row r="499" spans="1:27" x14ac:dyDescent="0.25">
      <c r="A499" t="s">
        <v>745</v>
      </c>
      <c r="B499" s="1">
        <v>40579</v>
      </c>
      <c r="C499" s="1">
        <v>40583</v>
      </c>
      <c r="D499" t="s">
        <v>18</v>
      </c>
      <c r="E499" t="s">
        <v>746</v>
      </c>
      <c r="F499" t="s">
        <v>43</v>
      </c>
      <c r="G499" t="s">
        <v>191</v>
      </c>
      <c r="H499" t="s">
        <v>126</v>
      </c>
      <c r="I499" t="s">
        <v>127</v>
      </c>
      <c r="J499" t="s">
        <v>192</v>
      </c>
      <c r="K499" t="s">
        <v>7</v>
      </c>
      <c r="L499" t="s">
        <v>137</v>
      </c>
      <c r="M499">
        <v>17</v>
      </c>
      <c r="N499">
        <v>2</v>
      </c>
      <c r="O499">
        <v>0.2</v>
      </c>
      <c r="P499">
        <v>6.0368000000000004</v>
      </c>
      <c r="Q499">
        <v>3.37</v>
      </c>
      <c r="R499" t="s">
        <v>23</v>
      </c>
      <c r="S499">
        <f>Sheet1[[#This Row],[Ship_date]]-Sheet1[[#This Row],[Order_date]]</f>
        <v>4</v>
      </c>
      <c r="T499">
        <f>Sheet1[[#This Row],[Quantity]]*Sheet1[[#This Row],[Sales]]</f>
        <v>34</v>
      </c>
      <c r="U499">
        <f>Sheet1[[#This Row],[Total Sales]]*Sheet1[[#This Row],[Discount]]</f>
        <v>6.8000000000000007</v>
      </c>
      <c r="V499" s="4">
        <f>Sheet1[[#This Row],[Total Sales]]-Sheet1[[#This Row],[Total Sales]]*Sheet1[[#This Row],[Discount]]</f>
        <v>27.2</v>
      </c>
      <c r="W499" s="4">
        <f>Sheet1[[#This Row],[Quantity]]*Sheet1[[#This Row],[Profit]]</f>
        <v>12.073600000000001</v>
      </c>
      <c r="X499" s="5">
        <f>Sheet1[[#This Row],[Total Profit]]/Sheet1[[#This Row],[Sales After Discount]]</f>
        <v>0.44388235294117651</v>
      </c>
      <c r="Y499" s="4">
        <f>Sheet1[[#This Row],[Shipping_cost]]*Sheet1[[#This Row],[Quantity]]</f>
        <v>6.74</v>
      </c>
      <c r="Z499" s="4">
        <f>Sheet1[[#This Row],[Total Profit]]-Sheet1[[#This Row],[Total Shipping Cost]]</f>
        <v>5.3336000000000006</v>
      </c>
      <c r="AA499" s="4" t="str">
        <f>IF(Sheet1[[#This Row],[Net Profit]]&gt;0,"Profit","Loss")</f>
        <v>Profit</v>
      </c>
    </row>
    <row r="500" spans="1:27" x14ac:dyDescent="0.25">
      <c r="A500" t="s">
        <v>747</v>
      </c>
      <c r="B500" s="1">
        <v>40579</v>
      </c>
      <c r="C500" s="1">
        <v>40583</v>
      </c>
      <c r="D500" t="s">
        <v>1</v>
      </c>
      <c r="E500" t="s">
        <v>748</v>
      </c>
      <c r="F500" t="s">
        <v>26</v>
      </c>
      <c r="G500" t="s">
        <v>191</v>
      </c>
      <c r="H500" t="s">
        <v>126</v>
      </c>
      <c r="I500" t="s">
        <v>127</v>
      </c>
      <c r="J500" t="s">
        <v>192</v>
      </c>
      <c r="K500" t="s">
        <v>7</v>
      </c>
      <c r="L500" t="s">
        <v>31</v>
      </c>
      <c r="M500">
        <v>34</v>
      </c>
      <c r="N500">
        <v>4</v>
      </c>
      <c r="O500">
        <v>0</v>
      </c>
      <c r="P500">
        <v>16.0928</v>
      </c>
      <c r="Q500">
        <v>3.16</v>
      </c>
      <c r="R500" t="s">
        <v>23</v>
      </c>
      <c r="S500">
        <f>Sheet1[[#This Row],[Ship_date]]-Sheet1[[#This Row],[Order_date]]</f>
        <v>4</v>
      </c>
      <c r="T500">
        <f>Sheet1[[#This Row],[Quantity]]*Sheet1[[#This Row],[Sales]]</f>
        <v>136</v>
      </c>
      <c r="U500">
        <f>Sheet1[[#This Row],[Total Sales]]*Sheet1[[#This Row],[Discount]]</f>
        <v>0</v>
      </c>
      <c r="V500" s="4">
        <f>Sheet1[[#This Row],[Total Sales]]-Sheet1[[#This Row],[Total Sales]]*Sheet1[[#This Row],[Discount]]</f>
        <v>136</v>
      </c>
      <c r="W500" s="4">
        <f>Sheet1[[#This Row],[Quantity]]*Sheet1[[#This Row],[Profit]]</f>
        <v>64.371200000000002</v>
      </c>
      <c r="X500" s="5">
        <f>Sheet1[[#This Row],[Total Profit]]/Sheet1[[#This Row],[Sales After Discount]]</f>
        <v>0.47331764705882357</v>
      </c>
      <c r="Y500" s="4">
        <f>Sheet1[[#This Row],[Shipping_cost]]*Sheet1[[#This Row],[Quantity]]</f>
        <v>12.64</v>
      </c>
      <c r="Z500" s="4">
        <f>Sheet1[[#This Row],[Total Profit]]-Sheet1[[#This Row],[Total Shipping Cost]]</f>
        <v>51.731200000000001</v>
      </c>
      <c r="AA500" s="4" t="str">
        <f>IF(Sheet1[[#This Row],[Net Profit]]&gt;0,"Profit","Loss")</f>
        <v>Profit</v>
      </c>
    </row>
    <row r="501" spans="1:27" x14ac:dyDescent="0.25">
      <c r="A501" t="s">
        <v>747</v>
      </c>
      <c r="B501" s="1">
        <v>40579</v>
      </c>
      <c r="C501" s="1">
        <v>40583</v>
      </c>
      <c r="D501" t="s">
        <v>1</v>
      </c>
      <c r="E501" t="s">
        <v>748</v>
      </c>
      <c r="F501" t="s">
        <v>26</v>
      </c>
      <c r="G501" t="s">
        <v>191</v>
      </c>
      <c r="H501" t="s">
        <v>126</v>
      </c>
      <c r="I501" t="s">
        <v>127</v>
      </c>
      <c r="J501" t="s">
        <v>192</v>
      </c>
      <c r="K501" t="s">
        <v>7</v>
      </c>
      <c r="L501" t="s">
        <v>137</v>
      </c>
      <c r="M501">
        <v>83</v>
      </c>
      <c r="N501">
        <v>3</v>
      </c>
      <c r="O501">
        <v>0.2</v>
      </c>
      <c r="P501">
        <v>29.0136</v>
      </c>
      <c r="Q501">
        <v>2.5499999999999998</v>
      </c>
      <c r="R501" t="s">
        <v>23</v>
      </c>
      <c r="S501">
        <f>Sheet1[[#This Row],[Ship_date]]-Sheet1[[#This Row],[Order_date]]</f>
        <v>4</v>
      </c>
      <c r="T501">
        <f>Sheet1[[#This Row],[Quantity]]*Sheet1[[#This Row],[Sales]]</f>
        <v>249</v>
      </c>
      <c r="U501">
        <f>Sheet1[[#This Row],[Total Sales]]*Sheet1[[#This Row],[Discount]]</f>
        <v>49.800000000000004</v>
      </c>
      <c r="V501" s="4">
        <f>Sheet1[[#This Row],[Total Sales]]-Sheet1[[#This Row],[Total Sales]]*Sheet1[[#This Row],[Discount]]</f>
        <v>199.2</v>
      </c>
      <c r="W501" s="4">
        <f>Sheet1[[#This Row],[Quantity]]*Sheet1[[#This Row],[Profit]]</f>
        <v>87.040800000000004</v>
      </c>
      <c r="X501" s="5">
        <f>Sheet1[[#This Row],[Total Profit]]/Sheet1[[#This Row],[Sales After Discount]]</f>
        <v>0.43695180722891569</v>
      </c>
      <c r="Y501" s="4">
        <f>Sheet1[[#This Row],[Shipping_cost]]*Sheet1[[#This Row],[Quantity]]</f>
        <v>7.6499999999999995</v>
      </c>
      <c r="Z501" s="4">
        <f>Sheet1[[#This Row],[Total Profit]]-Sheet1[[#This Row],[Total Shipping Cost]]</f>
        <v>79.390799999999999</v>
      </c>
      <c r="AA501" s="4" t="str">
        <f>IF(Sheet1[[#This Row],[Net Profit]]&gt;0,"Profit","Loss")</f>
        <v>Profit</v>
      </c>
    </row>
    <row r="502" spans="1:27" x14ac:dyDescent="0.25">
      <c r="A502" t="s">
        <v>743</v>
      </c>
      <c r="B502" s="1">
        <v>40579</v>
      </c>
      <c r="C502" s="1">
        <v>40586</v>
      </c>
      <c r="D502" t="s">
        <v>1</v>
      </c>
      <c r="E502" t="s">
        <v>744</v>
      </c>
      <c r="F502" t="s">
        <v>3</v>
      </c>
      <c r="G502" t="s">
        <v>354</v>
      </c>
      <c r="H502" t="s">
        <v>285</v>
      </c>
      <c r="I502" t="s">
        <v>22</v>
      </c>
      <c r="J502" t="s">
        <v>22</v>
      </c>
      <c r="K502" t="s">
        <v>7</v>
      </c>
      <c r="L502" t="s">
        <v>8</v>
      </c>
      <c r="M502">
        <v>20</v>
      </c>
      <c r="N502">
        <v>1</v>
      </c>
      <c r="O502">
        <v>0.6</v>
      </c>
      <c r="P502">
        <v>-7.3559999999999999</v>
      </c>
      <c r="Q502">
        <v>2.2200000000000002</v>
      </c>
      <c r="R502" t="s">
        <v>51</v>
      </c>
      <c r="S502">
        <f>Sheet1[[#This Row],[Ship_date]]-Sheet1[[#This Row],[Order_date]]</f>
        <v>7</v>
      </c>
      <c r="T502">
        <f>Sheet1[[#This Row],[Quantity]]*Sheet1[[#This Row],[Sales]]</f>
        <v>20</v>
      </c>
      <c r="U502">
        <f>Sheet1[[#This Row],[Total Sales]]*Sheet1[[#This Row],[Discount]]</f>
        <v>12</v>
      </c>
      <c r="V502" s="4">
        <f>Sheet1[[#This Row],[Total Sales]]-Sheet1[[#This Row],[Total Sales]]*Sheet1[[#This Row],[Discount]]</f>
        <v>8</v>
      </c>
      <c r="W502" s="4">
        <f>Sheet1[[#This Row],[Quantity]]*Sheet1[[#This Row],[Profit]]</f>
        <v>-7.3559999999999999</v>
      </c>
      <c r="X502" s="5">
        <f>Sheet1[[#This Row],[Total Profit]]/Sheet1[[#This Row],[Sales After Discount]]</f>
        <v>-0.91949999999999998</v>
      </c>
      <c r="Y502" s="4">
        <f>Sheet1[[#This Row],[Shipping_cost]]*Sheet1[[#This Row],[Quantity]]</f>
        <v>2.2200000000000002</v>
      </c>
      <c r="Z502" s="4">
        <f>Sheet1[[#This Row],[Total Profit]]-Sheet1[[#This Row],[Total Shipping Cost]]</f>
        <v>-9.5760000000000005</v>
      </c>
      <c r="AA502" s="4" t="str">
        <f>IF(Sheet1[[#This Row],[Net Profit]]&gt;0,"Profit","Loss")</f>
        <v>Loss</v>
      </c>
    </row>
    <row r="503" spans="1:27" x14ac:dyDescent="0.25">
      <c r="A503" t="s">
        <v>743</v>
      </c>
      <c r="B503" s="1">
        <v>40579</v>
      </c>
      <c r="C503" s="1">
        <v>40586</v>
      </c>
      <c r="D503" t="s">
        <v>1</v>
      </c>
      <c r="E503" t="s">
        <v>744</v>
      </c>
      <c r="F503" t="s">
        <v>3</v>
      </c>
      <c r="G503" t="s">
        <v>354</v>
      </c>
      <c r="H503" t="s">
        <v>285</v>
      </c>
      <c r="I503" t="s">
        <v>22</v>
      </c>
      <c r="J503" t="s">
        <v>22</v>
      </c>
      <c r="K503" t="s">
        <v>32</v>
      </c>
      <c r="L503" t="s">
        <v>33</v>
      </c>
      <c r="M503">
        <v>8</v>
      </c>
      <c r="N503">
        <v>1</v>
      </c>
      <c r="O503">
        <v>0.6</v>
      </c>
      <c r="P503">
        <v>-2.6219999999999999</v>
      </c>
      <c r="Q503">
        <v>0.55000000000000004</v>
      </c>
      <c r="R503" t="s">
        <v>51</v>
      </c>
      <c r="S503">
        <f>Sheet1[[#This Row],[Ship_date]]-Sheet1[[#This Row],[Order_date]]</f>
        <v>7</v>
      </c>
      <c r="T503">
        <f>Sheet1[[#This Row],[Quantity]]*Sheet1[[#This Row],[Sales]]</f>
        <v>8</v>
      </c>
      <c r="U503">
        <f>Sheet1[[#This Row],[Total Sales]]*Sheet1[[#This Row],[Discount]]</f>
        <v>4.8</v>
      </c>
      <c r="V503" s="4">
        <f>Sheet1[[#This Row],[Total Sales]]-Sheet1[[#This Row],[Total Sales]]*Sheet1[[#This Row],[Discount]]</f>
        <v>3.2</v>
      </c>
      <c r="W503" s="4">
        <f>Sheet1[[#This Row],[Quantity]]*Sheet1[[#This Row],[Profit]]</f>
        <v>-2.6219999999999999</v>
      </c>
      <c r="X503" s="5">
        <f>Sheet1[[#This Row],[Total Profit]]/Sheet1[[#This Row],[Sales After Discount]]</f>
        <v>-0.81937499999999996</v>
      </c>
      <c r="Y503" s="4">
        <f>Sheet1[[#This Row],[Shipping_cost]]*Sheet1[[#This Row],[Quantity]]</f>
        <v>0.55000000000000004</v>
      </c>
      <c r="Z503" s="4">
        <f>Sheet1[[#This Row],[Total Profit]]-Sheet1[[#This Row],[Total Shipping Cost]]</f>
        <v>-3.1719999999999997</v>
      </c>
      <c r="AA503" s="4" t="str">
        <f>IF(Sheet1[[#This Row],[Net Profit]]&gt;0,"Profit","Loss")</f>
        <v>Loss</v>
      </c>
    </row>
    <row r="504" spans="1:27" x14ac:dyDescent="0.25">
      <c r="A504" t="s">
        <v>749</v>
      </c>
      <c r="B504" s="1">
        <v>40580</v>
      </c>
      <c r="C504" s="1">
        <v>40584</v>
      </c>
      <c r="D504" t="s">
        <v>18</v>
      </c>
      <c r="E504" t="s">
        <v>750</v>
      </c>
      <c r="F504" t="s">
        <v>3</v>
      </c>
      <c r="G504" t="s">
        <v>751</v>
      </c>
      <c r="H504" t="s">
        <v>285</v>
      </c>
      <c r="I504" t="s">
        <v>22</v>
      </c>
      <c r="J504" t="s">
        <v>22</v>
      </c>
      <c r="K504" t="s">
        <v>7</v>
      </c>
      <c r="L504" t="s">
        <v>87</v>
      </c>
      <c r="M504">
        <v>3</v>
      </c>
      <c r="N504">
        <v>1</v>
      </c>
      <c r="O504">
        <v>0.6</v>
      </c>
      <c r="P504">
        <v>-2.3519999999999999</v>
      </c>
      <c r="Q504">
        <v>0.23</v>
      </c>
      <c r="R504" t="s">
        <v>9</v>
      </c>
      <c r="S504">
        <f>Sheet1[[#This Row],[Ship_date]]-Sheet1[[#This Row],[Order_date]]</f>
        <v>4</v>
      </c>
      <c r="T504">
        <f>Sheet1[[#This Row],[Quantity]]*Sheet1[[#This Row],[Sales]]</f>
        <v>3</v>
      </c>
      <c r="U504">
        <f>Sheet1[[#This Row],[Total Sales]]*Sheet1[[#This Row],[Discount]]</f>
        <v>1.7999999999999998</v>
      </c>
      <c r="V504" s="4">
        <f>Sheet1[[#This Row],[Total Sales]]-Sheet1[[#This Row],[Total Sales]]*Sheet1[[#This Row],[Discount]]</f>
        <v>1.2000000000000002</v>
      </c>
      <c r="W504" s="4">
        <f>Sheet1[[#This Row],[Quantity]]*Sheet1[[#This Row],[Profit]]</f>
        <v>-2.3519999999999999</v>
      </c>
      <c r="X504" s="5">
        <f>Sheet1[[#This Row],[Total Profit]]/Sheet1[[#This Row],[Sales After Discount]]</f>
        <v>-1.9599999999999995</v>
      </c>
      <c r="Y504" s="4">
        <f>Sheet1[[#This Row],[Shipping_cost]]*Sheet1[[#This Row],[Quantity]]</f>
        <v>0.23</v>
      </c>
      <c r="Z504" s="4">
        <f>Sheet1[[#This Row],[Total Profit]]-Sheet1[[#This Row],[Total Shipping Cost]]</f>
        <v>-2.5819999999999999</v>
      </c>
      <c r="AA504" s="4" t="str">
        <f>IF(Sheet1[[#This Row],[Net Profit]]&gt;0,"Profit","Loss")</f>
        <v>Loss</v>
      </c>
    </row>
    <row r="505" spans="1:27" x14ac:dyDescent="0.25">
      <c r="A505" t="s">
        <v>752</v>
      </c>
      <c r="B505" s="1">
        <v>40581</v>
      </c>
      <c r="C505" s="1">
        <v>40584</v>
      </c>
      <c r="D505" t="s">
        <v>142</v>
      </c>
      <c r="E505" t="s">
        <v>753</v>
      </c>
      <c r="F505" t="s">
        <v>43</v>
      </c>
      <c r="G505" t="s">
        <v>294</v>
      </c>
      <c r="H505" t="s">
        <v>126</v>
      </c>
      <c r="I505" t="s">
        <v>127</v>
      </c>
      <c r="J505" t="s">
        <v>102</v>
      </c>
      <c r="K505" t="s">
        <v>38</v>
      </c>
      <c r="L505" t="s">
        <v>77</v>
      </c>
      <c r="M505">
        <v>145</v>
      </c>
      <c r="N505">
        <v>5</v>
      </c>
      <c r="O505">
        <v>0</v>
      </c>
      <c r="P505">
        <v>42.035499999999999</v>
      </c>
      <c r="Q505">
        <v>33.51</v>
      </c>
      <c r="R505" t="s">
        <v>9</v>
      </c>
      <c r="S505">
        <f>Sheet1[[#This Row],[Ship_date]]-Sheet1[[#This Row],[Order_date]]</f>
        <v>3</v>
      </c>
      <c r="T505">
        <f>Sheet1[[#This Row],[Quantity]]*Sheet1[[#This Row],[Sales]]</f>
        <v>725</v>
      </c>
      <c r="U505">
        <f>Sheet1[[#This Row],[Total Sales]]*Sheet1[[#This Row],[Discount]]</f>
        <v>0</v>
      </c>
      <c r="V505" s="4">
        <f>Sheet1[[#This Row],[Total Sales]]-Sheet1[[#This Row],[Total Sales]]*Sheet1[[#This Row],[Discount]]</f>
        <v>725</v>
      </c>
      <c r="W505" s="4">
        <f>Sheet1[[#This Row],[Quantity]]*Sheet1[[#This Row],[Profit]]</f>
        <v>210.17750000000001</v>
      </c>
      <c r="X505" s="5">
        <f>Sheet1[[#This Row],[Total Profit]]/Sheet1[[#This Row],[Sales After Discount]]</f>
        <v>0.28989999999999999</v>
      </c>
      <c r="Y505" s="4">
        <f>Sheet1[[#This Row],[Shipping_cost]]*Sheet1[[#This Row],[Quantity]]</f>
        <v>167.54999999999998</v>
      </c>
      <c r="Z505" s="4">
        <f>Sheet1[[#This Row],[Total Profit]]-Sheet1[[#This Row],[Total Shipping Cost]]</f>
        <v>42.627500000000026</v>
      </c>
      <c r="AA505" s="4" t="str">
        <f>IF(Sheet1[[#This Row],[Net Profit]]&gt;0,"Profit","Loss")</f>
        <v>Profit</v>
      </c>
    </row>
    <row r="506" spans="1:27" x14ac:dyDescent="0.25">
      <c r="A506" t="s">
        <v>754</v>
      </c>
      <c r="B506" s="1">
        <v>40581</v>
      </c>
      <c r="C506" s="1">
        <v>40586</v>
      </c>
      <c r="D506" t="s">
        <v>18</v>
      </c>
      <c r="E506" t="s">
        <v>755</v>
      </c>
      <c r="F506" t="s">
        <v>3</v>
      </c>
      <c r="G506" t="s">
        <v>70</v>
      </c>
      <c r="H506" t="s">
        <v>71</v>
      </c>
      <c r="I506" t="s">
        <v>14</v>
      </c>
      <c r="J506" t="s">
        <v>61</v>
      </c>
      <c r="K506" t="s">
        <v>7</v>
      </c>
      <c r="L506" t="s">
        <v>8</v>
      </c>
      <c r="M506">
        <v>185</v>
      </c>
      <c r="N506">
        <v>3</v>
      </c>
      <c r="O506">
        <v>0</v>
      </c>
      <c r="P506">
        <v>48.06</v>
      </c>
      <c r="Q506">
        <v>25.86</v>
      </c>
      <c r="R506" t="s">
        <v>9</v>
      </c>
      <c r="S506">
        <f>Sheet1[[#This Row],[Ship_date]]-Sheet1[[#This Row],[Order_date]]</f>
        <v>5</v>
      </c>
      <c r="T506">
        <f>Sheet1[[#This Row],[Quantity]]*Sheet1[[#This Row],[Sales]]</f>
        <v>555</v>
      </c>
      <c r="U506">
        <f>Sheet1[[#This Row],[Total Sales]]*Sheet1[[#This Row],[Discount]]</f>
        <v>0</v>
      </c>
      <c r="V506" s="4">
        <f>Sheet1[[#This Row],[Total Sales]]-Sheet1[[#This Row],[Total Sales]]*Sheet1[[#This Row],[Discount]]</f>
        <v>555</v>
      </c>
      <c r="W506" s="4">
        <f>Sheet1[[#This Row],[Quantity]]*Sheet1[[#This Row],[Profit]]</f>
        <v>144.18</v>
      </c>
      <c r="X506" s="5">
        <f>Sheet1[[#This Row],[Total Profit]]/Sheet1[[#This Row],[Sales After Discount]]</f>
        <v>0.25978378378378381</v>
      </c>
      <c r="Y506" s="4">
        <f>Sheet1[[#This Row],[Shipping_cost]]*Sheet1[[#This Row],[Quantity]]</f>
        <v>77.58</v>
      </c>
      <c r="Z506" s="4">
        <f>Sheet1[[#This Row],[Total Profit]]-Sheet1[[#This Row],[Total Shipping Cost]]</f>
        <v>66.600000000000009</v>
      </c>
      <c r="AA506" s="4" t="str">
        <f>IF(Sheet1[[#This Row],[Net Profit]]&gt;0,"Profit","Loss")</f>
        <v>Profit</v>
      </c>
    </row>
    <row r="507" spans="1:27" x14ac:dyDescent="0.25">
      <c r="A507" t="s">
        <v>752</v>
      </c>
      <c r="B507" s="1">
        <v>40581</v>
      </c>
      <c r="C507" s="1">
        <v>40584</v>
      </c>
      <c r="D507" t="s">
        <v>142</v>
      </c>
      <c r="E507" t="s">
        <v>753</v>
      </c>
      <c r="F507" t="s">
        <v>43</v>
      </c>
      <c r="G507" t="s">
        <v>294</v>
      </c>
      <c r="H507" t="s">
        <v>126</v>
      </c>
      <c r="I507" t="s">
        <v>127</v>
      </c>
      <c r="J507" t="s">
        <v>102</v>
      </c>
      <c r="K507" t="s">
        <v>38</v>
      </c>
      <c r="L507" t="s">
        <v>77</v>
      </c>
      <c r="M507">
        <v>162</v>
      </c>
      <c r="N507">
        <v>1</v>
      </c>
      <c r="O507">
        <v>0</v>
      </c>
      <c r="P507">
        <v>42.018599999999999</v>
      </c>
      <c r="Q507">
        <v>25.28</v>
      </c>
      <c r="R507" t="s">
        <v>9</v>
      </c>
      <c r="S507">
        <f>Sheet1[[#This Row],[Ship_date]]-Sheet1[[#This Row],[Order_date]]</f>
        <v>3</v>
      </c>
      <c r="T507">
        <f>Sheet1[[#This Row],[Quantity]]*Sheet1[[#This Row],[Sales]]</f>
        <v>162</v>
      </c>
      <c r="U507">
        <f>Sheet1[[#This Row],[Total Sales]]*Sheet1[[#This Row],[Discount]]</f>
        <v>0</v>
      </c>
      <c r="V507" s="4">
        <f>Sheet1[[#This Row],[Total Sales]]-Sheet1[[#This Row],[Total Sales]]*Sheet1[[#This Row],[Discount]]</f>
        <v>162</v>
      </c>
      <c r="W507" s="4">
        <f>Sheet1[[#This Row],[Quantity]]*Sheet1[[#This Row],[Profit]]</f>
        <v>42.018599999999999</v>
      </c>
      <c r="X507" s="5">
        <f>Sheet1[[#This Row],[Total Profit]]/Sheet1[[#This Row],[Sales After Discount]]</f>
        <v>0.25937407407407409</v>
      </c>
      <c r="Y507" s="4">
        <f>Sheet1[[#This Row],[Shipping_cost]]*Sheet1[[#This Row],[Quantity]]</f>
        <v>25.28</v>
      </c>
      <c r="Z507" s="4">
        <f>Sheet1[[#This Row],[Total Profit]]-Sheet1[[#This Row],[Total Shipping Cost]]</f>
        <v>16.738599999999998</v>
      </c>
      <c r="AA507" s="4" t="str">
        <f>IF(Sheet1[[#This Row],[Net Profit]]&gt;0,"Profit","Loss")</f>
        <v>Profit</v>
      </c>
    </row>
    <row r="508" spans="1:27" x14ac:dyDescent="0.25">
      <c r="A508" t="s">
        <v>756</v>
      </c>
      <c r="B508" s="1">
        <v>40581</v>
      </c>
      <c r="C508" s="1">
        <v>40587</v>
      </c>
      <c r="D508" t="s">
        <v>1</v>
      </c>
      <c r="E508" t="s">
        <v>757</v>
      </c>
      <c r="F508" t="s">
        <v>3</v>
      </c>
      <c r="G508" t="s">
        <v>758</v>
      </c>
      <c r="H508" t="s">
        <v>169</v>
      </c>
      <c r="I508" t="s">
        <v>14</v>
      </c>
      <c r="J508" t="s">
        <v>132</v>
      </c>
      <c r="K508" t="s">
        <v>7</v>
      </c>
      <c r="L508" t="s">
        <v>44</v>
      </c>
      <c r="M508">
        <v>278</v>
      </c>
      <c r="N508">
        <v>4</v>
      </c>
      <c r="O508">
        <v>0</v>
      </c>
      <c r="P508">
        <v>133.44</v>
      </c>
      <c r="Q508">
        <v>20.16</v>
      </c>
      <c r="R508" t="s">
        <v>9</v>
      </c>
      <c r="S508">
        <f>Sheet1[[#This Row],[Ship_date]]-Sheet1[[#This Row],[Order_date]]</f>
        <v>6</v>
      </c>
      <c r="T508">
        <f>Sheet1[[#This Row],[Quantity]]*Sheet1[[#This Row],[Sales]]</f>
        <v>1112</v>
      </c>
      <c r="U508">
        <f>Sheet1[[#This Row],[Total Sales]]*Sheet1[[#This Row],[Discount]]</f>
        <v>0</v>
      </c>
      <c r="V508" s="4">
        <f>Sheet1[[#This Row],[Total Sales]]-Sheet1[[#This Row],[Total Sales]]*Sheet1[[#This Row],[Discount]]</f>
        <v>1112</v>
      </c>
      <c r="W508" s="4">
        <f>Sheet1[[#This Row],[Quantity]]*Sheet1[[#This Row],[Profit]]</f>
        <v>533.76</v>
      </c>
      <c r="X508" s="5">
        <f>Sheet1[[#This Row],[Total Profit]]/Sheet1[[#This Row],[Sales After Discount]]</f>
        <v>0.48</v>
      </c>
      <c r="Y508" s="4">
        <f>Sheet1[[#This Row],[Shipping_cost]]*Sheet1[[#This Row],[Quantity]]</f>
        <v>80.64</v>
      </c>
      <c r="Z508" s="4">
        <f>Sheet1[[#This Row],[Total Profit]]-Sheet1[[#This Row],[Total Shipping Cost]]</f>
        <v>453.12</v>
      </c>
      <c r="AA508" s="4" t="str">
        <f>IF(Sheet1[[#This Row],[Net Profit]]&gt;0,"Profit","Loss")</f>
        <v>Profit</v>
      </c>
    </row>
    <row r="509" spans="1:27" x14ac:dyDescent="0.25">
      <c r="A509" t="s">
        <v>759</v>
      </c>
      <c r="B509" s="1">
        <v>40581</v>
      </c>
      <c r="C509" s="1">
        <v>40588</v>
      </c>
      <c r="D509" t="s">
        <v>1</v>
      </c>
      <c r="E509" t="s">
        <v>760</v>
      </c>
      <c r="F509" t="s">
        <v>3</v>
      </c>
      <c r="G509" t="s">
        <v>271</v>
      </c>
      <c r="H509" t="s">
        <v>157</v>
      </c>
      <c r="I509" t="s">
        <v>14</v>
      </c>
      <c r="J509" t="s">
        <v>61</v>
      </c>
      <c r="K509" t="s">
        <v>38</v>
      </c>
      <c r="L509" t="s">
        <v>77</v>
      </c>
      <c r="M509">
        <v>252</v>
      </c>
      <c r="N509">
        <v>2</v>
      </c>
      <c r="O509">
        <v>0.17</v>
      </c>
      <c r="P509">
        <v>6.0377999999999998</v>
      </c>
      <c r="Q509">
        <v>11.19</v>
      </c>
      <c r="R509" t="s">
        <v>9</v>
      </c>
      <c r="S509">
        <f>Sheet1[[#This Row],[Ship_date]]-Sheet1[[#This Row],[Order_date]]</f>
        <v>7</v>
      </c>
      <c r="T509">
        <f>Sheet1[[#This Row],[Quantity]]*Sheet1[[#This Row],[Sales]]</f>
        <v>504</v>
      </c>
      <c r="U509">
        <f>Sheet1[[#This Row],[Total Sales]]*Sheet1[[#This Row],[Discount]]</f>
        <v>85.68</v>
      </c>
      <c r="V509" s="4">
        <f>Sheet1[[#This Row],[Total Sales]]-Sheet1[[#This Row],[Total Sales]]*Sheet1[[#This Row],[Discount]]</f>
        <v>418.32</v>
      </c>
      <c r="W509" s="4">
        <f>Sheet1[[#This Row],[Quantity]]*Sheet1[[#This Row],[Profit]]</f>
        <v>12.0756</v>
      </c>
      <c r="X509" s="5">
        <f>Sheet1[[#This Row],[Total Profit]]/Sheet1[[#This Row],[Sales After Discount]]</f>
        <v>2.8866896156052781E-2</v>
      </c>
      <c r="Y509" s="4">
        <f>Sheet1[[#This Row],[Shipping_cost]]*Sheet1[[#This Row],[Quantity]]</f>
        <v>22.38</v>
      </c>
      <c r="Z509" s="4">
        <f>Sheet1[[#This Row],[Total Profit]]-Sheet1[[#This Row],[Total Shipping Cost]]</f>
        <v>-10.304399999999999</v>
      </c>
      <c r="AA509" s="4" t="str">
        <f>IF(Sheet1[[#This Row],[Net Profit]]&gt;0,"Profit","Loss")</f>
        <v>Loss</v>
      </c>
    </row>
    <row r="510" spans="1:27" x14ac:dyDescent="0.25">
      <c r="A510" t="s">
        <v>761</v>
      </c>
      <c r="B510" s="1">
        <v>40581</v>
      </c>
      <c r="C510" s="1">
        <v>40585</v>
      </c>
      <c r="D510" t="s">
        <v>1</v>
      </c>
      <c r="E510" t="s">
        <v>762</v>
      </c>
      <c r="F510" t="s">
        <v>3</v>
      </c>
      <c r="G510" t="s">
        <v>364</v>
      </c>
      <c r="H510" t="s">
        <v>115</v>
      </c>
      <c r="I510" t="s">
        <v>29</v>
      </c>
      <c r="J510" t="s">
        <v>76</v>
      </c>
      <c r="K510" t="s">
        <v>38</v>
      </c>
      <c r="L510" t="s">
        <v>39</v>
      </c>
      <c r="M510">
        <v>208</v>
      </c>
      <c r="N510">
        <v>2</v>
      </c>
      <c r="O510">
        <v>0.15</v>
      </c>
      <c r="P510">
        <v>12.225</v>
      </c>
      <c r="Q510">
        <v>10.45</v>
      </c>
      <c r="R510" t="s">
        <v>23</v>
      </c>
      <c r="S510">
        <f>Sheet1[[#This Row],[Ship_date]]-Sheet1[[#This Row],[Order_date]]</f>
        <v>4</v>
      </c>
      <c r="T510">
        <f>Sheet1[[#This Row],[Quantity]]*Sheet1[[#This Row],[Sales]]</f>
        <v>416</v>
      </c>
      <c r="U510">
        <f>Sheet1[[#This Row],[Total Sales]]*Sheet1[[#This Row],[Discount]]</f>
        <v>62.4</v>
      </c>
      <c r="V510" s="4">
        <f>Sheet1[[#This Row],[Total Sales]]-Sheet1[[#This Row],[Total Sales]]*Sheet1[[#This Row],[Discount]]</f>
        <v>353.6</v>
      </c>
      <c r="W510" s="4">
        <f>Sheet1[[#This Row],[Quantity]]*Sheet1[[#This Row],[Profit]]</f>
        <v>24.45</v>
      </c>
      <c r="X510" s="5">
        <f>Sheet1[[#This Row],[Total Profit]]/Sheet1[[#This Row],[Sales After Discount]]</f>
        <v>6.9145927601809945E-2</v>
      </c>
      <c r="Y510" s="4">
        <f>Sheet1[[#This Row],[Shipping_cost]]*Sheet1[[#This Row],[Quantity]]</f>
        <v>20.9</v>
      </c>
      <c r="Z510" s="4">
        <f>Sheet1[[#This Row],[Total Profit]]-Sheet1[[#This Row],[Total Shipping Cost]]</f>
        <v>3.5500000000000007</v>
      </c>
      <c r="AA510" s="4" t="str">
        <f>IF(Sheet1[[#This Row],[Net Profit]]&gt;0,"Profit","Loss")</f>
        <v>Profit</v>
      </c>
    </row>
    <row r="511" spans="1:27" x14ac:dyDescent="0.25">
      <c r="A511" t="s">
        <v>761</v>
      </c>
      <c r="B511" s="1">
        <v>40581</v>
      </c>
      <c r="C511" s="1">
        <v>40585</v>
      </c>
      <c r="D511" t="s">
        <v>1</v>
      </c>
      <c r="E511" t="s">
        <v>762</v>
      </c>
      <c r="F511" t="s">
        <v>3</v>
      </c>
      <c r="G511" t="s">
        <v>364</v>
      </c>
      <c r="H511" t="s">
        <v>115</v>
      </c>
      <c r="I511" t="s">
        <v>29</v>
      </c>
      <c r="J511" t="s">
        <v>76</v>
      </c>
      <c r="K511" t="s">
        <v>7</v>
      </c>
      <c r="L511" t="s">
        <v>91</v>
      </c>
      <c r="M511">
        <v>112</v>
      </c>
      <c r="N511">
        <v>4</v>
      </c>
      <c r="O511">
        <v>0</v>
      </c>
      <c r="P511">
        <v>4.4400000000000004</v>
      </c>
      <c r="Q511">
        <v>9.8699999999999992</v>
      </c>
      <c r="R511" t="s">
        <v>23</v>
      </c>
      <c r="S511">
        <f>Sheet1[[#This Row],[Ship_date]]-Sheet1[[#This Row],[Order_date]]</f>
        <v>4</v>
      </c>
      <c r="T511">
        <f>Sheet1[[#This Row],[Quantity]]*Sheet1[[#This Row],[Sales]]</f>
        <v>448</v>
      </c>
      <c r="U511">
        <f>Sheet1[[#This Row],[Total Sales]]*Sheet1[[#This Row],[Discount]]</f>
        <v>0</v>
      </c>
      <c r="V511" s="4">
        <f>Sheet1[[#This Row],[Total Sales]]-Sheet1[[#This Row],[Total Sales]]*Sheet1[[#This Row],[Discount]]</f>
        <v>448</v>
      </c>
      <c r="W511" s="4">
        <f>Sheet1[[#This Row],[Quantity]]*Sheet1[[#This Row],[Profit]]</f>
        <v>17.760000000000002</v>
      </c>
      <c r="X511" s="5">
        <f>Sheet1[[#This Row],[Total Profit]]/Sheet1[[#This Row],[Sales After Discount]]</f>
        <v>3.9642857142857146E-2</v>
      </c>
      <c r="Y511" s="4">
        <f>Sheet1[[#This Row],[Shipping_cost]]*Sheet1[[#This Row],[Quantity]]</f>
        <v>39.479999999999997</v>
      </c>
      <c r="Z511" s="4">
        <f>Sheet1[[#This Row],[Total Profit]]-Sheet1[[#This Row],[Total Shipping Cost]]</f>
        <v>-21.719999999999995</v>
      </c>
      <c r="AA511" s="4" t="str">
        <f>IF(Sheet1[[#This Row],[Net Profit]]&gt;0,"Profit","Loss")</f>
        <v>Loss</v>
      </c>
    </row>
    <row r="512" spans="1:27" x14ac:dyDescent="0.25">
      <c r="A512" t="s">
        <v>761</v>
      </c>
      <c r="B512" s="1">
        <v>40581</v>
      </c>
      <c r="C512" s="1">
        <v>40585</v>
      </c>
      <c r="D512" t="s">
        <v>1</v>
      </c>
      <c r="E512" t="s">
        <v>762</v>
      </c>
      <c r="F512" t="s">
        <v>3</v>
      </c>
      <c r="G512" t="s">
        <v>364</v>
      </c>
      <c r="H512" t="s">
        <v>115</v>
      </c>
      <c r="I512" t="s">
        <v>29</v>
      </c>
      <c r="J512" t="s">
        <v>76</v>
      </c>
      <c r="K512" t="s">
        <v>7</v>
      </c>
      <c r="L512" t="s">
        <v>137</v>
      </c>
      <c r="M512">
        <v>50</v>
      </c>
      <c r="N512">
        <v>4</v>
      </c>
      <c r="O512">
        <v>0</v>
      </c>
      <c r="P512">
        <v>6.48</v>
      </c>
      <c r="Q512">
        <v>6.93</v>
      </c>
      <c r="R512" t="s">
        <v>23</v>
      </c>
      <c r="S512">
        <f>Sheet1[[#This Row],[Ship_date]]-Sheet1[[#This Row],[Order_date]]</f>
        <v>4</v>
      </c>
      <c r="T512">
        <f>Sheet1[[#This Row],[Quantity]]*Sheet1[[#This Row],[Sales]]</f>
        <v>200</v>
      </c>
      <c r="U512">
        <f>Sheet1[[#This Row],[Total Sales]]*Sheet1[[#This Row],[Discount]]</f>
        <v>0</v>
      </c>
      <c r="V512" s="4">
        <f>Sheet1[[#This Row],[Total Sales]]-Sheet1[[#This Row],[Total Sales]]*Sheet1[[#This Row],[Discount]]</f>
        <v>200</v>
      </c>
      <c r="W512" s="4">
        <f>Sheet1[[#This Row],[Quantity]]*Sheet1[[#This Row],[Profit]]</f>
        <v>25.92</v>
      </c>
      <c r="X512" s="5">
        <f>Sheet1[[#This Row],[Total Profit]]/Sheet1[[#This Row],[Sales After Discount]]</f>
        <v>0.12960000000000002</v>
      </c>
      <c r="Y512" s="4">
        <f>Sheet1[[#This Row],[Shipping_cost]]*Sheet1[[#This Row],[Quantity]]</f>
        <v>27.72</v>
      </c>
      <c r="Z512" s="4">
        <f>Sheet1[[#This Row],[Total Profit]]-Sheet1[[#This Row],[Total Shipping Cost]]</f>
        <v>-1.7999999999999972</v>
      </c>
      <c r="AA512" s="4" t="str">
        <f>IF(Sheet1[[#This Row],[Net Profit]]&gt;0,"Profit","Loss")</f>
        <v>Loss</v>
      </c>
    </row>
    <row r="513" spans="1:27" x14ac:dyDescent="0.25">
      <c r="A513" t="s">
        <v>756</v>
      </c>
      <c r="B513" s="1">
        <v>40581</v>
      </c>
      <c r="C513" s="1">
        <v>40587</v>
      </c>
      <c r="D513" t="s">
        <v>1</v>
      </c>
      <c r="E513" t="s">
        <v>757</v>
      </c>
      <c r="F513" t="s">
        <v>3</v>
      </c>
      <c r="G513" t="s">
        <v>758</v>
      </c>
      <c r="H513" t="s">
        <v>169</v>
      </c>
      <c r="I513" t="s">
        <v>14</v>
      </c>
      <c r="J513" t="s">
        <v>132</v>
      </c>
      <c r="K513" t="s">
        <v>7</v>
      </c>
      <c r="L513" t="s">
        <v>87</v>
      </c>
      <c r="M513">
        <v>67</v>
      </c>
      <c r="N513">
        <v>6</v>
      </c>
      <c r="O513">
        <v>0</v>
      </c>
      <c r="P513">
        <v>7.92</v>
      </c>
      <c r="Q513">
        <v>5.99</v>
      </c>
      <c r="R513" t="s">
        <v>9</v>
      </c>
      <c r="S513">
        <f>Sheet1[[#This Row],[Ship_date]]-Sheet1[[#This Row],[Order_date]]</f>
        <v>6</v>
      </c>
      <c r="T513">
        <f>Sheet1[[#This Row],[Quantity]]*Sheet1[[#This Row],[Sales]]</f>
        <v>402</v>
      </c>
      <c r="U513">
        <f>Sheet1[[#This Row],[Total Sales]]*Sheet1[[#This Row],[Discount]]</f>
        <v>0</v>
      </c>
      <c r="V513" s="4">
        <f>Sheet1[[#This Row],[Total Sales]]-Sheet1[[#This Row],[Total Sales]]*Sheet1[[#This Row],[Discount]]</f>
        <v>402</v>
      </c>
      <c r="W513" s="4">
        <f>Sheet1[[#This Row],[Quantity]]*Sheet1[[#This Row],[Profit]]</f>
        <v>47.519999999999996</v>
      </c>
      <c r="X513" s="5">
        <f>Sheet1[[#This Row],[Total Profit]]/Sheet1[[#This Row],[Sales After Discount]]</f>
        <v>0.11820895522388059</v>
      </c>
      <c r="Y513" s="4">
        <f>Sheet1[[#This Row],[Shipping_cost]]*Sheet1[[#This Row],[Quantity]]</f>
        <v>35.94</v>
      </c>
      <c r="Z513" s="4">
        <f>Sheet1[[#This Row],[Total Profit]]-Sheet1[[#This Row],[Total Shipping Cost]]</f>
        <v>11.579999999999998</v>
      </c>
      <c r="AA513" s="4" t="str">
        <f>IF(Sheet1[[#This Row],[Net Profit]]&gt;0,"Profit","Loss")</f>
        <v>Profit</v>
      </c>
    </row>
    <row r="514" spans="1:27" x14ac:dyDescent="0.25">
      <c r="A514" t="s">
        <v>763</v>
      </c>
      <c r="B514" s="1">
        <v>40581</v>
      </c>
      <c r="C514" s="1">
        <v>40586</v>
      </c>
      <c r="D514" t="s">
        <v>1</v>
      </c>
      <c r="E514" t="s">
        <v>764</v>
      </c>
      <c r="F514" t="s">
        <v>3</v>
      </c>
      <c r="G514" t="s">
        <v>48</v>
      </c>
      <c r="H514" t="s">
        <v>49</v>
      </c>
      <c r="I514" t="s">
        <v>14</v>
      </c>
      <c r="J514" t="s">
        <v>15</v>
      </c>
      <c r="K514" t="s">
        <v>38</v>
      </c>
      <c r="L514" t="s">
        <v>50</v>
      </c>
      <c r="M514">
        <v>285</v>
      </c>
      <c r="N514">
        <v>2</v>
      </c>
      <c r="O514">
        <v>0.4</v>
      </c>
      <c r="P514">
        <v>-104.58</v>
      </c>
      <c r="Q514">
        <v>4.54</v>
      </c>
      <c r="R514" t="s">
        <v>9</v>
      </c>
      <c r="S514">
        <f>Sheet1[[#This Row],[Ship_date]]-Sheet1[[#This Row],[Order_date]]</f>
        <v>5</v>
      </c>
      <c r="T514">
        <f>Sheet1[[#This Row],[Quantity]]*Sheet1[[#This Row],[Sales]]</f>
        <v>570</v>
      </c>
      <c r="U514">
        <f>Sheet1[[#This Row],[Total Sales]]*Sheet1[[#This Row],[Discount]]</f>
        <v>228</v>
      </c>
      <c r="V514" s="4">
        <f>Sheet1[[#This Row],[Total Sales]]-Sheet1[[#This Row],[Total Sales]]*Sheet1[[#This Row],[Discount]]</f>
        <v>342</v>
      </c>
      <c r="W514" s="4">
        <f>Sheet1[[#This Row],[Quantity]]*Sheet1[[#This Row],[Profit]]</f>
        <v>-209.16</v>
      </c>
      <c r="X514" s="5">
        <f>Sheet1[[#This Row],[Total Profit]]/Sheet1[[#This Row],[Sales After Discount]]</f>
        <v>-0.611578947368421</v>
      </c>
      <c r="Y514" s="4">
        <f>Sheet1[[#This Row],[Shipping_cost]]*Sheet1[[#This Row],[Quantity]]</f>
        <v>9.08</v>
      </c>
      <c r="Z514" s="4">
        <f>Sheet1[[#This Row],[Total Profit]]-Sheet1[[#This Row],[Total Shipping Cost]]</f>
        <v>-218.24</v>
      </c>
      <c r="AA514" s="4" t="str">
        <f>IF(Sheet1[[#This Row],[Net Profit]]&gt;0,"Profit","Loss")</f>
        <v>Loss</v>
      </c>
    </row>
    <row r="515" spans="1:27" x14ac:dyDescent="0.25">
      <c r="A515" t="s">
        <v>765</v>
      </c>
      <c r="B515" s="1">
        <v>40581</v>
      </c>
      <c r="C515" s="1">
        <v>40586</v>
      </c>
      <c r="D515" t="s">
        <v>1</v>
      </c>
      <c r="E515" t="s">
        <v>766</v>
      </c>
      <c r="F515" t="s">
        <v>43</v>
      </c>
      <c r="G515" t="s">
        <v>184</v>
      </c>
      <c r="H515" t="s">
        <v>115</v>
      </c>
      <c r="I515" t="s">
        <v>29</v>
      </c>
      <c r="J515" t="s">
        <v>76</v>
      </c>
      <c r="K515" t="s">
        <v>7</v>
      </c>
      <c r="L515" t="s">
        <v>87</v>
      </c>
      <c r="M515">
        <v>31</v>
      </c>
      <c r="N515">
        <v>3</v>
      </c>
      <c r="O515">
        <v>0</v>
      </c>
      <c r="P515">
        <v>10.62</v>
      </c>
      <c r="Q515">
        <v>3.58</v>
      </c>
      <c r="R515" t="s">
        <v>23</v>
      </c>
      <c r="S515">
        <f>Sheet1[[#This Row],[Ship_date]]-Sheet1[[#This Row],[Order_date]]</f>
        <v>5</v>
      </c>
      <c r="T515">
        <f>Sheet1[[#This Row],[Quantity]]*Sheet1[[#This Row],[Sales]]</f>
        <v>93</v>
      </c>
      <c r="U515">
        <f>Sheet1[[#This Row],[Total Sales]]*Sheet1[[#This Row],[Discount]]</f>
        <v>0</v>
      </c>
      <c r="V515" s="4">
        <f>Sheet1[[#This Row],[Total Sales]]-Sheet1[[#This Row],[Total Sales]]*Sheet1[[#This Row],[Discount]]</f>
        <v>93</v>
      </c>
      <c r="W515" s="4">
        <f>Sheet1[[#This Row],[Quantity]]*Sheet1[[#This Row],[Profit]]</f>
        <v>31.86</v>
      </c>
      <c r="X515" s="5">
        <f>Sheet1[[#This Row],[Total Profit]]/Sheet1[[#This Row],[Sales After Discount]]</f>
        <v>0.34258064516129033</v>
      </c>
      <c r="Y515" s="4">
        <f>Sheet1[[#This Row],[Shipping_cost]]*Sheet1[[#This Row],[Quantity]]</f>
        <v>10.74</v>
      </c>
      <c r="Z515" s="4">
        <f>Sheet1[[#This Row],[Total Profit]]-Sheet1[[#This Row],[Total Shipping Cost]]</f>
        <v>21.119999999999997</v>
      </c>
      <c r="AA515" s="4" t="str">
        <f>IF(Sheet1[[#This Row],[Net Profit]]&gt;0,"Profit","Loss")</f>
        <v>Profit</v>
      </c>
    </row>
    <row r="516" spans="1:27" x14ac:dyDescent="0.25">
      <c r="A516" t="s">
        <v>752</v>
      </c>
      <c r="B516" s="1">
        <v>40581</v>
      </c>
      <c r="C516" s="1">
        <v>40584</v>
      </c>
      <c r="D516" t="s">
        <v>142</v>
      </c>
      <c r="E516" t="s">
        <v>753</v>
      </c>
      <c r="F516" t="s">
        <v>43</v>
      </c>
      <c r="G516" t="s">
        <v>294</v>
      </c>
      <c r="H516" t="s">
        <v>126</v>
      </c>
      <c r="I516" t="s">
        <v>127</v>
      </c>
      <c r="J516" t="s">
        <v>102</v>
      </c>
      <c r="K516" t="s">
        <v>7</v>
      </c>
      <c r="L516" t="s">
        <v>87</v>
      </c>
      <c r="M516">
        <v>15</v>
      </c>
      <c r="N516">
        <v>4</v>
      </c>
      <c r="O516">
        <v>0</v>
      </c>
      <c r="P516">
        <v>7.2</v>
      </c>
      <c r="Q516">
        <v>2.27</v>
      </c>
      <c r="R516" t="s">
        <v>9</v>
      </c>
      <c r="S516">
        <f>Sheet1[[#This Row],[Ship_date]]-Sheet1[[#This Row],[Order_date]]</f>
        <v>3</v>
      </c>
      <c r="T516">
        <f>Sheet1[[#This Row],[Quantity]]*Sheet1[[#This Row],[Sales]]</f>
        <v>60</v>
      </c>
      <c r="U516">
        <f>Sheet1[[#This Row],[Total Sales]]*Sheet1[[#This Row],[Discount]]</f>
        <v>0</v>
      </c>
      <c r="V516" s="4">
        <f>Sheet1[[#This Row],[Total Sales]]-Sheet1[[#This Row],[Total Sales]]*Sheet1[[#This Row],[Discount]]</f>
        <v>60</v>
      </c>
      <c r="W516" s="4">
        <f>Sheet1[[#This Row],[Quantity]]*Sheet1[[#This Row],[Profit]]</f>
        <v>28.8</v>
      </c>
      <c r="X516" s="5">
        <f>Sheet1[[#This Row],[Total Profit]]/Sheet1[[#This Row],[Sales After Discount]]</f>
        <v>0.48000000000000004</v>
      </c>
      <c r="Y516" s="4">
        <f>Sheet1[[#This Row],[Shipping_cost]]*Sheet1[[#This Row],[Quantity]]</f>
        <v>9.08</v>
      </c>
      <c r="Z516" s="4">
        <f>Sheet1[[#This Row],[Total Profit]]-Sheet1[[#This Row],[Total Shipping Cost]]</f>
        <v>19.72</v>
      </c>
      <c r="AA516" s="4" t="str">
        <f>IF(Sheet1[[#This Row],[Net Profit]]&gt;0,"Profit","Loss")</f>
        <v>Profit</v>
      </c>
    </row>
    <row r="517" spans="1:27" x14ac:dyDescent="0.25">
      <c r="A517" t="s">
        <v>767</v>
      </c>
      <c r="B517" s="1">
        <v>40581</v>
      </c>
      <c r="C517" s="1">
        <v>40585</v>
      </c>
      <c r="D517" t="s">
        <v>18</v>
      </c>
      <c r="E517" t="s">
        <v>385</v>
      </c>
      <c r="F517" t="s">
        <v>3</v>
      </c>
      <c r="G517" t="s">
        <v>146</v>
      </c>
      <c r="H517" t="s">
        <v>126</v>
      </c>
      <c r="I517" t="s">
        <v>127</v>
      </c>
      <c r="J517" t="s">
        <v>76</v>
      </c>
      <c r="K517" t="s">
        <v>7</v>
      </c>
      <c r="L517" t="s">
        <v>137</v>
      </c>
      <c r="M517">
        <v>9</v>
      </c>
      <c r="N517">
        <v>2</v>
      </c>
      <c r="O517">
        <v>0.8</v>
      </c>
      <c r="P517">
        <v>-14.770799999999999</v>
      </c>
      <c r="Q517">
        <v>0.51</v>
      </c>
      <c r="R517" t="s">
        <v>9</v>
      </c>
      <c r="S517">
        <f>Sheet1[[#This Row],[Ship_date]]-Sheet1[[#This Row],[Order_date]]</f>
        <v>4</v>
      </c>
      <c r="T517">
        <f>Sheet1[[#This Row],[Quantity]]*Sheet1[[#This Row],[Sales]]</f>
        <v>18</v>
      </c>
      <c r="U517">
        <f>Sheet1[[#This Row],[Total Sales]]*Sheet1[[#This Row],[Discount]]</f>
        <v>14.4</v>
      </c>
      <c r="V517" s="4">
        <f>Sheet1[[#This Row],[Total Sales]]-Sheet1[[#This Row],[Total Sales]]*Sheet1[[#This Row],[Discount]]</f>
        <v>3.5999999999999996</v>
      </c>
      <c r="W517" s="4">
        <f>Sheet1[[#This Row],[Quantity]]*Sheet1[[#This Row],[Profit]]</f>
        <v>-29.541599999999999</v>
      </c>
      <c r="X517" s="5">
        <f>Sheet1[[#This Row],[Total Profit]]/Sheet1[[#This Row],[Sales After Discount]]</f>
        <v>-8.2060000000000013</v>
      </c>
      <c r="Y517" s="4">
        <f>Sheet1[[#This Row],[Shipping_cost]]*Sheet1[[#This Row],[Quantity]]</f>
        <v>1.02</v>
      </c>
      <c r="Z517" s="4">
        <f>Sheet1[[#This Row],[Total Profit]]-Sheet1[[#This Row],[Total Shipping Cost]]</f>
        <v>-30.561599999999999</v>
      </c>
      <c r="AA517" s="4" t="str">
        <f>IF(Sheet1[[#This Row],[Net Profit]]&gt;0,"Profit","Loss")</f>
        <v>Loss</v>
      </c>
    </row>
    <row r="518" spans="1:27" x14ac:dyDescent="0.25">
      <c r="A518" t="s">
        <v>768</v>
      </c>
      <c r="B518" s="1">
        <v>40582</v>
      </c>
      <c r="C518" s="1">
        <v>40585</v>
      </c>
      <c r="D518" t="s">
        <v>18</v>
      </c>
      <c r="E518" t="s">
        <v>335</v>
      </c>
      <c r="F518" t="s">
        <v>43</v>
      </c>
      <c r="G518" t="s">
        <v>649</v>
      </c>
      <c r="H518" t="s">
        <v>126</v>
      </c>
      <c r="I518" t="s">
        <v>127</v>
      </c>
      <c r="J518" t="s">
        <v>173</v>
      </c>
      <c r="K518" t="s">
        <v>7</v>
      </c>
      <c r="L518" t="s">
        <v>8</v>
      </c>
      <c r="M518">
        <v>65</v>
      </c>
      <c r="N518">
        <v>4</v>
      </c>
      <c r="O518">
        <v>0</v>
      </c>
      <c r="P518">
        <v>9.7439999999999998</v>
      </c>
      <c r="Q518">
        <v>19.07</v>
      </c>
      <c r="R518" t="s">
        <v>45</v>
      </c>
      <c r="S518">
        <f>Sheet1[[#This Row],[Ship_date]]-Sheet1[[#This Row],[Order_date]]</f>
        <v>3</v>
      </c>
      <c r="T518">
        <f>Sheet1[[#This Row],[Quantity]]*Sheet1[[#This Row],[Sales]]</f>
        <v>260</v>
      </c>
      <c r="U518">
        <f>Sheet1[[#This Row],[Total Sales]]*Sheet1[[#This Row],[Discount]]</f>
        <v>0</v>
      </c>
      <c r="V518" s="4">
        <f>Sheet1[[#This Row],[Total Sales]]-Sheet1[[#This Row],[Total Sales]]*Sheet1[[#This Row],[Discount]]</f>
        <v>260</v>
      </c>
      <c r="W518" s="4">
        <f>Sheet1[[#This Row],[Quantity]]*Sheet1[[#This Row],[Profit]]</f>
        <v>38.975999999999999</v>
      </c>
      <c r="X518" s="5">
        <f>Sheet1[[#This Row],[Total Profit]]/Sheet1[[#This Row],[Sales After Discount]]</f>
        <v>0.1499076923076923</v>
      </c>
      <c r="Y518" s="4">
        <f>Sheet1[[#This Row],[Shipping_cost]]*Sheet1[[#This Row],[Quantity]]</f>
        <v>76.28</v>
      </c>
      <c r="Z518" s="4">
        <f>Sheet1[[#This Row],[Total Profit]]-Sheet1[[#This Row],[Total Shipping Cost]]</f>
        <v>-37.304000000000002</v>
      </c>
      <c r="AA518" s="4" t="str">
        <f>IF(Sheet1[[#This Row],[Net Profit]]&gt;0,"Profit","Loss")</f>
        <v>Loss</v>
      </c>
    </row>
    <row r="519" spans="1:27" x14ac:dyDescent="0.25">
      <c r="A519" t="s">
        <v>769</v>
      </c>
      <c r="B519" s="1">
        <v>40582</v>
      </c>
      <c r="C519" s="1">
        <v>40586</v>
      </c>
      <c r="D519" t="s">
        <v>1</v>
      </c>
      <c r="E519" t="s">
        <v>770</v>
      </c>
      <c r="F519" t="s">
        <v>43</v>
      </c>
      <c r="G519" t="s">
        <v>771</v>
      </c>
      <c r="H519" t="s">
        <v>115</v>
      </c>
      <c r="I519" t="s">
        <v>29</v>
      </c>
      <c r="J519" t="s">
        <v>76</v>
      </c>
      <c r="K519" t="s">
        <v>7</v>
      </c>
      <c r="L519" t="s">
        <v>137</v>
      </c>
      <c r="M519">
        <v>160</v>
      </c>
      <c r="N519">
        <v>5</v>
      </c>
      <c r="O519">
        <v>0</v>
      </c>
      <c r="P519">
        <v>59.1</v>
      </c>
      <c r="Q519">
        <v>14.79</v>
      </c>
      <c r="R519" t="s">
        <v>9</v>
      </c>
      <c r="S519">
        <f>Sheet1[[#This Row],[Ship_date]]-Sheet1[[#This Row],[Order_date]]</f>
        <v>4</v>
      </c>
      <c r="T519">
        <f>Sheet1[[#This Row],[Quantity]]*Sheet1[[#This Row],[Sales]]</f>
        <v>800</v>
      </c>
      <c r="U519">
        <f>Sheet1[[#This Row],[Total Sales]]*Sheet1[[#This Row],[Discount]]</f>
        <v>0</v>
      </c>
      <c r="V519" s="4">
        <f>Sheet1[[#This Row],[Total Sales]]-Sheet1[[#This Row],[Total Sales]]*Sheet1[[#This Row],[Discount]]</f>
        <v>800</v>
      </c>
      <c r="W519" s="4">
        <f>Sheet1[[#This Row],[Quantity]]*Sheet1[[#This Row],[Profit]]</f>
        <v>295.5</v>
      </c>
      <c r="X519" s="5">
        <f>Sheet1[[#This Row],[Total Profit]]/Sheet1[[#This Row],[Sales After Discount]]</f>
        <v>0.36937500000000001</v>
      </c>
      <c r="Y519" s="4">
        <f>Sheet1[[#This Row],[Shipping_cost]]*Sheet1[[#This Row],[Quantity]]</f>
        <v>73.949999999999989</v>
      </c>
      <c r="Z519" s="4">
        <f>Sheet1[[#This Row],[Total Profit]]-Sheet1[[#This Row],[Total Shipping Cost]]</f>
        <v>221.55</v>
      </c>
      <c r="AA519" s="4" t="str">
        <f>IF(Sheet1[[#This Row],[Net Profit]]&gt;0,"Profit","Loss")</f>
        <v>Profit</v>
      </c>
    </row>
    <row r="520" spans="1:27" x14ac:dyDescent="0.25">
      <c r="A520" t="s">
        <v>772</v>
      </c>
      <c r="B520" s="1">
        <v>40582</v>
      </c>
      <c r="C520" s="1">
        <v>40587</v>
      </c>
      <c r="D520" t="s">
        <v>1</v>
      </c>
      <c r="E520" t="s">
        <v>773</v>
      </c>
      <c r="F520" t="s">
        <v>43</v>
      </c>
      <c r="G520" t="s">
        <v>774</v>
      </c>
      <c r="H520" t="s">
        <v>126</v>
      </c>
      <c r="I520" t="s">
        <v>127</v>
      </c>
      <c r="J520" t="s">
        <v>173</v>
      </c>
      <c r="K520" t="s">
        <v>38</v>
      </c>
      <c r="L520" t="s">
        <v>82</v>
      </c>
      <c r="M520">
        <v>115</v>
      </c>
      <c r="N520">
        <v>7</v>
      </c>
      <c r="O520">
        <v>0</v>
      </c>
      <c r="P520">
        <v>49.604799999999997</v>
      </c>
      <c r="Q520">
        <v>12.6</v>
      </c>
      <c r="R520" t="s">
        <v>9</v>
      </c>
      <c r="S520">
        <f>Sheet1[[#This Row],[Ship_date]]-Sheet1[[#This Row],[Order_date]]</f>
        <v>5</v>
      </c>
      <c r="T520">
        <f>Sheet1[[#This Row],[Quantity]]*Sheet1[[#This Row],[Sales]]</f>
        <v>805</v>
      </c>
      <c r="U520">
        <f>Sheet1[[#This Row],[Total Sales]]*Sheet1[[#This Row],[Discount]]</f>
        <v>0</v>
      </c>
      <c r="V520" s="4">
        <f>Sheet1[[#This Row],[Total Sales]]-Sheet1[[#This Row],[Total Sales]]*Sheet1[[#This Row],[Discount]]</f>
        <v>805</v>
      </c>
      <c r="W520" s="4">
        <f>Sheet1[[#This Row],[Quantity]]*Sheet1[[#This Row],[Profit]]</f>
        <v>347.23359999999997</v>
      </c>
      <c r="X520" s="5">
        <f>Sheet1[[#This Row],[Total Profit]]/Sheet1[[#This Row],[Sales After Discount]]</f>
        <v>0.43134608695652171</v>
      </c>
      <c r="Y520" s="4">
        <f>Sheet1[[#This Row],[Shipping_cost]]*Sheet1[[#This Row],[Quantity]]</f>
        <v>88.2</v>
      </c>
      <c r="Z520" s="4">
        <f>Sheet1[[#This Row],[Total Profit]]-Sheet1[[#This Row],[Total Shipping Cost]]</f>
        <v>259.03359999999998</v>
      </c>
      <c r="AA520" s="4" t="str">
        <f>IF(Sheet1[[#This Row],[Net Profit]]&gt;0,"Profit","Loss")</f>
        <v>Profit</v>
      </c>
    </row>
    <row r="521" spans="1:27" x14ac:dyDescent="0.25">
      <c r="A521" t="s">
        <v>775</v>
      </c>
      <c r="B521" s="1">
        <v>40582</v>
      </c>
      <c r="C521" s="1">
        <v>40587</v>
      </c>
      <c r="D521" t="s">
        <v>1</v>
      </c>
      <c r="E521" t="s">
        <v>148</v>
      </c>
      <c r="F521" t="s">
        <v>3</v>
      </c>
      <c r="G521" t="s">
        <v>482</v>
      </c>
      <c r="H521" t="s">
        <v>298</v>
      </c>
      <c r="I521" t="s">
        <v>29</v>
      </c>
      <c r="J521" t="s">
        <v>102</v>
      </c>
      <c r="K521" t="s">
        <v>7</v>
      </c>
      <c r="L521" t="s">
        <v>97</v>
      </c>
      <c r="M521">
        <v>110</v>
      </c>
      <c r="N521">
        <v>6</v>
      </c>
      <c r="O521">
        <v>0</v>
      </c>
      <c r="P521">
        <v>21.78</v>
      </c>
      <c r="Q521">
        <v>5.55</v>
      </c>
      <c r="R521" t="s">
        <v>9</v>
      </c>
      <c r="S521">
        <f>Sheet1[[#This Row],[Ship_date]]-Sheet1[[#This Row],[Order_date]]</f>
        <v>5</v>
      </c>
      <c r="T521">
        <f>Sheet1[[#This Row],[Quantity]]*Sheet1[[#This Row],[Sales]]</f>
        <v>660</v>
      </c>
      <c r="U521">
        <f>Sheet1[[#This Row],[Total Sales]]*Sheet1[[#This Row],[Discount]]</f>
        <v>0</v>
      </c>
      <c r="V521" s="4">
        <f>Sheet1[[#This Row],[Total Sales]]-Sheet1[[#This Row],[Total Sales]]*Sheet1[[#This Row],[Discount]]</f>
        <v>660</v>
      </c>
      <c r="W521" s="4">
        <f>Sheet1[[#This Row],[Quantity]]*Sheet1[[#This Row],[Profit]]</f>
        <v>130.68</v>
      </c>
      <c r="X521" s="5">
        <f>Sheet1[[#This Row],[Total Profit]]/Sheet1[[#This Row],[Sales After Discount]]</f>
        <v>0.19800000000000001</v>
      </c>
      <c r="Y521" s="4">
        <f>Sheet1[[#This Row],[Shipping_cost]]*Sheet1[[#This Row],[Quantity]]</f>
        <v>33.299999999999997</v>
      </c>
      <c r="Z521" s="4">
        <f>Sheet1[[#This Row],[Total Profit]]-Sheet1[[#This Row],[Total Shipping Cost]]</f>
        <v>97.38000000000001</v>
      </c>
      <c r="AA521" s="4" t="str">
        <f>IF(Sheet1[[#This Row],[Net Profit]]&gt;0,"Profit","Loss")</f>
        <v>Profit</v>
      </c>
    </row>
    <row r="522" spans="1:27" x14ac:dyDescent="0.25">
      <c r="A522" t="s">
        <v>776</v>
      </c>
      <c r="B522" s="1">
        <v>40582</v>
      </c>
      <c r="C522" s="1">
        <v>40587</v>
      </c>
      <c r="D522" t="s">
        <v>1</v>
      </c>
      <c r="E522" t="s">
        <v>777</v>
      </c>
      <c r="F522" t="s">
        <v>3</v>
      </c>
      <c r="G522" t="s">
        <v>240</v>
      </c>
      <c r="H522" t="s">
        <v>241</v>
      </c>
      <c r="I522" t="s">
        <v>6</v>
      </c>
      <c r="J522" t="s">
        <v>6</v>
      </c>
      <c r="K522" t="s">
        <v>7</v>
      </c>
      <c r="L522" t="s">
        <v>91</v>
      </c>
      <c r="M522">
        <v>50</v>
      </c>
      <c r="N522">
        <v>1</v>
      </c>
      <c r="O522">
        <v>0</v>
      </c>
      <c r="P522">
        <v>16.32</v>
      </c>
      <c r="Q522">
        <v>4.32</v>
      </c>
      <c r="R522" t="s">
        <v>9</v>
      </c>
      <c r="S522">
        <f>Sheet1[[#This Row],[Ship_date]]-Sheet1[[#This Row],[Order_date]]</f>
        <v>5</v>
      </c>
      <c r="T522">
        <f>Sheet1[[#This Row],[Quantity]]*Sheet1[[#This Row],[Sales]]</f>
        <v>50</v>
      </c>
      <c r="U522">
        <f>Sheet1[[#This Row],[Total Sales]]*Sheet1[[#This Row],[Discount]]</f>
        <v>0</v>
      </c>
      <c r="V522" s="4">
        <f>Sheet1[[#This Row],[Total Sales]]-Sheet1[[#This Row],[Total Sales]]*Sheet1[[#This Row],[Discount]]</f>
        <v>50</v>
      </c>
      <c r="W522" s="4">
        <f>Sheet1[[#This Row],[Quantity]]*Sheet1[[#This Row],[Profit]]</f>
        <v>16.32</v>
      </c>
      <c r="X522" s="5">
        <f>Sheet1[[#This Row],[Total Profit]]/Sheet1[[#This Row],[Sales After Discount]]</f>
        <v>0.32640000000000002</v>
      </c>
      <c r="Y522" s="4">
        <f>Sheet1[[#This Row],[Shipping_cost]]*Sheet1[[#This Row],[Quantity]]</f>
        <v>4.32</v>
      </c>
      <c r="Z522" s="4">
        <f>Sheet1[[#This Row],[Total Profit]]-Sheet1[[#This Row],[Total Shipping Cost]]</f>
        <v>12</v>
      </c>
      <c r="AA522" s="4" t="str">
        <f>IF(Sheet1[[#This Row],[Net Profit]]&gt;0,"Profit","Loss")</f>
        <v>Profit</v>
      </c>
    </row>
    <row r="523" spans="1:27" x14ac:dyDescent="0.25">
      <c r="A523" t="s">
        <v>778</v>
      </c>
      <c r="B523" s="1">
        <v>40582</v>
      </c>
      <c r="C523" s="1">
        <v>40588</v>
      </c>
      <c r="D523" t="s">
        <v>1</v>
      </c>
      <c r="E523" t="s">
        <v>777</v>
      </c>
      <c r="F523" t="s">
        <v>3</v>
      </c>
      <c r="G523" t="s">
        <v>779</v>
      </c>
      <c r="H523" t="s">
        <v>780</v>
      </c>
      <c r="I523" t="s">
        <v>75</v>
      </c>
      <c r="J523" t="s">
        <v>102</v>
      </c>
      <c r="K523" t="s">
        <v>7</v>
      </c>
      <c r="L523" t="s">
        <v>8</v>
      </c>
      <c r="M523">
        <v>50</v>
      </c>
      <c r="N523">
        <v>7</v>
      </c>
      <c r="O523">
        <v>0</v>
      </c>
      <c r="P523">
        <v>20.02</v>
      </c>
      <c r="Q523">
        <v>2.6</v>
      </c>
      <c r="R523" t="s">
        <v>9</v>
      </c>
      <c r="S523">
        <f>Sheet1[[#This Row],[Ship_date]]-Sheet1[[#This Row],[Order_date]]</f>
        <v>6</v>
      </c>
      <c r="T523">
        <f>Sheet1[[#This Row],[Quantity]]*Sheet1[[#This Row],[Sales]]</f>
        <v>350</v>
      </c>
      <c r="U523">
        <f>Sheet1[[#This Row],[Total Sales]]*Sheet1[[#This Row],[Discount]]</f>
        <v>0</v>
      </c>
      <c r="V523" s="4">
        <f>Sheet1[[#This Row],[Total Sales]]-Sheet1[[#This Row],[Total Sales]]*Sheet1[[#This Row],[Discount]]</f>
        <v>350</v>
      </c>
      <c r="W523" s="4">
        <f>Sheet1[[#This Row],[Quantity]]*Sheet1[[#This Row],[Profit]]</f>
        <v>140.13999999999999</v>
      </c>
      <c r="X523" s="5">
        <f>Sheet1[[#This Row],[Total Profit]]/Sheet1[[#This Row],[Sales After Discount]]</f>
        <v>0.40039999999999998</v>
      </c>
      <c r="Y523" s="4">
        <f>Sheet1[[#This Row],[Shipping_cost]]*Sheet1[[#This Row],[Quantity]]</f>
        <v>18.2</v>
      </c>
      <c r="Z523" s="4">
        <f>Sheet1[[#This Row],[Total Profit]]-Sheet1[[#This Row],[Total Shipping Cost]]</f>
        <v>121.93999999999998</v>
      </c>
      <c r="AA523" s="4" t="str">
        <f>IF(Sheet1[[#This Row],[Net Profit]]&gt;0,"Profit","Loss")</f>
        <v>Profit</v>
      </c>
    </row>
    <row r="524" spans="1:27" x14ac:dyDescent="0.25">
      <c r="A524" t="s">
        <v>781</v>
      </c>
      <c r="B524" s="1">
        <v>40582</v>
      </c>
      <c r="C524" s="1">
        <v>40587</v>
      </c>
      <c r="D524" t="s">
        <v>1</v>
      </c>
      <c r="E524" t="s">
        <v>343</v>
      </c>
      <c r="F524" t="s">
        <v>43</v>
      </c>
      <c r="G524" t="s">
        <v>630</v>
      </c>
      <c r="H524" t="s">
        <v>169</v>
      </c>
      <c r="I524" t="s">
        <v>14</v>
      </c>
      <c r="J524" t="s">
        <v>132</v>
      </c>
      <c r="K524" t="s">
        <v>32</v>
      </c>
      <c r="L524" t="s">
        <v>33</v>
      </c>
      <c r="M524">
        <v>58</v>
      </c>
      <c r="N524">
        <v>1</v>
      </c>
      <c r="O524">
        <v>0</v>
      </c>
      <c r="P524">
        <v>15.69</v>
      </c>
      <c r="Q524">
        <v>1.52</v>
      </c>
      <c r="R524" t="s">
        <v>9</v>
      </c>
      <c r="S524">
        <f>Sheet1[[#This Row],[Ship_date]]-Sheet1[[#This Row],[Order_date]]</f>
        <v>5</v>
      </c>
      <c r="T524">
        <f>Sheet1[[#This Row],[Quantity]]*Sheet1[[#This Row],[Sales]]</f>
        <v>58</v>
      </c>
      <c r="U524">
        <f>Sheet1[[#This Row],[Total Sales]]*Sheet1[[#This Row],[Discount]]</f>
        <v>0</v>
      </c>
      <c r="V524" s="4">
        <f>Sheet1[[#This Row],[Total Sales]]-Sheet1[[#This Row],[Total Sales]]*Sheet1[[#This Row],[Discount]]</f>
        <v>58</v>
      </c>
      <c r="W524" s="4">
        <f>Sheet1[[#This Row],[Quantity]]*Sheet1[[#This Row],[Profit]]</f>
        <v>15.69</v>
      </c>
      <c r="X524" s="5">
        <f>Sheet1[[#This Row],[Total Profit]]/Sheet1[[#This Row],[Sales After Discount]]</f>
        <v>0.27051724137931032</v>
      </c>
      <c r="Y524" s="4">
        <f>Sheet1[[#This Row],[Shipping_cost]]*Sheet1[[#This Row],[Quantity]]</f>
        <v>1.52</v>
      </c>
      <c r="Z524" s="4">
        <f>Sheet1[[#This Row],[Total Profit]]-Sheet1[[#This Row],[Total Shipping Cost]]</f>
        <v>14.17</v>
      </c>
      <c r="AA524" s="4" t="str">
        <f>IF(Sheet1[[#This Row],[Net Profit]]&gt;0,"Profit","Loss")</f>
        <v>Profit</v>
      </c>
    </row>
    <row r="525" spans="1:27" x14ac:dyDescent="0.25">
      <c r="A525" t="s">
        <v>782</v>
      </c>
      <c r="B525" s="1">
        <v>40582</v>
      </c>
      <c r="C525" s="1">
        <v>40588</v>
      </c>
      <c r="D525" t="s">
        <v>1</v>
      </c>
      <c r="E525" t="s">
        <v>783</v>
      </c>
      <c r="F525" t="s">
        <v>26</v>
      </c>
      <c r="G525" t="s">
        <v>54</v>
      </c>
      <c r="H525" t="s">
        <v>55</v>
      </c>
      <c r="I525" t="s">
        <v>22</v>
      </c>
      <c r="J525" t="s">
        <v>22</v>
      </c>
      <c r="K525" t="s">
        <v>7</v>
      </c>
      <c r="L525" t="s">
        <v>137</v>
      </c>
      <c r="M525">
        <v>30</v>
      </c>
      <c r="N525">
        <v>2</v>
      </c>
      <c r="O525">
        <v>0</v>
      </c>
      <c r="P525">
        <v>4.2</v>
      </c>
      <c r="Q525">
        <v>1.37</v>
      </c>
      <c r="R525" t="s">
        <v>9</v>
      </c>
      <c r="S525">
        <f>Sheet1[[#This Row],[Ship_date]]-Sheet1[[#This Row],[Order_date]]</f>
        <v>6</v>
      </c>
      <c r="T525">
        <f>Sheet1[[#This Row],[Quantity]]*Sheet1[[#This Row],[Sales]]</f>
        <v>60</v>
      </c>
      <c r="U525">
        <f>Sheet1[[#This Row],[Total Sales]]*Sheet1[[#This Row],[Discount]]</f>
        <v>0</v>
      </c>
      <c r="V525" s="4">
        <f>Sheet1[[#This Row],[Total Sales]]-Sheet1[[#This Row],[Total Sales]]*Sheet1[[#This Row],[Discount]]</f>
        <v>60</v>
      </c>
      <c r="W525" s="4">
        <f>Sheet1[[#This Row],[Quantity]]*Sheet1[[#This Row],[Profit]]</f>
        <v>8.4</v>
      </c>
      <c r="X525" s="5">
        <f>Sheet1[[#This Row],[Total Profit]]/Sheet1[[#This Row],[Sales After Discount]]</f>
        <v>0.14000000000000001</v>
      </c>
      <c r="Y525" s="4">
        <f>Sheet1[[#This Row],[Shipping_cost]]*Sheet1[[#This Row],[Quantity]]</f>
        <v>2.74</v>
      </c>
      <c r="Z525" s="4">
        <f>Sheet1[[#This Row],[Total Profit]]-Sheet1[[#This Row],[Total Shipping Cost]]</f>
        <v>5.66</v>
      </c>
      <c r="AA525" s="4" t="str">
        <f>IF(Sheet1[[#This Row],[Net Profit]]&gt;0,"Profit","Loss")</f>
        <v>Profit</v>
      </c>
    </row>
    <row r="526" spans="1:27" x14ac:dyDescent="0.25">
      <c r="A526" t="s">
        <v>781</v>
      </c>
      <c r="B526" s="1">
        <v>40582</v>
      </c>
      <c r="C526" s="1">
        <v>40587</v>
      </c>
      <c r="D526" t="s">
        <v>1</v>
      </c>
      <c r="E526" t="s">
        <v>343</v>
      </c>
      <c r="F526" t="s">
        <v>43</v>
      </c>
      <c r="G526" t="s">
        <v>630</v>
      </c>
      <c r="H526" t="s">
        <v>169</v>
      </c>
      <c r="I526" t="s">
        <v>14</v>
      </c>
      <c r="J526" t="s">
        <v>132</v>
      </c>
      <c r="K526" t="s">
        <v>7</v>
      </c>
      <c r="L526" t="s">
        <v>16</v>
      </c>
      <c r="M526">
        <v>39</v>
      </c>
      <c r="N526">
        <v>3</v>
      </c>
      <c r="O526">
        <v>0</v>
      </c>
      <c r="P526">
        <v>8.1</v>
      </c>
      <c r="Q526">
        <v>1.27</v>
      </c>
      <c r="R526" t="s">
        <v>9</v>
      </c>
      <c r="S526">
        <f>Sheet1[[#This Row],[Ship_date]]-Sheet1[[#This Row],[Order_date]]</f>
        <v>5</v>
      </c>
      <c r="T526">
        <f>Sheet1[[#This Row],[Quantity]]*Sheet1[[#This Row],[Sales]]</f>
        <v>117</v>
      </c>
      <c r="U526">
        <f>Sheet1[[#This Row],[Total Sales]]*Sheet1[[#This Row],[Discount]]</f>
        <v>0</v>
      </c>
      <c r="V526" s="4">
        <f>Sheet1[[#This Row],[Total Sales]]-Sheet1[[#This Row],[Total Sales]]*Sheet1[[#This Row],[Discount]]</f>
        <v>117</v>
      </c>
      <c r="W526" s="4">
        <f>Sheet1[[#This Row],[Quantity]]*Sheet1[[#This Row],[Profit]]</f>
        <v>24.299999999999997</v>
      </c>
      <c r="X526" s="5">
        <f>Sheet1[[#This Row],[Total Profit]]/Sheet1[[#This Row],[Sales After Discount]]</f>
        <v>0.20769230769230768</v>
      </c>
      <c r="Y526" s="4">
        <f>Sheet1[[#This Row],[Shipping_cost]]*Sheet1[[#This Row],[Quantity]]</f>
        <v>3.81</v>
      </c>
      <c r="Z526" s="4">
        <f>Sheet1[[#This Row],[Total Profit]]-Sheet1[[#This Row],[Total Shipping Cost]]</f>
        <v>20.49</v>
      </c>
      <c r="AA526" s="4" t="str">
        <f>IF(Sheet1[[#This Row],[Net Profit]]&gt;0,"Profit","Loss")</f>
        <v>Profit</v>
      </c>
    </row>
    <row r="527" spans="1:27" x14ac:dyDescent="0.25">
      <c r="A527" t="s">
        <v>776</v>
      </c>
      <c r="B527" s="1">
        <v>40582</v>
      </c>
      <c r="C527" s="1">
        <v>40587</v>
      </c>
      <c r="D527" t="s">
        <v>1</v>
      </c>
      <c r="E527" t="s">
        <v>777</v>
      </c>
      <c r="F527" t="s">
        <v>3</v>
      </c>
      <c r="G527" t="s">
        <v>240</v>
      </c>
      <c r="H527" t="s">
        <v>241</v>
      </c>
      <c r="I527" t="s">
        <v>6</v>
      </c>
      <c r="J527" t="s">
        <v>6</v>
      </c>
      <c r="K527" t="s">
        <v>32</v>
      </c>
      <c r="L527" t="s">
        <v>56</v>
      </c>
      <c r="M527">
        <v>331</v>
      </c>
      <c r="N527">
        <v>2</v>
      </c>
      <c r="O527">
        <v>0</v>
      </c>
      <c r="P527">
        <v>119.16</v>
      </c>
      <c r="Q527">
        <v>0.16</v>
      </c>
      <c r="R527" t="s">
        <v>9</v>
      </c>
      <c r="S527">
        <f>Sheet1[[#This Row],[Ship_date]]-Sheet1[[#This Row],[Order_date]]</f>
        <v>5</v>
      </c>
      <c r="T527">
        <f>Sheet1[[#This Row],[Quantity]]*Sheet1[[#This Row],[Sales]]</f>
        <v>662</v>
      </c>
      <c r="U527">
        <f>Sheet1[[#This Row],[Total Sales]]*Sheet1[[#This Row],[Discount]]</f>
        <v>0</v>
      </c>
      <c r="V527" s="4">
        <f>Sheet1[[#This Row],[Total Sales]]-Sheet1[[#This Row],[Total Sales]]*Sheet1[[#This Row],[Discount]]</f>
        <v>662</v>
      </c>
      <c r="W527" s="4">
        <f>Sheet1[[#This Row],[Quantity]]*Sheet1[[#This Row],[Profit]]</f>
        <v>238.32</v>
      </c>
      <c r="X527" s="5">
        <f>Sheet1[[#This Row],[Total Profit]]/Sheet1[[#This Row],[Sales After Discount]]</f>
        <v>0.36</v>
      </c>
      <c r="Y527" s="4">
        <f>Sheet1[[#This Row],[Shipping_cost]]*Sheet1[[#This Row],[Quantity]]</f>
        <v>0.32</v>
      </c>
      <c r="Z527" s="4">
        <f>Sheet1[[#This Row],[Total Profit]]-Sheet1[[#This Row],[Total Shipping Cost]]</f>
        <v>238</v>
      </c>
      <c r="AA527" s="4" t="str">
        <f>IF(Sheet1[[#This Row],[Net Profit]]&gt;0,"Profit","Loss")</f>
        <v>Profit</v>
      </c>
    </row>
    <row r="528" spans="1:27" x14ac:dyDescent="0.25">
      <c r="A528" t="s">
        <v>784</v>
      </c>
      <c r="B528" s="1">
        <v>40583</v>
      </c>
      <c r="C528" s="1">
        <v>40585</v>
      </c>
      <c r="D528" t="s">
        <v>18</v>
      </c>
      <c r="E528" t="s">
        <v>785</v>
      </c>
      <c r="F528" t="s">
        <v>3</v>
      </c>
      <c r="G528" t="s">
        <v>786</v>
      </c>
      <c r="H528" t="s">
        <v>110</v>
      </c>
      <c r="I528" t="s">
        <v>75</v>
      </c>
      <c r="J528" t="s">
        <v>111</v>
      </c>
      <c r="K528" t="s">
        <v>32</v>
      </c>
      <c r="L528" t="s">
        <v>56</v>
      </c>
      <c r="M528">
        <v>619</v>
      </c>
      <c r="N528">
        <v>2</v>
      </c>
      <c r="O528">
        <v>0</v>
      </c>
      <c r="P528">
        <v>235.04</v>
      </c>
      <c r="Q528">
        <v>107.68</v>
      </c>
      <c r="R528" t="s">
        <v>23</v>
      </c>
      <c r="S528">
        <f>Sheet1[[#This Row],[Ship_date]]-Sheet1[[#This Row],[Order_date]]</f>
        <v>2</v>
      </c>
      <c r="T528">
        <f>Sheet1[[#This Row],[Quantity]]*Sheet1[[#This Row],[Sales]]</f>
        <v>1238</v>
      </c>
      <c r="U528">
        <f>Sheet1[[#This Row],[Total Sales]]*Sheet1[[#This Row],[Discount]]</f>
        <v>0</v>
      </c>
      <c r="V528" s="4">
        <f>Sheet1[[#This Row],[Total Sales]]-Sheet1[[#This Row],[Total Sales]]*Sheet1[[#This Row],[Discount]]</f>
        <v>1238</v>
      </c>
      <c r="W528" s="4">
        <f>Sheet1[[#This Row],[Quantity]]*Sheet1[[#This Row],[Profit]]</f>
        <v>470.08</v>
      </c>
      <c r="X528" s="5">
        <f>Sheet1[[#This Row],[Total Profit]]/Sheet1[[#This Row],[Sales After Discount]]</f>
        <v>0.3797092084006462</v>
      </c>
      <c r="Y528" s="4">
        <f>Sheet1[[#This Row],[Shipping_cost]]*Sheet1[[#This Row],[Quantity]]</f>
        <v>215.36</v>
      </c>
      <c r="Z528" s="4">
        <f>Sheet1[[#This Row],[Total Profit]]-Sheet1[[#This Row],[Total Shipping Cost]]</f>
        <v>254.71999999999997</v>
      </c>
      <c r="AA528" s="4" t="str">
        <f>IF(Sheet1[[#This Row],[Net Profit]]&gt;0,"Profit","Loss")</f>
        <v>Profit</v>
      </c>
    </row>
    <row r="529" spans="1:27" x14ac:dyDescent="0.25">
      <c r="A529" t="s">
        <v>787</v>
      </c>
      <c r="B529" s="1">
        <v>40583</v>
      </c>
      <c r="C529" s="1">
        <v>40587</v>
      </c>
      <c r="D529" t="s">
        <v>1</v>
      </c>
      <c r="E529" t="s">
        <v>760</v>
      </c>
      <c r="F529" t="s">
        <v>3</v>
      </c>
      <c r="G529" t="s">
        <v>445</v>
      </c>
      <c r="H529" t="s">
        <v>106</v>
      </c>
      <c r="I529" t="s">
        <v>75</v>
      </c>
      <c r="J529" t="s">
        <v>30</v>
      </c>
      <c r="K529" t="s">
        <v>38</v>
      </c>
      <c r="L529" t="s">
        <v>50</v>
      </c>
      <c r="M529">
        <v>513</v>
      </c>
      <c r="N529">
        <v>4</v>
      </c>
      <c r="O529">
        <v>2E-3</v>
      </c>
      <c r="P529">
        <v>91.531360000000006</v>
      </c>
      <c r="Q529">
        <v>55.89</v>
      </c>
      <c r="R529" t="s">
        <v>23</v>
      </c>
      <c r="S529">
        <f>Sheet1[[#This Row],[Ship_date]]-Sheet1[[#This Row],[Order_date]]</f>
        <v>4</v>
      </c>
      <c r="T529">
        <f>Sheet1[[#This Row],[Quantity]]*Sheet1[[#This Row],[Sales]]</f>
        <v>2052</v>
      </c>
      <c r="U529">
        <f>Sheet1[[#This Row],[Total Sales]]*Sheet1[[#This Row],[Discount]]</f>
        <v>4.1040000000000001</v>
      </c>
      <c r="V529" s="4">
        <f>Sheet1[[#This Row],[Total Sales]]-Sheet1[[#This Row],[Total Sales]]*Sheet1[[#This Row],[Discount]]</f>
        <v>2047.896</v>
      </c>
      <c r="W529" s="4">
        <f>Sheet1[[#This Row],[Quantity]]*Sheet1[[#This Row],[Profit]]</f>
        <v>366.12544000000003</v>
      </c>
      <c r="X529" s="5">
        <f>Sheet1[[#This Row],[Total Profit]]/Sheet1[[#This Row],[Sales After Discount]]</f>
        <v>0.17878126623617607</v>
      </c>
      <c r="Y529" s="4">
        <f>Sheet1[[#This Row],[Shipping_cost]]*Sheet1[[#This Row],[Quantity]]</f>
        <v>223.56</v>
      </c>
      <c r="Z529" s="4">
        <f>Sheet1[[#This Row],[Total Profit]]-Sheet1[[#This Row],[Total Shipping Cost]]</f>
        <v>142.56544000000002</v>
      </c>
      <c r="AA529" s="4" t="str">
        <f>IF(Sheet1[[#This Row],[Net Profit]]&gt;0,"Profit","Loss")</f>
        <v>Profit</v>
      </c>
    </row>
    <row r="530" spans="1:27" x14ac:dyDescent="0.25">
      <c r="A530" t="s">
        <v>788</v>
      </c>
      <c r="B530" s="1">
        <v>40583</v>
      </c>
      <c r="C530" s="1">
        <v>40583</v>
      </c>
      <c r="D530" t="s">
        <v>41</v>
      </c>
      <c r="E530" t="s">
        <v>789</v>
      </c>
      <c r="F530" t="s">
        <v>3</v>
      </c>
      <c r="G530" t="s">
        <v>109</v>
      </c>
      <c r="H530" t="s">
        <v>110</v>
      </c>
      <c r="I530" t="s">
        <v>75</v>
      </c>
      <c r="J530" t="s">
        <v>111</v>
      </c>
      <c r="K530" t="s">
        <v>38</v>
      </c>
      <c r="L530" t="s">
        <v>77</v>
      </c>
      <c r="M530">
        <v>405</v>
      </c>
      <c r="N530">
        <v>4</v>
      </c>
      <c r="O530">
        <v>0</v>
      </c>
      <c r="P530">
        <v>52.64</v>
      </c>
      <c r="Q530">
        <v>53.53</v>
      </c>
      <c r="R530" t="s">
        <v>9</v>
      </c>
      <c r="S530">
        <f>Sheet1[[#This Row],[Ship_date]]-Sheet1[[#This Row],[Order_date]]</f>
        <v>0</v>
      </c>
      <c r="T530">
        <f>Sheet1[[#This Row],[Quantity]]*Sheet1[[#This Row],[Sales]]</f>
        <v>1620</v>
      </c>
      <c r="U530">
        <f>Sheet1[[#This Row],[Total Sales]]*Sheet1[[#This Row],[Discount]]</f>
        <v>0</v>
      </c>
      <c r="V530" s="4">
        <f>Sheet1[[#This Row],[Total Sales]]-Sheet1[[#This Row],[Total Sales]]*Sheet1[[#This Row],[Discount]]</f>
        <v>1620</v>
      </c>
      <c r="W530" s="4">
        <f>Sheet1[[#This Row],[Quantity]]*Sheet1[[#This Row],[Profit]]</f>
        <v>210.56</v>
      </c>
      <c r="X530" s="5">
        <f>Sheet1[[#This Row],[Total Profit]]/Sheet1[[#This Row],[Sales After Discount]]</f>
        <v>0.12997530864197532</v>
      </c>
      <c r="Y530" s="4">
        <f>Sheet1[[#This Row],[Shipping_cost]]*Sheet1[[#This Row],[Quantity]]</f>
        <v>214.12</v>
      </c>
      <c r="Z530" s="4">
        <f>Sheet1[[#This Row],[Total Profit]]-Sheet1[[#This Row],[Total Shipping Cost]]</f>
        <v>-3.5600000000000023</v>
      </c>
      <c r="AA530" s="4" t="str">
        <f>IF(Sheet1[[#This Row],[Net Profit]]&gt;0,"Profit","Loss")</f>
        <v>Loss</v>
      </c>
    </row>
    <row r="531" spans="1:27" x14ac:dyDescent="0.25">
      <c r="A531" t="s">
        <v>790</v>
      </c>
      <c r="B531" s="1">
        <v>40583</v>
      </c>
      <c r="C531" s="1">
        <v>40583</v>
      </c>
      <c r="D531" t="s">
        <v>41</v>
      </c>
      <c r="E531" t="s">
        <v>791</v>
      </c>
      <c r="F531" t="s">
        <v>3</v>
      </c>
      <c r="G531" t="s">
        <v>792</v>
      </c>
      <c r="H531" t="s">
        <v>305</v>
      </c>
      <c r="I531" t="s">
        <v>29</v>
      </c>
      <c r="J531" t="s">
        <v>76</v>
      </c>
      <c r="K531" t="s">
        <v>7</v>
      </c>
      <c r="L531" t="s">
        <v>91</v>
      </c>
      <c r="M531">
        <v>133</v>
      </c>
      <c r="N531">
        <v>5</v>
      </c>
      <c r="O531">
        <v>0</v>
      </c>
      <c r="P531">
        <v>5.25</v>
      </c>
      <c r="Q531">
        <v>51.62</v>
      </c>
      <c r="R531" t="s">
        <v>45</v>
      </c>
      <c r="S531">
        <f>Sheet1[[#This Row],[Ship_date]]-Sheet1[[#This Row],[Order_date]]</f>
        <v>0</v>
      </c>
      <c r="T531">
        <f>Sheet1[[#This Row],[Quantity]]*Sheet1[[#This Row],[Sales]]</f>
        <v>665</v>
      </c>
      <c r="U531">
        <f>Sheet1[[#This Row],[Total Sales]]*Sheet1[[#This Row],[Discount]]</f>
        <v>0</v>
      </c>
      <c r="V531" s="4">
        <f>Sheet1[[#This Row],[Total Sales]]-Sheet1[[#This Row],[Total Sales]]*Sheet1[[#This Row],[Discount]]</f>
        <v>665</v>
      </c>
      <c r="W531" s="4">
        <f>Sheet1[[#This Row],[Quantity]]*Sheet1[[#This Row],[Profit]]</f>
        <v>26.25</v>
      </c>
      <c r="X531" s="5">
        <f>Sheet1[[#This Row],[Total Profit]]/Sheet1[[#This Row],[Sales After Discount]]</f>
        <v>3.9473684210526314E-2</v>
      </c>
      <c r="Y531" s="4">
        <f>Sheet1[[#This Row],[Shipping_cost]]*Sheet1[[#This Row],[Quantity]]</f>
        <v>258.09999999999997</v>
      </c>
      <c r="Z531" s="4">
        <f>Sheet1[[#This Row],[Total Profit]]-Sheet1[[#This Row],[Total Shipping Cost]]</f>
        <v>-231.84999999999997</v>
      </c>
      <c r="AA531" s="4" t="str">
        <f>IF(Sheet1[[#This Row],[Net Profit]]&gt;0,"Profit","Loss")</f>
        <v>Loss</v>
      </c>
    </row>
    <row r="532" spans="1:27" x14ac:dyDescent="0.25">
      <c r="A532" t="s">
        <v>787</v>
      </c>
      <c r="B532" s="1">
        <v>40583</v>
      </c>
      <c r="C532" s="1">
        <v>40587</v>
      </c>
      <c r="D532" t="s">
        <v>1</v>
      </c>
      <c r="E532" t="s">
        <v>760</v>
      </c>
      <c r="F532" t="s">
        <v>3</v>
      </c>
      <c r="G532" t="s">
        <v>445</v>
      </c>
      <c r="H532" t="s">
        <v>106</v>
      </c>
      <c r="I532" t="s">
        <v>75</v>
      </c>
      <c r="J532" t="s">
        <v>30</v>
      </c>
      <c r="K532" t="s">
        <v>32</v>
      </c>
      <c r="L532" t="s">
        <v>62</v>
      </c>
      <c r="M532">
        <v>407</v>
      </c>
      <c r="N532">
        <v>3</v>
      </c>
      <c r="O532">
        <v>0.2</v>
      </c>
      <c r="P532">
        <v>106.70399999999999</v>
      </c>
      <c r="Q532">
        <v>44.67</v>
      </c>
      <c r="R532" t="s">
        <v>23</v>
      </c>
      <c r="S532">
        <f>Sheet1[[#This Row],[Ship_date]]-Sheet1[[#This Row],[Order_date]]</f>
        <v>4</v>
      </c>
      <c r="T532">
        <f>Sheet1[[#This Row],[Quantity]]*Sheet1[[#This Row],[Sales]]</f>
        <v>1221</v>
      </c>
      <c r="U532">
        <f>Sheet1[[#This Row],[Total Sales]]*Sheet1[[#This Row],[Discount]]</f>
        <v>244.20000000000002</v>
      </c>
      <c r="V532" s="4">
        <f>Sheet1[[#This Row],[Total Sales]]-Sheet1[[#This Row],[Total Sales]]*Sheet1[[#This Row],[Discount]]</f>
        <v>976.8</v>
      </c>
      <c r="W532" s="4">
        <f>Sheet1[[#This Row],[Quantity]]*Sheet1[[#This Row],[Profit]]</f>
        <v>320.11199999999997</v>
      </c>
      <c r="X532" s="5">
        <f>Sheet1[[#This Row],[Total Profit]]/Sheet1[[#This Row],[Sales After Discount]]</f>
        <v>0.32771498771498769</v>
      </c>
      <c r="Y532" s="4">
        <f>Sheet1[[#This Row],[Shipping_cost]]*Sheet1[[#This Row],[Quantity]]</f>
        <v>134.01</v>
      </c>
      <c r="Z532" s="4">
        <f>Sheet1[[#This Row],[Total Profit]]-Sheet1[[#This Row],[Total Shipping Cost]]</f>
        <v>186.10199999999998</v>
      </c>
      <c r="AA532" s="4" t="str">
        <f>IF(Sheet1[[#This Row],[Net Profit]]&gt;0,"Profit","Loss")</f>
        <v>Profit</v>
      </c>
    </row>
    <row r="533" spans="1:27" x14ac:dyDescent="0.25">
      <c r="A533" t="s">
        <v>784</v>
      </c>
      <c r="B533" s="1">
        <v>40583</v>
      </c>
      <c r="C533" s="1">
        <v>40585</v>
      </c>
      <c r="D533" t="s">
        <v>18</v>
      </c>
      <c r="E533" t="s">
        <v>785</v>
      </c>
      <c r="F533" t="s">
        <v>3</v>
      </c>
      <c r="G533" t="s">
        <v>786</v>
      </c>
      <c r="H533" t="s">
        <v>110</v>
      </c>
      <c r="I533" t="s">
        <v>75</v>
      </c>
      <c r="J533" t="s">
        <v>111</v>
      </c>
      <c r="K533" t="s">
        <v>7</v>
      </c>
      <c r="L533" t="s">
        <v>44</v>
      </c>
      <c r="M533">
        <v>423</v>
      </c>
      <c r="N533">
        <v>9</v>
      </c>
      <c r="O533">
        <v>0</v>
      </c>
      <c r="P533">
        <v>88.74</v>
      </c>
      <c r="Q533">
        <v>35.9</v>
      </c>
      <c r="R533" t="s">
        <v>23</v>
      </c>
      <c r="S533">
        <f>Sheet1[[#This Row],[Ship_date]]-Sheet1[[#This Row],[Order_date]]</f>
        <v>2</v>
      </c>
      <c r="T533">
        <f>Sheet1[[#This Row],[Quantity]]*Sheet1[[#This Row],[Sales]]</f>
        <v>3807</v>
      </c>
      <c r="U533">
        <f>Sheet1[[#This Row],[Total Sales]]*Sheet1[[#This Row],[Discount]]</f>
        <v>0</v>
      </c>
      <c r="V533" s="4">
        <f>Sheet1[[#This Row],[Total Sales]]-Sheet1[[#This Row],[Total Sales]]*Sheet1[[#This Row],[Discount]]</f>
        <v>3807</v>
      </c>
      <c r="W533" s="4">
        <f>Sheet1[[#This Row],[Quantity]]*Sheet1[[#This Row],[Profit]]</f>
        <v>798.66</v>
      </c>
      <c r="X533" s="5">
        <f>Sheet1[[#This Row],[Total Profit]]/Sheet1[[#This Row],[Sales After Discount]]</f>
        <v>0.20978723404255317</v>
      </c>
      <c r="Y533" s="4">
        <f>Sheet1[[#This Row],[Shipping_cost]]*Sheet1[[#This Row],[Quantity]]</f>
        <v>323.09999999999997</v>
      </c>
      <c r="Z533" s="4">
        <f>Sheet1[[#This Row],[Total Profit]]-Sheet1[[#This Row],[Total Shipping Cost]]</f>
        <v>475.56</v>
      </c>
      <c r="AA533" s="4" t="str">
        <f>IF(Sheet1[[#This Row],[Net Profit]]&gt;0,"Profit","Loss")</f>
        <v>Profit</v>
      </c>
    </row>
    <row r="534" spans="1:27" x14ac:dyDescent="0.25">
      <c r="A534" t="s">
        <v>248</v>
      </c>
      <c r="B534" s="1">
        <v>40583</v>
      </c>
      <c r="C534" s="1">
        <v>40587</v>
      </c>
      <c r="D534" t="s">
        <v>1</v>
      </c>
      <c r="E534" t="s">
        <v>793</v>
      </c>
      <c r="F534" t="s">
        <v>43</v>
      </c>
      <c r="G534" t="s">
        <v>65</v>
      </c>
      <c r="H534" t="s">
        <v>66</v>
      </c>
      <c r="I534" t="s">
        <v>29</v>
      </c>
      <c r="J534" t="s">
        <v>30</v>
      </c>
      <c r="K534" t="s">
        <v>32</v>
      </c>
      <c r="L534" t="s">
        <v>56</v>
      </c>
      <c r="M534">
        <v>269</v>
      </c>
      <c r="N534">
        <v>2</v>
      </c>
      <c r="O534">
        <v>0.1</v>
      </c>
      <c r="P534">
        <v>23.891999999999999</v>
      </c>
      <c r="Q534">
        <v>35.76</v>
      </c>
      <c r="R534" t="s">
        <v>23</v>
      </c>
      <c r="S534">
        <f>Sheet1[[#This Row],[Ship_date]]-Sheet1[[#This Row],[Order_date]]</f>
        <v>4</v>
      </c>
      <c r="T534">
        <f>Sheet1[[#This Row],[Quantity]]*Sheet1[[#This Row],[Sales]]</f>
        <v>538</v>
      </c>
      <c r="U534">
        <f>Sheet1[[#This Row],[Total Sales]]*Sheet1[[#This Row],[Discount]]</f>
        <v>53.800000000000004</v>
      </c>
      <c r="V534" s="4">
        <f>Sheet1[[#This Row],[Total Sales]]-Sheet1[[#This Row],[Total Sales]]*Sheet1[[#This Row],[Discount]]</f>
        <v>484.2</v>
      </c>
      <c r="W534" s="4">
        <f>Sheet1[[#This Row],[Quantity]]*Sheet1[[#This Row],[Profit]]</f>
        <v>47.783999999999999</v>
      </c>
      <c r="X534" s="5">
        <f>Sheet1[[#This Row],[Total Profit]]/Sheet1[[#This Row],[Sales After Discount]]</f>
        <v>9.8686493184634447E-2</v>
      </c>
      <c r="Y534" s="4">
        <f>Sheet1[[#This Row],[Shipping_cost]]*Sheet1[[#This Row],[Quantity]]</f>
        <v>71.52</v>
      </c>
      <c r="Z534" s="4">
        <f>Sheet1[[#This Row],[Total Profit]]-Sheet1[[#This Row],[Total Shipping Cost]]</f>
        <v>-23.735999999999997</v>
      </c>
      <c r="AA534" s="4" t="str">
        <f>IF(Sheet1[[#This Row],[Net Profit]]&gt;0,"Profit","Loss")</f>
        <v>Loss</v>
      </c>
    </row>
    <row r="535" spans="1:27" x14ac:dyDescent="0.25">
      <c r="A535" t="s">
        <v>794</v>
      </c>
      <c r="B535" s="1">
        <v>40583</v>
      </c>
      <c r="C535" s="1">
        <v>40587</v>
      </c>
      <c r="D535" t="s">
        <v>1</v>
      </c>
      <c r="E535" t="s">
        <v>89</v>
      </c>
      <c r="F535" t="s">
        <v>43</v>
      </c>
      <c r="G535" t="s">
        <v>795</v>
      </c>
      <c r="H535" t="s">
        <v>207</v>
      </c>
      <c r="I535" t="s">
        <v>29</v>
      </c>
      <c r="J535" t="s">
        <v>76</v>
      </c>
      <c r="K535" t="s">
        <v>32</v>
      </c>
      <c r="L535" t="s">
        <v>33</v>
      </c>
      <c r="M535">
        <v>267</v>
      </c>
      <c r="N535">
        <v>3</v>
      </c>
      <c r="O535">
        <v>0.2</v>
      </c>
      <c r="P535">
        <v>89.981999999999999</v>
      </c>
      <c r="Q535">
        <v>35.11</v>
      </c>
      <c r="R535" t="s">
        <v>23</v>
      </c>
      <c r="S535">
        <f>Sheet1[[#This Row],[Ship_date]]-Sheet1[[#This Row],[Order_date]]</f>
        <v>4</v>
      </c>
      <c r="T535">
        <f>Sheet1[[#This Row],[Quantity]]*Sheet1[[#This Row],[Sales]]</f>
        <v>801</v>
      </c>
      <c r="U535">
        <f>Sheet1[[#This Row],[Total Sales]]*Sheet1[[#This Row],[Discount]]</f>
        <v>160.20000000000002</v>
      </c>
      <c r="V535" s="4">
        <f>Sheet1[[#This Row],[Total Sales]]-Sheet1[[#This Row],[Total Sales]]*Sheet1[[#This Row],[Discount]]</f>
        <v>640.79999999999995</v>
      </c>
      <c r="W535" s="4">
        <f>Sheet1[[#This Row],[Quantity]]*Sheet1[[#This Row],[Profit]]</f>
        <v>269.94600000000003</v>
      </c>
      <c r="X535" s="5">
        <f>Sheet1[[#This Row],[Total Profit]]/Sheet1[[#This Row],[Sales After Discount]]</f>
        <v>0.4212640449438203</v>
      </c>
      <c r="Y535" s="4">
        <f>Sheet1[[#This Row],[Shipping_cost]]*Sheet1[[#This Row],[Quantity]]</f>
        <v>105.33</v>
      </c>
      <c r="Z535" s="4">
        <f>Sheet1[[#This Row],[Total Profit]]-Sheet1[[#This Row],[Total Shipping Cost]]</f>
        <v>164.61600000000004</v>
      </c>
      <c r="AA535" s="4" t="str">
        <f>IF(Sheet1[[#This Row],[Net Profit]]&gt;0,"Profit","Loss")</f>
        <v>Profit</v>
      </c>
    </row>
    <row r="536" spans="1:27" x14ac:dyDescent="0.25">
      <c r="A536" t="s">
        <v>790</v>
      </c>
      <c r="B536" s="1">
        <v>40583</v>
      </c>
      <c r="C536" s="1">
        <v>40583</v>
      </c>
      <c r="D536" t="s">
        <v>41</v>
      </c>
      <c r="E536" t="s">
        <v>791</v>
      </c>
      <c r="F536" t="s">
        <v>3</v>
      </c>
      <c r="G536" t="s">
        <v>792</v>
      </c>
      <c r="H536" t="s">
        <v>305</v>
      </c>
      <c r="I536" t="s">
        <v>29</v>
      </c>
      <c r="J536" t="s">
        <v>76</v>
      </c>
      <c r="K536" t="s">
        <v>7</v>
      </c>
      <c r="L536" t="s">
        <v>137</v>
      </c>
      <c r="M536">
        <v>80</v>
      </c>
      <c r="N536">
        <v>7</v>
      </c>
      <c r="O536">
        <v>0</v>
      </c>
      <c r="P536">
        <v>20.79</v>
      </c>
      <c r="Q536">
        <v>23</v>
      </c>
      <c r="R536" t="s">
        <v>45</v>
      </c>
      <c r="S536">
        <f>Sheet1[[#This Row],[Ship_date]]-Sheet1[[#This Row],[Order_date]]</f>
        <v>0</v>
      </c>
      <c r="T536">
        <f>Sheet1[[#This Row],[Quantity]]*Sheet1[[#This Row],[Sales]]</f>
        <v>560</v>
      </c>
      <c r="U536">
        <f>Sheet1[[#This Row],[Total Sales]]*Sheet1[[#This Row],[Discount]]</f>
        <v>0</v>
      </c>
      <c r="V536" s="4">
        <f>Sheet1[[#This Row],[Total Sales]]-Sheet1[[#This Row],[Total Sales]]*Sheet1[[#This Row],[Discount]]</f>
        <v>560</v>
      </c>
      <c r="W536" s="4">
        <f>Sheet1[[#This Row],[Quantity]]*Sheet1[[#This Row],[Profit]]</f>
        <v>145.53</v>
      </c>
      <c r="X536" s="5">
        <f>Sheet1[[#This Row],[Total Profit]]/Sheet1[[#This Row],[Sales After Discount]]</f>
        <v>0.25987500000000002</v>
      </c>
      <c r="Y536" s="4">
        <f>Sheet1[[#This Row],[Shipping_cost]]*Sheet1[[#This Row],[Quantity]]</f>
        <v>161</v>
      </c>
      <c r="Z536" s="4">
        <f>Sheet1[[#This Row],[Total Profit]]-Sheet1[[#This Row],[Total Shipping Cost]]</f>
        <v>-15.469999999999999</v>
      </c>
      <c r="AA536" s="4" t="str">
        <f>IF(Sheet1[[#This Row],[Net Profit]]&gt;0,"Profit","Loss")</f>
        <v>Loss</v>
      </c>
    </row>
    <row r="537" spans="1:27" x14ac:dyDescent="0.25">
      <c r="A537" t="s">
        <v>796</v>
      </c>
      <c r="B537" s="1">
        <v>40583</v>
      </c>
      <c r="C537" s="1">
        <v>40588</v>
      </c>
      <c r="D537" t="s">
        <v>1</v>
      </c>
      <c r="E537" t="s">
        <v>797</v>
      </c>
      <c r="F537" t="s">
        <v>26</v>
      </c>
      <c r="G537" t="s">
        <v>712</v>
      </c>
      <c r="H537" t="s">
        <v>276</v>
      </c>
      <c r="I537" t="s">
        <v>29</v>
      </c>
      <c r="J537" t="s">
        <v>102</v>
      </c>
      <c r="K537" t="s">
        <v>32</v>
      </c>
      <c r="L537" t="s">
        <v>67</v>
      </c>
      <c r="M537">
        <v>368</v>
      </c>
      <c r="N537">
        <v>3</v>
      </c>
      <c r="O537">
        <v>0</v>
      </c>
      <c r="P537">
        <v>14.67</v>
      </c>
      <c r="Q537">
        <v>17.87</v>
      </c>
      <c r="R537" t="s">
        <v>9</v>
      </c>
      <c r="S537">
        <f>Sheet1[[#This Row],[Ship_date]]-Sheet1[[#This Row],[Order_date]]</f>
        <v>5</v>
      </c>
      <c r="T537">
        <f>Sheet1[[#This Row],[Quantity]]*Sheet1[[#This Row],[Sales]]</f>
        <v>1104</v>
      </c>
      <c r="U537">
        <f>Sheet1[[#This Row],[Total Sales]]*Sheet1[[#This Row],[Discount]]</f>
        <v>0</v>
      </c>
      <c r="V537" s="4">
        <f>Sheet1[[#This Row],[Total Sales]]-Sheet1[[#This Row],[Total Sales]]*Sheet1[[#This Row],[Discount]]</f>
        <v>1104</v>
      </c>
      <c r="W537" s="4">
        <f>Sheet1[[#This Row],[Quantity]]*Sheet1[[#This Row],[Profit]]</f>
        <v>44.01</v>
      </c>
      <c r="X537" s="5">
        <f>Sheet1[[#This Row],[Total Profit]]/Sheet1[[#This Row],[Sales After Discount]]</f>
        <v>3.986413043478261E-2</v>
      </c>
      <c r="Y537" s="4">
        <f>Sheet1[[#This Row],[Shipping_cost]]*Sheet1[[#This Row],[Quantity]]</f>
        <v>53.61</v>
      </c>
      <c r="Z537" s="4">
        <f>Sheet1[[#This Row],[Total Profit]]-Sheet1[[#This Row],[Total Shipping Cost]]</f>
        <v>-9.6000000000000014</v>
      </c>
      <c r="AA537" s="4" t="str">
        <f>IF(Sheet1[[#This Row],[Net Profit]]&gt;0,"Profit","Loss")</f>
        <v>Loss</v>
      </c>
    </row>
    <row r="538" spans="1:27" x14ac:dyDescent="0.25">
      <c r="A538" t="s">
        <v>794</v>
      </c>
      <c r="B538" s="1">
        <v>40583</v>
      </c>
      <c r="C538" s="1">
        <v>40587</v>
      </c>
      <c r="D538" t="s">
        <v>1</v>
      </c>
      <c r="E538" t="s">
        <v>89</v>
      </c>
      <c r="F538" t="s">
        <v>43</v>
      </c>
      <c r="G538" t="s">
        <v>795</v>
      </c>
      <c r="H538" t="s">
        <v>207</v>
      </c>
      <c r="I538" t="s">
        <v>29</v>
      </c>
      <c r="J538" t="s">
        <v>76</v>
      </c>
      <c r="K538" t="s">
        <v>7</v>
      </c>
      <c r="L538" t="s">
        <v>8</v>
      </c>
      <c r="M538">
        <v>91</v>
      </c>
      <c r="N538">
        <v>3</v>
      </c>
      <c r="O538">
        <v>0.5</v>
      </c>
      <c r="P538">
        <v>-1.845</v>
      </c>
      <c r="Q538">
        <v>14.63</v>
      </c>
      <c r="R538" t="s">
        <v>23</v>
      </c>
      <c r="S538">
        <f>Sheet1[[#This Row],[Ship_date]]-Sheet1[[#This Row],[Order_date]]</f>
        <v>4</v>
      </c>
      <c r="T538">
        <f>Sheet1[[#This Row],[Quantity]]*Sheet1[[#This Row],[Sales]]</f>
        <v>273</v>
      </c>
      <c r="U538">
        <f>Sheet1[[#This Row],[Total Sales]]*Sheet1[[#This Row],[Discount]]</f>
        <v>136.5</v>
      </c>
      <c r="V538" s="4">
        <f>Sheet1[[#This Row],[Total Sales]]-Sheet1[[#This Row],[Total Sales]]*Sheet1[[#This Row],[Discount]]</f>
        <v>136.5</v>
      </c>
      <c r="W538" s="4">
        <f>Sheet1[[#This Row],[Quantity]]*Sheet1[[#This Row],[Profit]]</f>
        <v>-5.5350000000000001</v>
      </c>
      <c r="X538" s="5">
        <f>Sheet1[[#This Row],[Total Profit]]/Sheet1[[#This Row],[Sales After Discount]]</f>
        <v>-4.0549450549450548E-2</v>
      </c>
      <c r="Y538" s="4">
        <f>Sheet1[[#This Row],[Shipping_cost]]*Sheet1[[#This Row],[Quantity]]</f>
        <v>43.89</v>
      </c>
      <c r="Z538" s="4">
        <f>Sheet1[[#This Row],[Total Profit]]-Sheet1[[#This Row],[Total Shipping Cost]]</f>
        <v>-49.424999999999997</v>
      </c>
      <c r="AA538" s="4" t="str">
        <f>IF(Sheet1[[#This Row],[Net Profit]]&gt;0,"Profit","Loss")</f>
        <v>Loss</v>
      </c>
    </row>
    <row r="539" spans="1:27" x14ac:dyDescent="0.25">
      <c r="A539" t="s">
        <v>798</v>
      </c>
      <c r="B539" s="1">
        <v>40583</v>
      </c>
      <c r="C539" s="1">
        <v>40589</v>
      </c>
      <c r="D539" t="s">
        <v>1</v>
      </c>
      <c r="E539" t="s">
        <v>799</v>
      </c>
      <c r="F539" t="s">
        <v>26</v>
      </c>
      <c r="G539" t="s">
        <v>800</v>
      </c>
      <c r="H539" t="s">
        <v>801</v>
      </c>
      <c r="I539" t="s">
        <v>14</v>
      </c>
      <c r="J539" t="s">
        <v>132</v>
      </c>
      <c r="K539" t="s">
        <v>7</v>
      </c>
      <c r="L539" t="s">
        <v>8</v>
      </c>
      <c r="M539">
        <v>257</v>
      </c>
      <c r="N539">
        <v>4</v>
      </c>
      <c r="O539">
        <v>0.5</v>
      </c>
      <c r="P539">
        <v>-205.5</v>
      </c>
      <c r="Q539">
        <v>13.62</v>
      </c>
      <c r="R539" t="s">
        <v>9</v>
      </c>
      <c r="S539">
        <f>Sheet1[[#This Row],[Ship_date]]-Sheet1[[#This Row],[Order_date]]</f>
        <v>6</v>
      </c>
      <c r="T539">
        <f>Sheet1[[#This Row],[Quantity]]*Sheet1[[#This Row],[Sales]]</f>
        <v>1028</v>
      </c>
      <c r="U539">
        <f>Sheet1[[#This Row],[Total Sales]]*Sheet1[[#This Row],[Discount]]</f>
        <v>514</v>
      </c>
      <c r="V539" s="4">
        <f>Sheet1[[#This Row],[Total Sales]]-Sheet1[[#This Row],[Total Sales]]*Sheet1[[#This Row],[Discount]]</f>
        <v>514</v>
      </c>
      <c r="W539" s="4">
        <f>Sheet1[[#This Row],[Quantity]]*Sheet1[[#This Row],[Profit]]</f>
        <v>-822</v>
      </c>
      <c r="X539" s="5">
        <f>Sheet1[[#This Row],[Total Profit]]/Sheet1[[#This Row],[Sales After Discount]]</f>
        <v>-1.5992217898832686</v>
      </c>
      <c r="Y539" s="4">
        <f>Sheet1[[#This Row],[Shipping_cost]]*Sheet1[[#This Row],[Quantity]]</f>
        <v>54.48</v>
      </c>
      <c r="Z539" s="4">
        <f>Sheet1[[#This Row],[Total Profit]]-Sheet1[[#This Row],[Total Shipping Cost]]</f>
        <v>-876.48</v>
      </c>
      <c r="AA539" s="4" t="str">
        <f>IF(Sheet1[[#This Row],[Net Profit]]&gt;0,"Profit","Loss")</f>
        <v>Loss</v>
      </c>
    </row>
    <row r="540" spans="1:27" x14ac:dyDescent="0.25">
      <c r="A540" t="s">
        <v>798</v>
      </c>
      <c r="B540" s="1">
        <v>40583</v>
      </c>
      <c r="C540" s="1">
        <v>40589</v>
      </c>
      <c r="D540" t="s">
        <v>1</v>
      </c>
      <c r="E540" t="s">
        <v>799</v>
      </c>
      <c r="F540" t="s">
        <v>26</v>
      </c>
      <c r="G540" t="s">
        <v>800</v>
      </c>
      <c r="H540" t="s">
        <v>801</v>
      </c>
      <c r="I540" t="s">
        <v>14</v>
      </c>
      <c r="J540" t="s">
        <v>132</v>
      </c>
      <c r="K540" t="s">
        <v>32</v>
      </c>
      <c r="L540" t="s">
        <v>62</v>
      </c>
      <c r="M540">
        <v>203</v>
      </c>
      <c r="N540">
        <v>4</v>
      </c>
      <c r="O540">
        <v>0.8</v>
      </c>
      <c r="P540">
        <v>-304.22399999999999</v>
      </c>
      <c r="Q540">
        <v>11.94</v>
      </c>
      <c r="R540" t="s">
        <v>9</v>
      </c>
      <c r="S540">
        <f>Sheet1[[#This Row],[Ship_date]]-Sheet1[[#This Row],[Order_date]]</f>
        <v>6</v>
      </c>
      <c r="T540">
        <f>Sheet1[[#This Row],[Quantity]]*Sheet1[[#This Row],[Sales]]</f>
        <v>812</v>
      </c>
      <c r="U540">
        <f>Sheet1[[#This Row],[Total Sales]]*Sheet1[[#This Row],[Discount]]</f>
        <v>649.6</v>
      </c>
      <c r="V540" s="4">
        <f>Sheet1[[#This Row],[Total Sales]]-Sheet1[[#This Row],[Total Sales]]*Sheet1[[#This Row],[Discount]]</f>
        <v>162.39999999999998</v>
      </c>
      <c r="W540" s="4">
        <f>Sheet1[[#This Row],[Quantity]]*Sheet1[[#This Row],[Profit]]</f>
        <v>-1216.896</v>
      </c>
      <c r="X540" s="5">
        <f>Sheet1[[#This Row],[Total Profit]]/Sheet1[[#This Row],[Sales After Discount]]</f>
        <v>-7.4932019704433506</v>
      </c>
      <c r="Y540" s="4">
        <f>Sheet1[[#This Row],[Shipping_cost]]*Sheet1[[#This Row],[Quantity]]</f>
        <v>47.76</v>
      </c>
      <c r="Z540" s="4">
        <f>Sheet1[[#This Row],[Total Profit]]-Sheet1[[#This Row],[Total Shipping Cost]]</f>
        <v>-1264.6559999999999</v>
      </c>
      <c r="AA540" s="4" t="str">
        <f>IF(Sheet1[[#This Row],[Net Profit]]&gt;0,"Profit","Loss")</f>
        <v>Loss</v>
      </c>
    </row>
    <row r="541" spans="1:27" x14ac:dyDescent="0.25">
      <c r="A541" t="s">
        <v>802</v>
      </c>
      <c r="B541" s="1">
        <v>40583</v>
      </c>
      <c r="C541" s="1">
        <v>40587</v>
      </c>
      <c r="D541" t="s">
        <v>1</v>
      </c>
      <c r="E541" t="s">
        <v>803</v>
      </c>
      <c r="F541" t="s">
        <v>26</v>
      </c>
      <c r="G541" t="s">
        <v>235</v>
      </c>
      <c r="H541" t="s">
        <v>13</v>
      </c>
      <c r="I541" t="s">
        <v>14</v>
      </c>
      <c r="J541" t="s">
        <v>15</v>
      </c>
      <c r="K541" t="s">
        <v>32</v>
      </c>
      <c r="L541" t="s">
        <v>33</v>
      </c>
      <c r="M541">
        <v>137</v>
      </c>
      <c r="N541">
        <v>6</v>
      </c>
      <c r="O541">
        <v>0.1</v>
      </c>
      <c r="P541">
        <v>22.626000000000001</v>
      </c>
      <c r="Q541">
        <v>9.4499999999999993</v>
      </c>
      <c r="R541" t="s">
        <v>9</v>
      </c>
      <c r="S541">
        <f>Sheet1[[#This Row],[Ship_date]]-Sheet1[[#This Row],[Order_date]]</f>
        <v>4</v>
      </c>
      <c r="T541">
        <f>Sheet1[[#This Row],[Quantity]]*Sheet1[[#This Row],[Sales]]</f>
        <v>822</v>
      </c>
      <c r="U541">
        <f>Sheet1[[#This Row],[Total Sales]]*Sheet1[[#This Row],[Discount]]</f>
        <v>82.2</v>
      </c>
      <c r="V541" s="4">
        <f>Sheet1[[#This Row],[Total Sales]]-Sheet1[[#This Row],[Total Sales]]*Sheet1[[#This Row],[Discount]]</f>
        <v>739.8</v>
      </c>
      <c r="W541" s="4">
        <f>Sheet1[[#This Row],[Quantity]]*Sheet1[[#This Row],[Profit]]</f>
        <v>135.756</v>
      </c>
      <c r="X541" s="5">
        <f>Sheet1[[#This Row],[Total Profit]]/Sheet1[[#This Row],[Sales After Discount]]</f>
        <v>0.18350364963503651</v>
      </c>
      <c r="Y541" s="4">
        <f>Sheet1[[#This Row],[Shipping_cost]]*Sheet1[[#This Row],[Quantity]]</f>
        <v>56.699999999999996</v>
      </c>
      <c r="Z541" s="4">
        <f>Sheet1[[#This Row],[Total Profit]]-Sheet1[[#This Row],[Total Shipping Cost]]</f>
        <v>79.056000000000012</v>
      </c>
      <c r="AA541" s="4" t="str">
        <f>IF(Sheet1[[#This Row],[Net Profit]]&gt;0,"Profit","Loss")</f>
        <v>Profit</v>
      </c>
    </row>
    <row r="542" spans="1:27" x14ac:dyDescent="0.25">
      <c r="A542" t="s">
        <v>794</v>
      </c>
      <c r="B542" s="1">
        <v>40583</v>
      </c>
      <c r="C542" s="1">
        <v>40587</v>
      </c>
      <c r="D542" t="s">
        <v>1</v>
      </c>
      <c r="E542" t="s">
        <v>89</v>
      </c>
      <c r="F542" t="s">
        <v>43</v>
      </c>
      <c r="G542" t="s">
        <v>795</v>
      </c>
      <c r="H542" t="s">
        <v>207</v>
      </c>
      <c r="I542" t="s">
        <v>29</v>
      </c>
      <c r="J542" t="s">
        <v>76</v>
      </c>
      <c r="K542" t="s">
        <v>7</v>
      </c>
      <c r="L542" t="s">
        <v>96</v>
      </c>
      <c r="M542">
        <v>55</v>
      </c>
      <c r="N542">
        <v>4</v>
      </c>
      <c r="O542">
        <v>0.5</v>
      </c>
      <c r="P542">
        <v>-18.66</v>
      </c>
      <c r="Q542">
        <v>5.71</v>
      </c>
      <c r="R542" t="s">
        <v>23</v>
      </c>
      <c r="S542">
        <f>Sheet1[[#This Row],[Ship_date]]-Sheet1[[#This Row],[Order_date]]</f>
        <v>4</v>
      </c>
      <c r="T542">
        <f>Sheet1[[#This Row],[Quantity]]*Sheet1[[#This Row],[Sales]]</f>
        <v>220</v>
      </c>
      <c r="U542">
        <f>Sheet1[[#This Row],[Total Sales]]*Sheet1[[#This Row],[Discount]]</f>
        <v>110</v>
      </c>
      <c r="V542" s="4">
        <f>Sheet1[[#This Row],[Total Sales]]-Sheet1[[#This Row],[Total Sales]]*Sheet1[[#This Row],[Discount]]</f>
        <v>110</v>
      </c>
      <c r="W542" s="4">
        <f>Sheet1[[#This Row],[Quantity]]*Sheet1[[#This Row],[Profit]]</f>
        <v>-74.64</v>
      </c>
      <c r="X542" s="5">
        <f>Sheet1[[#This Row],[Total Profit]]/Sheet1[[#This Row],[Sales After Discount]]</f>
        <v>-0.67854545454545456</v>
      </c>
      <c r="Y542" s="4">
        <f>Sheet1[[#This Row],[Shipping_cost]]*Sheet1[[#This Row],[Quantity]]</f>
        <v>22.84</v>
      </c>
      <c r="Z542" s="4">
        <f>Sheet1[[#This Row],[Total Profit]]-Sheet1[[#This Row],[Total Shipping Cost]]</f>
        <v>-97.48</v>
      </c>
      <c r="AA542" s="4" t="str">
        <f>IF(Sheet1[[#This Row],[Net Profit]]&gt;0,"Profit","Loss")</f>
        <v>Loss</v>
      </c>
    </row>
    <row r="543" spans="1:27" x14ac:dyDescent="0.25">
      <c r="A543" t="s">
        <v>796</v>
      </c>
      <c r="B543" s="1">
        <v>40583</v>
      </c>
      <c r="C543" s="1">
        <v>40588</v>
      </c>
      <c r="D543" t="s">
        <v>1</v>
      </c>
      <c r="E543" t="s">
        <v>797</v>
      </c>
      <c r="F543" t="s">
        <v>26</v>
      </c>
      <c r="G543" t="s">
        <v>712</v>
      </c>
      <c r="H543" t="s">
        <v>276</v>
      </c>
      <c r="I543" t="s">
        <v>29</v>
      </c>
      <c r="J543" t="s">
        <v>102</v>
      </c>
      <c r="K543" t="s">
        <v>7</v>
      </c>
      <c r="L543" t="s">
        <v>91</v>
      </c>
      <c r="M543">
        <v>93</v>
      </c>
      <c r="N543">
        <v>2</v>
      </c>
      <c r="O543">
        <v>0</v>
      </c>
      <c r="P543">
        <v>24.06</v>
      </c>
      <c r="Q543">
        <v>5.54</v>
      </c>
      <c r="R543" t="s">
        <v>9</v>
      </c>
      <c r="S543">
        <f>Sheet1[[#This Row],[Ship_date]]-Sheet1[[#This Row],[Order_date]]</f>
        <v>5</v>
      </c>
      <c r="T543">
        <f>Sheet1[[#This Row],[Quantity]]*Sheet1[[#This Row],[Sales]]</f>
        <v>186</v>
      </c>
      <c r="U543">
        <f>Sheet1[[#This Row],[Total Sales]]*Sheet1[[#This Row],[Discount]]</f>
        <v>0</v>
      </c>
      <c r="V543" s="4">
        <f>Sheet1[[#This Row],[Total Sales]]-Sheet1[[#This Row],[Total Sales]]*Sheet1[[#This Row],[Discount]]</f>
        <v>186</v>
      </c>
      <c r="W543" s="4">
        <f>Sheet1[[#This Row],[Quantity]]*Sheet1[[#This Row],[Profit]]</f>
        <v>48.12</v>
      </c>
      <c r="X543" s="5">
        <f>Sheet1[[#This Row],[Total Profit]]/Sheet1[[#This Row],[Sales After Discount]]</f>
        <v>0.2587096774193548</v>
      </c>
      <c r="Y543" s="4">
        <f>Sheet1[[#This Row],[Shipping_cost]]*Sheet1[[#This Row],[Quantity]]</f>
        <v>11.08</v>
      </c>
      <c r="Z543" s="4">
        <f>Sheet1[[#This Row],[Total Profit]]-Sheet1[[#This Row],[Total Shipping Cost]]</f>
        <v>37.04</v>
      </c>
      <c r="AA543" s="4" t="str">
        <f>IF(Sheet1[[#This Row],[Net Profit]]&gt;0,"Profit","Loss")</f>
        <v>Profit</v>
      </c>
    </row>
    <row r="544" spans="1:27" x14ac:dyDescent="0.25">
      <c r="A544" t="s">
        <v>796</v>
      </c>
      <c r="B544" s="1">
        <v>40583</v>
      </c>
      <c r="C544" s="1">
        <v>40588</v>
      </c>
      <c r="D544" t="s">
        <v>1</v>
      </c>
      <c r="E544" t="s">
        <v>797</v>
      </c>
      <c r="F544" t="s">
        <v>26</v>
      </c>
      <c r="G544" t="s">
        <v>712</v>
      </c>
      <c r="H544" t="s">
        <v>276</v>
      </c>
      <c r="I544" t="s">
        <v>29</v>
      </c>
      <c r="J544" t="s">
        <v>102</v>
      </c>
      <c r="K544" t="s">
        <v>7</v>
      </c>
      <c r="L544" t="s">
        <v>137</v>
      </c>
      <c r="M544">
        <v>85</v>
      </c>
      <c r="N544">
        <v>3</v>
      </c>
      <c r="O544">
        <v>0</v>
      </c>
      <c r="P544">
        <v>17.73</v>
      </c>
      <c r="Q544">
        <v>5.17</v>
      </c>
      <c r="R544" t="s">
        <v>9</v>
      </c>
      <c r="S544">
        <f>Sheet1[[#This Row],[Ship_date]]-Sheet1[[#This Row],[Order_date]]</f>
        <v>5</v>
      </c>
      <c r="T544">
        <f>Sheet1[[#This Row],[Quantity]]*Sheet1[[#This Row],[Sales]]</f>
        <v>255</v>
      </c>
      <c r="U544">
        <f>Sheet1[[#This Row],[Total Sales]]*Sheet1[[#This Row],[Discount]]</f>
        <v>0</v>
      </c>
      <c r="V544" s="4">
        <f>Sheet1[[#This Row],[Total Sales]]-Sheet1[[#This Row],[Total Sales]]*Sheet1[[#This Row],[Discount]]</f>
        <v>255</v>
      </c>
      <c r="W544" s="4">
        <f>Sheet1[[#This Row],[Quantity]]*Sheet1[[#This Row],[Profit]]</f>
        <v>53.19</v>
      </c>
      <c r="X544" s="5">
        <f>Sheet1[[#This Row],[Total Profit]]/Sheet1[[#This Row],[Sales After Discount]]</f>
        <v>0.20858823529411763</v>
      </c>
      <c r="Y544" s="4">
        <f>Sheet1[[#This Row],[Shipping_cost]]*Sheet1[[#This Row],[Quantity]]</f>
        <v>15.51</v>
      </c>
      <c r="Z544" s="4">
        <f>Sheet1[[#This Row],[Total Profit]]-Sheet1[[#This Row],[Total Shipping Cost]]</f>
        <v>37.68</v>
      </c>
      <c r="AA544" s="4" t="str">
        <f>IF(Sheet1[[#This Row],[Net Profit]]&gt;0,"Profit","Loss")</f>
        <v>Profit</v>
      </c>
    </row>
    <row r="545" spans="1:27" x14ac:dyDescent="0.25">
      <c r="A545" t="s">
        <v>796</v>
      </c>
      <c r="B545" s="1">
        <v>40583</v>
      </c>
      <c r="C545" s="1">
        <v>40588</v>
      </c>
      <c r="D545" t="s">
        <v>1</v>
      </c>
      <c r="E545" t="s">
        <v>797</v>
      </c>
      <c r="F545" t="s">
        <v>26</v>
      </c>
      <c r="G545" t="s">
        <v>712</v>
      </c>
      <c r="H545" t="s">
        <v>276</v>
      </c>
      <c r="I545" t="s">
        <v>29</v>
      </c>
      <c r="J545" t="s">
        <v>102</v>
      </c>
      <c r="K545" t="s">
        <v>7</v>
      </c>
      <c r="L545" t="s">
        <v>8</v>
      </c>
      <c r="M545">
        <v>60</v>
      </c>
      <c r="N545">
        <v>4</v>
      </c>
      <c r="O545">
        <v>0.1</v>
      </c>
      <c r="P545">
        <v>-2.6640000000000001</v>
      </c>
      <c r="Q545">
        <v>2.85</v>
      </c>
      <c r="R545" t="s">
        <v>9</v>
      </c>
      <c r="S545">
        <f>Sheet1[[#This Row],[Ship_date]]-Sheet1[[#This Row],[Order_date]]</f>
        <v>5</v>
      </c>
      <c r="T545">
        <f>Sheet1[[#This Row],[Quantity]]*Sheet1[[#This Row],[Sales]]</f>
        <v>240</v>
      </c>
      <c r="U545">
        <f>Sheet1[[#This Row],[Total Sales]]*Sheet1[[#This Row],[Discount]]</f>
        <v>24</v>
      </c>
      <c r="V545" s="4">
        <f>Sheet1[[#This Row],[Total Sales]]-Sheet1[[#This Row],[Total Sales]]*Sheet1[[#This Row],[Discount]]</f>
        <v>216</v>
      </c>
      <c r="W545" s="4">
        <f>Sheet1[[#This Row],[Quantity]]*Sheet1[[#This Row],[Profit]]</f>
        <v>-10.656000000000001</v>
      </c>
      <c r="X545" s="5">
        <f>Sheet1[[#This Row],[Total Profit]]/Sheet1[[#This Row],[Sales After Discount]]</f>
        <v>-4.9333333333333333E-2</v>
      </c>
      <c r="Y545" s="4">
        <f>Sheet1[[#This Row],[Shipping_cost]]*Sheet1[[#This Row],[Quantity]]</f>
        <v>11.4</v>
      </c>
      <c r="Z545" s="4">
        <f>Sheet1[[#This Row],[Total Profit]]-Sheet1[[#This Row],[Total Shipping Cost]]</f>
        <v>-22.056000000000001</v>
      </c>
      <c r="AA545" s="4" t="str">
        <f>IF(Sheet1[[#This Row],[Net Profit]]&gt;0,"Profit","Loss")</f>
        <v>Loss</v>
      </c>
    </row>
    <row r="546" spans="1:27" x14ac:dyDescent="0.25">
      <c r="A546" t="s">
        <v>796</v>
      </c>
      <c r="B546" s="1">
        <v>40583</v>
      </c>
      <c r="C546" s="1">
        <v>40588</v>
      </c>
      <c r="D546" t="s">
        <v>1</v>
      </c>
      <c r="E546" t="s">
        <v>797</v>
      </c>
      <c r="F546" t="s">
        <v>26</v>
      </c>
      <c r="G546" t="s">
        <v>712</v>
      </c>
      <c r="H546" t="s">
        <v>276</v>
      </c>
      <c r="I546" t="s">
        <v>29</v>
      </c>
      <c r="J546" t="s">
        <v>102</v>
      </c>
      <c r="K546" t="s">
        <v>7</v>
      </c>
      <c r="L546" t="s">
        <v>97</v>
      </c>
      <c r="M546">
        <v>48</v>
      </c>
      <c r="N546">
        <v>3</v>
      </c>
      <c r="O546">
        <v>0</v>
      </c>
      <c r="P546">
        <v>4.7699999999999996</v>
      </c>
      <c r="Q546">
        <v>2.34</v>
      </c>
      <c r="R546" t="s">
        <v>9</v>
      </c>
      <c r="S546">
        <f>Sheet1[[#This Row],[Ship_date]]-Sheet1[[#This Row],[Order_date]]</f>
        <v>5</v>
      </c>
      <c r="T546">
        <f>Sheet1[[#This Row],[Quantity]]*Sheet1[[#This Row],[Sales]]</f>
        <v>144</v>
      </c>
      <c r="U546">
        <f>Sheet1[[#This Row],[Total Sales]]*Sheet1[[#This Row],[Discount]]</f>
        <v>0</v>
      </c>
      <c r="V546" s="4">
        <f>Sheet1[[#This Row],[Total Sales]]-Sheet1[[#This Row],[Total Sales]]*Sheet1[[#This Row],[Discount]]</f>
        <v>144</v>
      </c>
      <c r="W546" s="4">
        <f>Sheet1[[#This Row],[Quantity]]*Sheet1[[#This Row],[Profit]]</f>
        <v>14.309999999999999</v>
      </c>
      <c r="X546" s="5">
        <f>Sheet1[[#This Row],[Total Profit]]/Sheet1[[#This Row],[Sales After Discount]]</f>
        <v>9.9374999999999991E-2</v>
      </c>
      <c r="Y546" s="4">
        <f>Sheet1[[#This Row],[Shipping_cost]]*Sheet1[[#This Row],[Quantity]]</f>
        <v>7.02</v>
      </c>
      <c r="Z546" s="4">
        <f>Sheet1[[#This Row],[Total Profit]]-Sheet1[[#This Row],[Total Shipping Cost]]</f>
        <v>7.2899999999999991</v>
      </c>
      <c r="AA546" s="4" t="str">
        <f>IF(Sheet1[[#This Row],[Net Profit]]&gt;0,"Profit","Loss")</f>
        <v>Profit</v>
      </c>
    </row>
    <row r="547" spans="1:27" x14ac:dyDescent="0.25">
      <c r="A547" t="s">
        <v>804</v>
      </c>
      <c r="B547" s="1">
        <v>40583</v>
      </c>
      <c r="C547" s="1">
        <v>40584</v>
      </c>
      <c r="D547" t="s">
        <v>142</v>
      </c>
      <c r="E547" t="s">
        <v>590</v>
      </c>
      <c r="F547" t="s">
        <v>26</v>
      </c>
      <c r="G547" t="s">
        <v>529</v>
      </c>
      <c r="H547" t="s">
        <v>126</v>
      </c>
      <c r="I547" t="s">
        <v>127</v>
      </c>
      <c r="J547" t="s">
        <v>192</v>
      </c>
      <c r="K547" t="s">
        <v>32</v>
      </c>
      <c r="L547" t="s">
        <v>33</v>
      </c>
      <c r="M547">
        <v>15</v>
      </c>
      <c r="N547">
        <v>2</v>
      </c>
      <c r="O547">
        <v>0</v>
      </c>
      <c r="P547">
        <v>5.5327999999999999</v>
      </c>
      <c r="Q547">
        <v>1.57</v>
      </c>
      <c r="R547" t="s">
        <v>9</v>
      </c>
      <c r="S547">
        <f>Sheet1[[#This Row],[Ship_date]]-Sheet1[[#This Row],[Order_date]]</f>
        <v>1</v>
      </c>
      <c r="T547">
        <f>Sheet1[[#This Row],[Quantity]]*Sheet1[[#This Row],[Sales]]</f>
        <v>30</v>
      </c>
      <c r="U547">
        <f>Sheet1[[#This Row],[Total Sales]]*Sheet1[[#This Row],[Discount]]</f>
        <v>0</v>
      </c>
      <c r="V547" s="4">
        <f>Sheet1[[#This Row],[Total Sales]]-Sheet1[[#This Row],[Total Sales]]*Sheet1[[#This Row],[Discount]]</f>
        <v>30</v>
      </c>
      <c r="W547" s="4">
        <f>Sheet1[[#This Row],[Quantity]]*Sheet1[[#This Row],[Profit]]</f>
        <v>11.0656</v>
      </c>
      <c r="X547" s="5">
        <f>Sheet1[[#This Row],[Total Profit]]/Sheet1[[#This Row],[Sales After Discount]]</f>
        <v>0.36885333333333331</v>
      </c>
      <c r="Y547" s="4">
        <f>Sheet1[[#This Row],[Shipping_cost]]*Sheet1[[#This Row],[Quantity]]</f>
        <v>3.14</v>
      </c>
      <c r="Z547" s="4">
        <f>Sheet1[[#This Row],[Total Profit]]-Sheet1[[#This Row],[Total Shipping Cost]]</f>
        <v>7.9255999999999993</v>
      </c>
      <c r="AA547" s="4" t="str">
        <f>IF(Sheet1[[#This Row],[Net Profit]]&gt;0,"Profit","Loss")</f>
        <v>Profit</v>
      </c>
    </row>
    <row r="548" spans="1:27" x14ac:dyDescent="0.25">
      <c r="A548" t="s">
        <v>798</v>
      </c>
      <c r="B548" s="1">
        <v>40583</v>
      </c>
      <c r="C548" s="1">
        <v>40589</v>
      </c>
      <c r="D548" t="s">
        <v>1</v>
      </c>
      <c r="E548" t="s">
        <v>799</v>
      </c>
      <c r="F548" t="s">
        <v>26</v>
      </c>
      <c r="G548" t="s">
        <v>800</v>
      </c>
      <c r="H548" t="s">
        <v>801</v>
      </c>
      <c r="I548" t="s">
        <v>14</v>
      </c>
      <c r="J548" t="s">
        <v>132</v>
      </c>
      <c r="K548" t="s">
        <v>38</v>
      </c>
      <c r="L548" t="s">
        <v>39</v>
      </c>
      <c r="M548">
        <v>25</v>
      </c>
      <c r="N548">
        <v>1</v>
      </c>
      <c r="O548">
        <v>0.5</v>
      </c>
      <c r="P548">
        <v>-20.79</v>
      </c>
      <c r="Q548">
        <v>1.49</v>
      </c>
      <c r="R548" t="s">
        <v>9</v>
      </c>
      <c r="S548">
        <f>Sheet1[[#This Row],[Ship_date]]-Sheet1[[#This Row],[Order_date]]</f>
        <v>6</v>
      </c>
      <c r="T548">
        <f>Sheet1[[#This Row],[Quantity]]*Sheet1[[#This Row],[Sales]]</f>
        <v>25</v>
      </c>
      <c r="U548">
        <f>Sheet1[[#This Row],[Total Sales]]*Sheet1[[#This Row],[Discount]]</f>
        <v>12.5</v>
      </c>
      <c r="V548" s="4">
        <f>Sheet1[[#This Row],[Total Sales]]-Sheet1[[#This Row],[Total Sales]]*Sheet1[[#This Row],[Discount]]</f>
        <v>12.5</v>
      </c>
      <c r="W548" s="4">
        <f>Sheet1[[#This Row],[Quantity]]*Sheet1[[#This Row],[Profit]]</f>
        <v>-20.79</v>
      </c>
      <c r="X548" s="5">
        <f>Sheet1[[#This Row],[Total Profit]]/Sheet1[[#This Row],[Sales After Discount]]</f>
        <v>-1.6632</v>
      </c>
      <c r="Y548" s="4">
        <f>Sheet1[[#This Row],[Shipping_cost]]*Sheet1[[#This Row],[Quantity]]</f>
        <v>1.49</v>
      </c>
      <c r="Z548" s="4">
        <f>Sheet1[[#This Row],[Total Profit]]-Sheet1[[#This Row],[Total Shipping Cost]]</f>
        <v>-22.279999999999998</v>
      </c>
      <c r="AA548" s="4" t="str">
        <f>IF(Sheet1[[#This Row],[Net Profit]]&gt;0,"Profit","Loss")</f>
        <v>Loss</v>
      </c>
    </row>
    <row r="549" spans="1:27" x14ac:dyDescent="0.25">
      <c r="A549" t="s">
        <v>798</v>
      </c>
      <c r="B549" s="1">
        <v>40583</v>
      </c>
      <c r="C549" s="1">
        <v>40589</v>
      </c>
      <c r="D549" t="s">
        <v>1</v>
      </c>
      <c r="E549" t="s">
        <v>799</v>
      </c>
      <c r="F549" t="s">
        <v>26</v>
      </c>
      <c r="G549" t="s">
        <v>800</v>
      </c>
      <c r="H549" t="s">
        <v>801</v>
      </c>
      <c r="I549" t="s">
        <v>14</v>
      </c>
      <c r="J549" t="s">
        <v>132</v>
      </c>
      <c r="K549" t="s">
        <v>7</v>
      </c>
      <c r="L549" t="s">
        <v>137</v>
      </c>
      <c r="M549">
        <v>26</v>
      </c>
      <c r="N549">
        <v>1</v>
      </c>
      <c r="O549">
        <v>0.5</v>
      </c>
      <c r="P549">
        <v>-11.835000000000001</v>
      </c>
      <c r="Q549">
        <v>1.27</v>
      </c>
      <c r="R549" t="s">
        <v>9</v>
      </c>
      <c r="S549">
        <f>Sheet1[[#This Row],[Ship_date]]-Sheet1[[#This Row],[Order_date]]</f>
        <v>6</v>
      </c>
      <c r="T549">
        <f>Sheet1[[#This Row],[Quantity]]*Sheet1[[#This Row],[Sales]]</f>
        <v>26</v>
      </c>
      <c r="U549">
        <f>Sheet1[[#This Row],[Total Sales]]*Sheet1[[#This Row],[Discount]]</f>
        <v>13</v>
      </c>
      <c r="V549" s="4">
        <f>Sheet1[[#This Row],[Total Sales]]-Sheet1[[#This Row],[Total Sales]]*Sheet1[[#This Row],[Discount]]</f>
        <v>13</v>
      </c>
      <c r="W549" s="4">
        <f>Sheet1[[#This Row],[Quantity]]*Sheet1[[#This Row],[Profit]]</f>
        <v>-11.835000000000001</v>
      </c>
      <c r="X549" s="5">
        <f>Sheet1[[#This Row],[Total Profit]]/Sheet1[[#This Row],[Sales After Discount]]</f>
        <v>-0.91038461538461546</v>
      </c>
      <c r="Y549" s="4">
        <f>Sheet1[[#This Row],[Shipping_cost]]*Sheet1[[#This Row],[Quantity]]</f>
        <v>1.27</v>
      </c>
      <c r="Z549" s="4">
        <f>Sheet1[[#This Row],[Total Profit]]-Sheet1[[#This Row],[Total Shipping Cost]]</f>
        <v>-13.105</v>
      </c>
      <c r="AA549" s="4" t="str">
        <f>IF(Sheet1[[#This Row],[Net Profit]]&gt;0,"Profit","Loss")</f>
        <v>Loss</v>
      </c>
    </row>
    <row r="550" spans="1:27" x14ac:dyDescent="0.25">
      <c r="A550" t="s">
        <v>805</v>
      </c>
      <c r="B550" s="1">
        <v>40584</v>
      </c>
      <c r="C550" s="1">
        <v>40589</v>
      </c>
      <c r="D550" t="s">
        <v>1</v>
      </c>
      <c r="E550" t="s">
        <v>607</v>
      </c>
      <c r="F550" t="s">
        <v>43</v>
      </c>
      <c r="G550" t="s">
        <v>806</v>
      </c>
      <c r="H550" t="s">
        <v>131</v>
      </c>
      <c r="I550" t="s">
        <v>14</v>
      </c>
      <c r="J550" t="s">
        <v>132</v>
      </c>
      <c r="K550" t="s">
        <v>38</v>
      </c>
      <c r="L550" t="s">
        <v>77</v>
      </c>
      <c r="M550">
        <v>6999</v>
      </c>
      <c r="N550">
        <v>11</v>
      </c>
      <c r="O550">
        <v>0</v>
      </c>
      <c r="P550">
        <v>2939.31</v>
      </c>
      <c r="Q550">
        <v>413.8</v>
      </c>
      <c r="R550" t="s">
        <v>9</v>
      </c>
      <c r="S550">
        <f>Sheet1[[#This Row],[Ship_date]]-Sheet1[[#This Row],[Order_date]]</f>
        <v>5</v>
      </c>
      <c r="T550">
        <f>Sheet1[[#This Row],[Quantity]]*Sheet1[[#This Row],[Sales]]</f>
        <v>76989</v>
      </c>
      <c r="U550">
        <f>Sheet1[[#This Row],[Total Sales]]*Sheet1[[#This Row],[Discount]]</f>
        <v>0</v>
      </c>
      <c r="V550" s="4">
        <f>Sheet1[[#This Row],[Total Sales]]-Sheet1[[#This Row],[Total Sales]]*Sheet1[[#This Row],[Discount]]</f>
        <v>76989</v>
      </c>
      <c r="W550" s="4">
        <f>Sheet1[[#This Row],[Quantity]]*Sheet1[[#This Row],[Profit]]</f>
        <v>32332.41</v>
      </c>
      <c r="X550" s="5">
        <f>Sheet1[[#This Row],[Total Profit]]/Sheet1[[#This Row],[Sales After Discount]]</f>
        <v>0.41996142306043721</v>
      </c>
      <c r="Y550" s="4">
        <f>Sheet1[[#This Row],[Shipping_cost]]*Sheet1[[#This Row],[Quantity]]</f>
        <v>4551.8</v>
      </c>
      <c r="Z550" s="4">
        <f>Sheet1[[#This Row],[Total Profit]]-Sheet1[[#This Row],[Total Shipping Cost]]</f>
        <v>27780.61</v>
      </c>
      <c r="AA550" s="4" t="str">
        <f>IF(Sheet1[[#This Row],[Net Profit]]&gt;0,"Profit","Loss")</f>
        <v>Profit</v>
      </c>
    </row>
    <row r="551" spans="1:27" x14ac:dyDescent="0.25">
      <c r="A551" t="s">
        <v>807</v>
      </c>
      <c r="B551" s="1">
        <v>40584</v>
      </c>
      <c r="C551" s="1">
        <v>40589</v>
      </c>
      <c r="D551" t="s">
        <v>18</v>
      </c>
      <c r="E551" t="s">
        <v>808</v>
      </c>
      <c r="F551" t="s">
        <v>3</v>
      </c>
      <c r="G551" t="s">
        <v>351</v>
      </c>
      <c r="H551" t="s">
        <v>259</v>
      </c>
      <c r="I551" t="s">
        <v>6</v>
      </c>
      <c r="J551" t="s">
        <v>6</v>
      </c>
      <c r="K551" t="s">
        <v>38</v>
      </c>
      <c r="L551" t="s">
        <v>77</v>
      </c>
      <c r="M551">
        <v>718</v>
      </c>
      <c r="N551">
        <v>8</v>
      </c>
      <c r="O551">
        <v>0</v>
      </c>
      <c r="P551">
        <v>243.84</v>
      </c>
      <c r="Q551">
        <v>143.07</v>
      </c>
      <c r="R551" t="s">
        <v>9</v>
      </c>
      <c r="S551">
        <f>Sheet1[[#This Row],[Ship_date]]-Sheet1[[#This Row],[Order_date]]</f>
        <v>5</v>
      </c>
      <c r="T551">
        <f>Sheet1[[#This Row],[Quantity]]*Sheet1[[#This Row],[Sales]]</f>
        <v>5744</v>
      </c>
      <c r="U551">
        <f>Sheet1[[#This Row],[Total Sales]]*Sheet1[[#This Row],[Discount]]</f>
        <v>0</v>
      </c>
      <c r="V551" s="4">
        <f>Sheet1[[#This Row],[Total Sales]]-Sheet1[[#This Row],[Total Sales]]*Sheet1[[#This Row],[Discount]]</f>
        <v>5744</v>
      </c>
      <c r="W551" s="4">
        <f>Sheet1[[#This Row],[Quantity]]*Sheet1[[#This Row],[Profit]]</f>
        <v>1950.72</v>
      </c>
      <c r="X551" s="5">
        <f>Sheet1[[#This Row],[Total Profit]]/Sheet1[[#This Row],[Sales After Discount]]</f>
        <v>0.33961002785515321</v>
      </c>
      <c r="Y551" s="4">
        <f>Sheet1[[#This Row],[Shipping_cost]]*Sheet1[[#This Row],[Quantity]]</f>
        <v>1144.56</v>
      </c>
      <c r="Z551" s="4">
        <f>Sheet1[[#This Row],[Total Profit]]-Sheet1[[#This Row],[Total Shipping Cost]]</f>
        <v>806.16000000000008</v>
      </c>
      <c r="AA551" s="4" t="str">
        <f>IF(Sheet1[[#This Row],[Net Profit]]&gt;0,"Profit","Loss")</f>
        <v>Profit</v>
      </c>
    </row>
    <row r="552" spans="1:27" x14ac:dyDescent="0.25">
      <c r="A552" t="s">
        <v>809</v>
      </c>
      <c r="B552" s="1">
        <v>40584</v>
      </c>
      <c r="C552" s="1">
        <v>40589</v>
      </c>
      <c r="D552" t="s">
        <v>1</v>
      </c>
      <c r="E552" t="s">
        <v>810</v>
      </c>
      <c r="F552" t="s">
        <v>43</v>
      </c>
      <c r="G552" t="s">
        <v>605</v>
      </c>
      <c r="H552" t="s">
        <v>276</v>
      </c>
      <c r="I552" t="s">
        <v>29</v>
      </c>
      <c r="J552" t="s">
        <v>102</v>
      </c>
      <c r="K552" t="s">
        <v>32</v>
      </c>
      <c r="L552" t="s">
        <v>67</v>
      </c>
      <c r="M552">
        <v>822</v>
      </c>
      <c r="N552">
        <v>2</v>
      </c>
      <c r="O552">
        <v>0</v>
      </c>
      <c r="P552">
        <v>353.22</v>
      </c>
      <c r="Q552">
        <v>67.95</v>
      </c>
      <c r="R552" t="s">
        <v>23</v>
      </c>
      <c r="S552">
        <f>Sheet1[[#This Row],[Ship_date]]-Sheet1[[#This Row],[Order_date]]</f>
        <v>5</v>
      </c>
      <c r="T552">
        <f>Sheet1[[#This Row],[Quantity]]*Sheet1[[#This Row],[Sales]]</f>
        <v>1644</v>
      </c>
      <c r="U552">
        <f>Sheet1[[#This Row],[Total Sales]]*Sheet1[[#This Row],[Discount]]</f>
        <v>0</v>
      </c>
      <c r="V552" s="4">
        <f>Sheet1[[#This Row],[Total Sales]]-Sheet1[[#This Row],[Total Sales]]*Sheet1[[#This Row],[Discount]]</f>
        <v>1644</v>
      </c>
      <c r="W552" s="4">
        <f>Sheet1[[#This Row],[Quantity]]*Sheet1[[#This Row],[Profit]]</f>
        <v>706.44</v>
      </c>
      <c r="X552" s="5">
        <f>Sheet1[[#This Row],[Total Profit]]/Sheet1[[#This Row],[Sales After Discount]]</f>
        <v>0.42970802919708034</v>
      </c>
      <c r="Y552" s="4">
        <f>Sheet1[[#This Row],[Shipping_cost]]*Sheet1[[#This Row],[Quantity]]</f>
        <v>135.9</v>
      </c>
      <c r="Z552" s="4">
        <f>Sheet1[[#This Row],[Total Profit]]-Sheet1[[#This Row],[Total Shipping Cost]]</f>
        <v>570.54000000000008</v>
      </c>
      <c r="AA552" s="4" t="str">
        <f>IF(Sheet1[[#This Row],[Net Profit]]&gt;0,"Profit","Loss")</f>
        <v>Profit</v>
      </c>
    </row>
    <row r="553" spans="1:27" x14ac:dyDescent="0.25">
      <c r="A553" t="s">
        <v>811</v>
      </c>
      <c r="B553" s="1">
        <v>40584</v>
      </c>
      <c r="C553" s="1">
        <v>40584</v>
      </c>
      <c r="D553" t="s">
        <v>41</v>
      </c>
      <c r="E553" t="s">
        <v>812</v>
      </c>
      <c r="F553" t="s">
        <v>26</v>
      </c>
      <c r="G553" t="s">
        <v>304</v>
      </c>
      <c r="H553" t="s">
        <v>305</v>
      </c>
      <c r="I553" t="s">
        <v>29</v>
      </c>
      <c r="J553" t="s">
        <v>76</v>
      </c>
      <c r="K553" t="s">
        <v>7</v>
      </c>
      <c r="L553" t="s">
        <v>8</v>
      </c>
      <c r="M553">
        <v>215</v>
      </c>
      <c r="N553">
        <v>4</v>
      </c>
      <c r="O553">
        <v>0.6</v>
      </c>
      <c r="P553">
        <v>-220.03200000000001</v>
      </c>
      <c r="Q553">
        <v>60.85</v>
      </c>
      <c r="R553" t="s">
        <v>23</v>
      </c>
      <c r="S553">
        <f>Sheet1[[#This Row],[Ship_date]]-Sheet1[[#This Row],[Order_date]]</f>
        <v>0</v>
      </c>
      <c r="T553">
        <f>Sheet1[[#This Row],[Quantity]]*Sheet1[[#This Row],[Sales]]</f>
        <v>860</v>
      </c>
      <c r="U553">
        <f>Sheet1[[#This Row],[Total Sales]]*Sheet1[[#This Row],[Discount]]</f>
        <v>516</v>
      </c>
      <c r="V553" s="4">
        <f>Sheet1[[#This Row],[Total Sales]]-Sheet1[[#This Row],[Total Sales]]*Sheet1[[#This Row],[Discount]]</f>
        <v>344</v>
      </c>
      <c r="W553" s="4">
        <f>Sheet1[[#This Row],[Quantity]]*Sheet1[[#This Row],[Profit]]</f>
        <v>-880.12800000000004</v>
      </c>
      <c r="X553" s="5">
        <f>Sheet1[[#This Row],[Total Profit]]/Sheet1[[#This Row],[Sales After Discount]]</f>
        <v>-2.5585116279069768</v>
      </c>
      <c r="Y553" s="4">
        <f>Sheet1[[#This Row],[Shipping_cost]]*Sheet1[[#This Row],[Quantity]]</f>
        <v>243.4</v>
      </c>
      <c r="Z553" s="4">
        <f>Sheet1[[#This Row],[Total Profit]]-Sheet1[[#This Row],[Total Shipping Cost]]</f>
        <v>-1123.528</v>
      </c>
      <c r="AA553" s="4" t="str">
        <f>IF(Sheet1[[#This Row],[Net Profit]]&gt;0,"Profit","Loss")</f>
        <v>Loss</v>
      </c>
    </row>
    <row r="554" spans="1:27" x14ac:dyDescent="0.25">
      <c r="A554" t="s">
        <v>813</v>
      </c>
      <c r="B554" s="1">
        <v>40584</v>
      </c>
      <c r="C554" s="1">
        <v>40587</v>
      </c>
      <c r="D554" t="s">
        <v>142</v>
      </c>
      <c r="E554" t="s">
        <v>549</v>
      </c>
      <c r="F554" t="s">
        <v>3</v>
      </c>
      <c r="G554" t="s">
        <v>814</v>
      </c>
      <c r="H554" t="s">
        <v>71</v>
      </c>
      <c r="I554" t="s">
        <v>14</v>
      </c>
      <c r="J554" t="s">
        <v>61</v>
      </c>
      <c r="K554" t="s">
        <v>32</v>
      </c>
      <c r="L554" t="s">
        <v>56</v>
      </c>
      <c r="M554">
        <v>305</v>
      </c>
      <c r="N554">
        <v>7</v>
      </c>
      <c r="O554">
        <v>0</v>
      </c>
      <c r="P554">
        <v>2.94</v>
      </c>
      <c r="Q554">
        <v>59.42</v>
      </c>
      <c r="R554" t="s">
        <v>45</v>
      </c>
      <c r="S554">
        <f>Sheet1[[#This Row],[Ship_date]]-Sheet1[[#This Row],[Order_date]]</f>
        <v>3</v>
      </c>
      <c r="T554">
        <f>Sheet1[[#This Row],[Quantity]]*Sheet1[[#This Row],[Sales]]</f>
        <v>2135</v>
      </c>
      <c r="U554">
        <f>Sheet1[[#This Row],[Total Sales]]*Sheet1[[#This Row],[Discount]]</f>
        <v>0</v>
      </c>
      <c r="V554" s="4">
        <f>Sheet1[[#This Row],[Total Sales]]-Sheet1[[#This Row],[Total Sales]]*Sheet1[[#This Row],[Discount]]</f>
        <v>2135</v>
      </c>
      <c r="W554" s="4">
        <f>Sheet1[[#This Row],[Quantity]]*Sheet1[[#This Row],[Profit]]</f>
        <v>20.58</v>
      </c>
      <c r="X554" s="5">
        <f>Sheet1[[#This Row],[Total Profit]]/Sheet1[[#This Row],[Sales After Discount]]</f>
        <v>9.6393442622950808E-3</v>
      </c>
      <c r="Y554" s="4">
        <f>Sheet1[[#This Row],[Shipping_cost]]*Sheet1[[#This Row],[Quantity]]</f>
        <v>415.94</v>
      </c>
      <c r="Z554" s="4">
        <f>Sheet1[[#This Row],[Total Profit]]-Sheet1[[#This Row],[Total Shipping Cost]]</f>
        <v>-395.36</v>
      </c>
      <c r="AA554" s="4" t="str">
        <f>IF(Sheet1[[#This Row],[Net Profit]]&gt;0,"Profit","Loss")</f>
        <v>Loss</v>
      </c>
    </row>
    <row r="555" spans="1:27" x14ac:dyDescent="0.25">
      <c r="A555" t="s">
        <v>815</v>
      </c>
      <c r="B555" s="1">
        <v>40584</v>
      </c>
      <c r="C555" s="1">
        <v>40588</v>
      </c>
      <c r="D555" t="s">
        <v>1</v>
      </c>
      <c r="E555" t="s">
        <v>816</v>
      </c>
      <c r="F555" t="s">
        <v>43</v>
      </c>
      <c r="G555" t="s">
        <v>817</v>
      </c>
      <c r="H555" t="s">
        <v>818</v>
      </c>
      <c r="I555" t="s">
        <v>29</v>
      </c>
      <c r="J555" t="s">
        <v>76</v>
      </c>
      <c r="K555" t="s">
        <v>32</v>
      </c>
      <c r="L555" t="s">
        <v>67</v>
      </c>
      <c r="M555">
        <v>780</v>
      </c>
      <c r="N555">
        <v>2</v>
      </c>
      <c r="O555">
        <v>0</v>
      </c>
      <c r="P555">
        <v>117</v>
      </c>
      <c r="Q555">
        <v>50.42</v>
      </c>
      <c r="R555" t="s">
        <v>9</v>
      </c>
      <c r="S555">
        <f>Sheet1[[#This Row],[Ship_date]]-Sheet1[[#This Row],[Order_date]]</f>
        <v>4</v>
      </c>
      <c r="T555">
        <f>Sheet1[[#This Row],[Quantity]]*Sheet1[[#This Row],[Sales]]</f>
        <v>1560</v>
      </c>
      <c r="U555">
        <f>Sheet1[[#This Row],[Total Sales]]*Sheet1[[#This Row],[Discount]]</f>
        <v>0</v>
      </c>
      <c r="V555" s="4">
        <f>Sheet1[[#This Row],[Total Sales]]-Sheet1[[#This Row],[Total Sales]]*Sheet1[[#This Row],[Discount]]</f>
        <v>1560</v>
      </c>
      <c r="W555" s="4">
        <f>Sheet1[[#This Row],[Quantity]]*Sheet1[[#This Row],[Profit]]</f>
        <v>234</v>
      </c>
      <c r="X555" s="5">
        <f>Sheet1[[#This Row],[Total Profit]]/Sheet1[[#This Row],[Sales After Discount]]</f>
        <v>0.15</v>
      </c>
      <c r="Y555" s="4">
        <f>Sheet1[[#This Row],[Shipping_cost]]*Sheet1[[#This Row],[Quantity]]</f>
        <v>100.84</v>
      </c>
      <c r="Z555" s="4">
        <f>Sheet1[[#This Row],[Total Profit]]-Sheet1[[#This Row],[Total Shipping Cost]]</f>
        <v>133.16</v>
      </c>
      <c r="AA555" s="4" t="str">
        <f>IF(Sheet1[[#This Row],[Net Profit]]&gt;0,"Profit","Loss")</f>
        <v>Profit</v>
      </c>
    </row>
    <row r="556" spans="1:27" x14ac:dyDescent="0.25">
      <c r="A556" t="s">
        <v>819</v>
      </c>
      <c r="B556" s="1">
        <v>40584</v>
      </c>
      <c r="C556" s="1">
        <v>40588</v>
      </c>
      <c r="D556" t="s">
        <v>1</v>
      </c>
      <c r="E556" t="s">
        <v>820</v>
      </c>
      <c r="F556" t="s">
        <v>3</v>
      </c>
      <c r="G556" t="s">
        <v>184</v>
      </c>
      <c r="H556" t="s">
        <v>115</v>
      </c>
      <c r="I556" t="s">
        <v>29</v>
      </c>
      <c r="J556" t="s">
        <v>76</v>
      </c>
      <c r="K556" t="s">
        <v>38</v>
      </c>
      <c r="L556" t="s">
        <v>39</v>
      </c>
      <c r="M556">
        <v>206</v>
      </c>
      <c r="N556">
        <v>2</v>
      </c>
      <c r="O556">
        <v>0.15</v>
      </c>
      <c r="P556">
        <v>26.55</v>
      </c>
      <c r="Q556">
        <v>24</v>
      </c>
      <c r="R556" t="s">
        <v>23</v>
      </c>
      <c r="S556">
        <f>Sheet1[[#This Row],[Ship_date]]-Sheet1[[#This Row],[Order_date]]</f>
        <v>4</v>
      </c>
      <c r="T556">
        <f>Sheet1[[#This Row],[Quantity]]*Sheet1[[#This Row],[Sales]]</f>
        <v>412</v>
      </c>
      <c r="U556">
        <f>Sheet1[[#This Row],[Total Sales]]*Sheet1[[#This Row],[Discount]]</f>
        <v>61.8</v>
      </c>
      <c r="V556" s="4">
        <f>Sheet1[[#This Row],[Total Sales]]-Sheet1[[#This Row],[Total Sales]]*Sheet1[[#This Row],[Discount]]</f>
        <v>350.2</v>
      </c>
      <c r="W556" s="4">
        <f>Sheet1[[#This Row],[Quantity]]*Sheet1[[#This Row],[Profit]]</f>
        <v>53.1</v>
      </c>
      <c r="X556" s="5">
        <f>Sheet1[[#This Row],[Total Profit]]/Sheet1[[#This Row],[Sales After Discount]]</f>
        <v>0.15162764134780127</v>
      </c>
      <c r="Y556" s="4">
        <f>Sheet1[[#This Row],[Shipping_cost]]*Sheet1[[#This Row],[Quantity]]</f>
        <v>48</v>
      </c>
      <c r="Z556" s="4">
        <f>Sheet1[[#This Row],[Total Profit]]-Sheet1[[#This Row],[Total Shipping Cost]]</f>
        <v>5.1000000000000014</v>
      </c>
      <c r="AA556" s="4" t="str">
        <f>IF(Sheet1[[#This Row],[Net Profit]]&gt;0,"Profit","Loss")</f>
        <v>Profit</v>
      </c>
    </row>
    <row r="557" spans="1:27" x14ac:dyDescent="0.25">
      <c r="A557" t="s">
        <v>821</v>
      </c>
      <c r="B557" s="1">
        <v>40584</v>
      </c>
      <c r="C557" s="1">
        <v>40588</v>
      </c>
      <c r="D557" t="s">
        <v>1</v>
      </c>
      <c r="E557" t="s">
        <v>822</v>
      </c>
      <c r="F557" t="s">
        <v>43</v>
      </c>
      <c r="G557" t="s">
        <v>301</v>
      </c>
      <c r="H557" t="s">
        <v>106</v>
      </c>
      <c r="I557" t="s">
        <v>75</v>
      </c>
      <c r="J557" t="s">
        <v>30</v>
      </c>
      <c r="K557" t="s">
        <v>7</v>
      </c>
      <c r="L557" t="s">
        <v>44</v>
      </c>
      <c r="M557">
        <v>133</v>
      </c>
      <c r="N557">
        <v>2</v>
      </c>
      <c r="O557">
        <v>0</v>
      </c>
      <c r="P557">
        <v>9.2799999999999994</v>
      </c>
      <c r="Q557">
        <v>22.02</v>
      </c>
      <c r="R557" t="s">
        <v>23</v>
      </c>
      <c r="S557">
        <f>Sheet1[[#This Row],[Ship_date]]-Sheet1[[#This Row],[Order_date]]</f>
        <v>4</v>
      </c>
      <c r="T557">
        <f>Sheet1[[#This Row],[Quantity]]*Sheet1[[#This Row],[Sales]]</f>
        <v>266</v>
      </c>
      <c r="U557">
        <f>Sheet1[[#This Row],[Total Sales]]*Sheet1[[#This Row],[Discount]]</f>
        <v>0</v>
      </c>
      <c r="V557" s="4">
        <f>Sheet1[[#This Row],[Total Sales]]-Sheet1[[#This Row],[Total Sales]]*Sheet1[[#This Row],[Discount]]</f>
        <v>266</v>
      </c>
      <c r="W557" s="4">
        <f>Sheet1[[#This Row],[Quantity]]*Sheet1[[#This Row],[Profit]]</f>
        <v>18.559999999999999</v>
      </c>
      <c r="X557" s="5">
        <f>Sheet1[[#This Row],[Total Profit]]/Sheet1[[#This Row],[Sales After Discount]]</f>
        <v>6.9774436090225558E-2</v>
      </c>
      <c r="Y557" s="4">
        <f>Sheet1[[#This Row],[Shipping_cost]]*Sheet1[[#This Row],[Quantity]]</f>
        <v>44.04</v>
      </c>
      <c r="Z557" s="4">
        <f>Sheet1[[#This Row],[Total Profit]]-Sheet1[[#This Row],[Total Shipping Cost]]</f>
        <v>-25.48</v>
      </c>
      <c r="AA557" s="4" t="str">
        <f>IF(Sheet1[[#This Row],[Net Profit]]&gt;0,"Profit","Loss")</f>
        <v>Loss</v>
      </c>
    </row>
    <row r="558" spans="1:27" x14ac:dyDescent="0.25">
      <c r="A558" t="s">
        <v>805</v>
      </c>
      <c r="B558" s="1">
        <v>40584</v>
      </c>
      <c r="C558" s="1">
        <v>40589</v>
      </c>
      <c r="D558" t="s">
        <v>1</v>
      </c>
      <c r="E558" t="s">
        <v>607</v>
      </c>
      <c r="F558" t="s">
        <v>43</v>
      </c>
      <c r="G558" t="s">
        <v>806</v>
      </c>
      <c r="H558" t="s">
        <v>131</v>
      </c>
      <c r="I558" t="s">
        <v>14</v>
      </c>
      <c r="J558" t="s">
        <v>132</v>
      </c>
      <c r="K558" t="s">
        <v>7</v>
      </c>
      <c r="L558" t="s">
        <v>16</v>
      </c>
      <c r="M558">
        <v>307</v>
      </c>
      <c r="N558">
        <v>7</v>
      </c>
      <c r="O558">
        <v>0</v>
      </c>
      <c r="P558">
        <v>70.56</v>
      </c>
      <c r="Q558">
        <v>21.57</v>
      </c>
      <c r="R558" t="s">
        <v>9</v>
      </c>
      <c r="S558">
        <f>Sheet1[[#This Row],[Ship_date]]-Sheet1[[#This Row],[Order_date]]</f>
        <v>5</v>
      </c>
      <c r="T558">
        <f>Sheet1[[#This Row],[Quantity]]*Sheet1[[#This Row],[Sales]]</f>
        <v>2149</v>
      </c>
      <c r="U558">
        <f>Sheet1[[#This Row],[Total Sales]]*Sheet1[[#This Row],[Discount]]</f>
        <v>0</v>
      </c>
      <c r="V558" s="4">
        <f>Sheet1[[#This Row],[Total Sales]]-Sheet1[[#This Row],[Total Sales]]*Sheet1[[#This Row],[Discount]]</f>
        <v>2149</v>
      </c>
      <c r="W558" s="4">
        <f>Sheet1[[#This Row],[Quantity]]*Sheet1[[#This Row],[Profit]]</f>
        <v>493.92</v>
      </c>
      <c r="X558" s="5">
        <f>Sheet1[[#This Row],[Total Profit]]/Sheet1[[#This Row],[Sales After Discount]]</f>
        <v>0.2298371335504886</v>
      </c>
      <c r="Y558" s="4">
        <f>Sheet1[[#This Row],[Shipping_cost]]*Sheet1[[#This Row],[Quantity]]</f>
        <v>150.99</v>
      </c>
      <c r="Z558" s="4">
        <f>Sheet1[[#This Row],[Total Profit]]-Sheet1[[#This Row],[Total Shipping Cost]]</f>
        <v>342.93</v>
      </c>
      <c r="AA558" s="4" t="str">
        <f>IF(Sheet1[[#This Row],[Net Profit]]&gt;0,"Profit","Loss")</f>
        <v>Profit</v>
      </c>
    </row>
    <row r="559" spans="1:27" x14ac:dyDescent="0.25">
      <c r="A559" t="s">
        <v>807</v>
      </c>
      <c r="B559" s="1">
        <v>40584</v>
      </c>
      <c r="C559" s="1">
        <v>40589</v>
      </c>
      <c r="D559" t="s">
        <v>18</v>
      </c>
      <c r="E559" t="s">
        <v>808</v>
      </c>
      <c r="F559" t="s">
        <v>3</v>
      </c>
      <c r="G559" t="s">
        <v>351</v>
      </c>
      <c r="H559" t="s">
        <v>259</v>
      </c>
      <c r="I559" t="s">
        <v>6</v>
      </c>
      <c r="J559" t="s">
        <v>6</v>
      </c>
      <c r="K559" t="s">
        <v>7</v>
      </c>
      <c r="L559" t="s">
        <v>137</v>
      </c>
      <c r="M559">
        <v>115</v>
      </c>
      <c r="N559">
        <v>4</v>
      </c>
      <c r="O559">
        <v>0</v>
      </c>
      <c r="P559">
        <v>51.84</v>
      </c>
      <c r="Q559">
        <v>13.47</v>
      </c>
      <c r="R559" t="s">
        <v>9</v>
      </c>
      <c r="S559">
        <f>Sheet1[[#This Row],[Ship_date]]-Sheet1[[#This Row],[Order_date]]</f>
        <v>5</v>
      </c>
      <c r="T559">
        <f>Sheet1[[#This Row],[Quantity]]*Sheet1[[#This Row],[Sales]]</f>
        <v>460</v>
      </c>
      <c r="U559">
        <f>Sheet1[[#This Row],[Total Sales]]*Sheet1[[#This Row],[Discount]]</f>
        <v>0</v>
      </c>
      <c r="V559" s="4">
        <f>Sheet1[[#This Row],[Total Sales]]-Sheet1[[#This Row],[Total Sales]]*Sheet1[[#This Row],[Discount]]</f>
        <v>460</v>
      </c>
      <c r="W559" s="4">
        <f>Sheet1[[#This Row],[Quantity]]*Sheet1[[#This Row],[Profit]]</f>
        <v>207.36</v>
      </c>
      <c r="X559" s="5">
        <f>Sheet1[[#This Row],[Total Profit]]/Sheet1[[#This Row],[Sales After Discount]]</f>
        <v>0.45078260869565218</v>
      </c>
      <c r="Y559" s="4">
        <f>Sheet1[[#This Row],[Shipping_cost]]*Sheet1[[#This Row],[Quantity]]</f>
        <v>53.88</v>
      </c>
      <c r="Z559" s="4">
        <f>Sheet1[[#This Row],[Total Profit]]-Sheet1[[#This Row],[Total Shipping Cost]]</f>
        <v>153.48000000000002</v>
      </c>
      <c r="AA559" s="4" t="str">
        <f>IF(Sheet1[[#This Row],[Net Profit]]&gt;0,"Profit","Loss")</f>
        <v>Profit</v>
      </c>
    </row>
    <row r="560" spans="1:27" x14ac:dyDescent="0.25">
      <c r="A560" t="s">
        <v>823</v>
      </c>
      <c r="B560" s="1">
        <v>40584</v>
      </c>
      <c r="C560" s="1">
        <v>40590</v>
      </c>
      <c r="D560" t="s">
        <v>1</v>
      </c>
      <c r="E560" t="s">
        <v>824</v>
      </c>
      <c r="F560" t="s">
        <v>26</v>
      </c>
      <c r="G560" t="s">
        <v>471</v>
      </c>
      <c r="H560" t="s">
        <v>305</v>
      </c>
      <c r="I560" t="s">
        <v>29</v>
      </c>
      <c r="J560" t="s">
        <v>76</v>
      </c>
      <c r="K560" t="s">
        <v>7</v>
      </c>
      <c r="L560" t="s">
        <v>91</v>
      </c>
      <c r="M560">
        <v>124</v>
      </c>
      <c r="N560">
        <v>5</v>
      </c>
      <c r="O560">
        <v>0</v>
      </c>
      <c r="P560">
        <v>39.6</v>
      </c>
      <c r="Q560">
        <v>12.38</v>
      </c>
      <c r="R560" t="s">
        <v>9</v>
      </c>
      <c r="S560">
        <f>Sheet1[[#This Row],[Ship_date]]-Sheet1[[#This Row],[Order_date]]</f>
        <v>6</v>
      </c>
      <c r="T560">
        <f>Sheet1[[#This Row],[Quantity]]*Sheet1[[#This Row],[Sales]]</f>
        <v>620</v>
      </c>
      <c r="U560">
        <f>Sheet1[[#This Row],[Total Sales]]*Sheet1[[#This Row],[Discount]]</f>
        <v>0</v>
      </c>
      <c r="V560" s="4">
        <f>Sheet1[[#This Row],[Total Sales]]-Sheet1[[#This Row],[Total Sales]]*Sheet1[[#This Row],[Discount]]</f>
        <v>620</v>
      </c>
      <c r="W560" s="4">
        <f>Sheet1[[#This Row],[Quantity]]*Sheet1[[#This Row],[Profit]]</f>
        <v>198</v>
      </c>
      <c r="X560" s="5">
        <f>Sheet1[[#This Row],[Total Profit]]/Sheet1[[#This Row],[Sales After Discount]]</f>
        <v>0.3193548387096774</v>
      </c>
      <c r="Y560" s="4">
        <f>Sheet1[[#This Row],[Shipping_cost]]*Sheet1[[#This Row],[Quantity]]</f>
        <v>61.900000000000006</v>
      </c>
      <c r="Z560" s="4">
        <f>Sheet1[[#This Row],[Total Profit]]-Sheet1[[#This Row],[Total Shipping Cost]]</f>
        <v>136.1</v>
      </c>
      <c r="AA560" s="4" t="str">
        <f>IF(Sheet1[[#This Row],[Net Profit]]&gt;0,"Profit","Loss")</f>
        <v>Profit</v>
      </c>
    </row>
    <row r="561" spans="1:27" x14ac:dyDescent="0.25">
      <c r="A561" t="s">
        <v>805</v>
      </c>
      <c r="B561" s="1">
        <v>40584</v>
      </c>
      <c r="C561" s="1">
        <v>40589</v>
      </c>
      <c r="D561" t="s">
        <v>1</v>
      </c>
      <c r="E561" t="s">
        <v>607</v>
      </c>
      <c r="F561" t="s">
        <v>43</v>
      </c>
      <c r="G561" t="s">
        <v>806</v>
      </c>
      <c r="H561" t="s">
        <v>131</v>
      </c>
      <c r="I561" t="s">
        <v>14</v>
      </c>
      <c r="J561" t="s">
        <v>132</v>
      </c>
      <c r="K561" t="s">
        <v>32</v>
      </c>
      <c r="L561" t="s">
        <v>33</v>
      </c>
      <c r="M561">
        <v>201</v>
      </c>
      <c r="N561">
        <v>4</v>
      </c>
      <c r="O561">
        <v>0</v>
      </c>
      <c r="P561">
        <v>24.12</v>
      </c>
      <c r="Q561">
        <v>12.3</v>
      </c>
      <c r="R561" t="s">
        <v>9</v>
      </c>
      <c r="S561">
        <f>Sheet1[[#This Row],[Ship_date]]-Sheet1[[#This Row],[Order_date]]</f>
        <v>5</v>
      </c>
      <c r="T561">
        <f>Sheet1[[#This Row],[Quantity]]*Sheet1[[#This Row],[Sales]]</f>
        <v>804</v>
      </c>
      <c r="U561">
        <f>Sheet1[[#This Row],[Total Sales]]*Sheet1[[#This Row],[Discount]]</f>
        <v>0</v>
      </c>
      <c r="V561" s="4">
        <f>Sheet1[[#This Row],[Total Sales]]-Sheet1[[#This Row],[Total Sales]]*Sheet1[[#This Row],[Discount]]</f>
        <v>804</v>
      </c>
      <c r="W561" s="4">
        <f>Sheet1[[#This Row],[Quantity]]*Sheet1[[#This Row],[Profit]]</f>
        <v>96.48</v>
      </c>
      <c r="X561" s="5">
        <f>Sheet1[[#This Row],[Total Profit]]/Sheet1[[#This Row],[Sales After Discount]]</f>
        <v>0.12000000000000001</v>
      </c>
      <c r="Y561" s="4">
        <f>Sheet1[[#This Row],[Shipping_cost]]*Sheet1[[#This Row],[Quantity]]</f>
        <v>49.2</v>
      </c>
      <c r="Z561" s="4">
        <f>Sheet1[[#This Row],[Total Profit]]-Sheet1[[#This Row],[Total Shipping Cost]]</f>
        <v>47.28</v>
      </c>
      <c r="AA561" s="4" t="str">
        <f>IF(Sheet1[[#This Row],[Net Profit]]&gt;0,"Profit","Loss")</f>
        <v>Profit</v>
      </c>
    </row>
    <row r="562" spans="1:27" x14ac:dyDescent="0.25">
      <c r="A562" t="s">
        <v>825</v>
      </c>
      <c r="B562" s="1">
        <v>40584</v>
      </c>
      <c r="C562" s="1">
        <v>40588</v>
      </c>
      <c r="D562" t="s">
        <v>1</v>
      </c>
      <c r="E562" t="s">
        <v>826</v>
      </c>
      <c r="F562" t="s">
        <v>26</v>
      </c>
      <c r="G562" t="s">
        <v>827</v>
      </c>
      <c r="H562" t="s">
        <v>828</v>
      </c>
      <c r="I562" t="s">
        <v>22</v>
      </c>
      <c r="J562" t="s">
        <v>22</v>
      </c>
      <c r="K562" t="s">
        <v>7</v>
      </c>
      <c r="L562" t="s">
        <v>8</v>
      </c>
      <c r="M562">
        <v>197</v>
      </c>
      <c r="N562">
        <v>1</v>
      </c>
      <c r="O562">
        <v>0</v>
      </c>
      <c r="P562">
        <v>17.760000000000002</v>
      </c>
      <c r="Q562">
        <v>11.44</v>
      </c>
      <c r="R562" t="s">
        <v>9</v>
      </c>
      <c r="S562">
        <f>Sheet1[[#This Row],[Ship_date]]-Sheet1[[#This Row],[Order_date]]</f>
        <v>4</v>
      </c>
      <c r="T562">
        <f>Sheet1[[#This Row],[Quantity]]*Sheet1[[#This Row],[Sales]]</f>
        <v>197</v>
      </c>
      <c r="U562">
        <f>Sheet1[[#This Row],[Total Sales]]*Sheet1[[#This Row],[Discount]]</f>
        <v>0</v>
      </c>
      <c r="V562" s="4">
        <f>Sheet1[[#This Row],[Total Sales]]-Sheet1[[#This Row],[Total Sales]]*Sheet1[[#This Row],[Discount]]</f>
        <v>197</v>
      </c>
      <c r="W562" s="4">
        <f>Sheet1[[#This Row],[Quantity]]*Sheet1[[#This Row],[Profit]]</f>
        <v>17.760000000000002</v>
      </c>
      <c r="X562" s="5">
        <f>Sheet1[[#This Row],[Total Profit]]/Sheet1[[#This Row],[Sales After Discount]]</f>
        <v>9.0152284263959395E-2</v>
      </c>
      <c r="Y562" s="4">
        <f>Sheet1[[#This Row],[Shipping_cost]]*Sheet1[[#This Row],[Quantity]]</f>
        <v>11.44</v>
      </c>
      <c r="Z562" s="4">
        <f>Sheet1[[#This Row],[Total Profit]]-Sheet1[[#This Row],[Total Shipping Cost]]</f>
        <v>6.3200000000000021</v>
      </c>
      <c r="AA562" s="4" t="str">
        <f>IF(Sheet1[[#This Row],[Net Profit]]&gt;0,"Profit","Loss")</f>
        <v>Profit</v>
      </c>
    </row>
    <row r="563" spans="1:27" x14ac:dyDescent="0.25">
      <c r="A563" t="s">
        <v>821</v>
      </c>
      <c r="B563" s="1">
        <v>40584</v>
      </c>
      <c r="C563" s="1">
        <v>40588</v>
      </c>
      <c r="D563" t="s">
        <v>1</v>
      </c>
      <c r="E563" t="s">
        <v>822</v>
      </c>
      <c r="F563" t="s">
        <v>43</v>
      </c>
      <c r="G563" t="s">
        <v>301</v>
      </c>
      <c r="H563" t="s">
        <v>106</v>
      </c>
      <c r="I563" t="s">
        <v>75</v>
      </c>
      <c r="J563" t="s">
        <v>30</v>
      </c>
      <c r="K563" t="s">
        <v>7</v>
      </c>
      <c r="L563" t="s">
        <v>96</v>
      </c>
      <c r="M563">
        <v>87</v>
      </c>
      <c r="N563">
        <v>7</v>
      </c>
      <c r="O563">
        <v>0</v>
      </c>
      <c r="P563">
        <v>0.84</v>
      </c>
      <c r="Q563">
        <v>11.22</v>
      </c>
      <c r="R563" t="s">
        <v>23</v>
      </c>
      <c r="S563">
        <f>Sheet1[[#This Row],[Ship_date]]-Sheet1[[#This Row],[Order_date]]</f>
        <v>4</v>
      </c>
      <c r="T563">
        <f>Sheet1[[#This Row],[Quantity]]*Sheet1[[#This Row],[Sales]]</f>
        <v>609</v>
      </c>
      <c r="U563">
        <f>Sheet1[[#This Row],[Total Sales]]*Sheet1[[#This Row],[Discount]]</f>
        <v>0</v>
      </c>
      <c r="V563" s="4">
        <f>Sheet1[[#This Row],[Total Sales]]-Sheet1[[#This Row],[Total Sales]]*Sheet1[[#This Row],[Discount]]</f>
        <v>609</v>
      </c>
      <c r="W563" s="4">
        <f>Sheet1[[#This Row],[Quantity]]*Sheet1[[#This Row],[Profit]]</f>
        <v>5.88</v>
      </c>
      <c r="X563" s="5">
        <f>Sheet1[[#This Row],[Total Profit]]/Sheet1[[#This Row],[Sales After Discount]]</f>
        <v>9.655172413793104E-3</v>
      </c>
      <c r="Y563" s="4">
        <f>Sheet1[[#This Row],[Shipping_cost]]*Sheet1[[#This Row],[Quantity]]</f>
        <v>78.540000000000006</v>
      </c>
      <c r="Z563" s="4">
        <f>Sheet1[[#This Row],[Total Profit]]-Sheet1[[#This Row],[Total Shipping Cost]]</f>
        <v>-72.660000000000011</v>
      </c>
      <c r="AA563" s="4" t="str">
        <f>IF(Sheet1[[#This Row],[Net Profit]]&gt;0,"Profit","Loss")</f>
        <v>Loss</v>
      </c>
    </row>
    <row r="564" spans="1:27" x14ac:dyDescent="0.25">
      <c r="A564" t="s">
        <v>811</v>
      </c>
      <c r="B564" s="1">
        <v>40584</v>
      </c>
      <c r="C564" s="1">
        <v>40584</v>
      </c>
      <c r="D564" t="s">
        <v>41</v>
      </c>
      <c r="E564" t="s">
        <v>812</v>
      </c>
      <c r="F564" t="s">
        <v>26</v>
      </c>
      <c r="G564" t="s">
        <v>304</v>
      </c>
      <c r="H564" t="s">
        <v>305</v>
      </c>
      <c r="I564" t="s">
        <v>29</v>
      </c>
      <c r="J564" t="s">
        <v>76</v>
      </c>
      <c r="K564" t="s">
        <v>7</v>
      </c>
      <c r="L564" t="s">
        <v>137</v>
      </c>
      <c r="M564">
        <v>26</v>
      </c>
      <c r="N564">
        <v>5</v>
      </c>
      <c r="O564">
        <v>0.5</v>
      </c>
      <c r="P564">
        <v>-14.324999999999999</v>
      </c>
      <c r="Q564">
        <v>8.9499999999999993</v>
      </c>
      <c r="R564" t="s">
        <v>23</v>
      </c>
      <c r="S564">
        <f>Sheet1[[#This Row],[Ship_date]]-Sheet1[[#This Row],[Order_date]]</f>
        <v>0</v>
      </c>
      <c r="T564">
        <f>Sheet1[[#This Row],[Quantity]]*Sheet1[[#This Row],[Sales]]</f>
        <v>130</v>
      </c>
      <c r="U564">
        <f>Sheet1[[#This Row],[Total Sales]]*Sheet1[[#This Row],[Discount]]</f>
        <v>65</v>
      </c>
      <c r="V564" s="4">
        <f>Sheet1[[#This Row],[Total Sales]]-Sheet1[[#This Row],[Total Sales]]*Sheet1[[#This Row],[Discount]]</f>
        <v>65</v>
      </c>
      <c r="W564" s="4">
        <f>Sheet1[[#This Row],[Quantity]]*Sheet1[[#This Row],[Profit]]</f>
        <v>-71.625</v>
      </c>
      <c r="X564" s="5">
        <f>Sheet1[[#This Row],[Total Profit]]/Sheet1[[#This Row],[Sales After Discount]]</f>
        <v>-1.101923076923077</v>
      </c>
      <c r="Y564" s="4">
        <f>Sheet1[[#This Row],[Shipping_cost]]*Sheet1[[#This Row],[Quantity]]</f>
        <v>44.75</v>
      </c>
      <c r="Z564" s="4">
        <f>Sheet1[[#This Row],[Total Profit]]-Sheet1[[#This Row],[Total Shipping Cost]]</f>
        <v>-116.375</v>
      </c>
      <c r="AA564" s="4" t="str">
        <f>IF(Sheet1[[#This Row],[Net Profit]]&gt;0,"Profit","Loss")</f>
        <v>Loss</v>
      </c>
    </row>
    <row r="565" spans="1:27" x14ac:dyDescent="0.25">
      <c r="A565" t="s">
        <v>819</v>
      </c>
      <c r="B565" s="1">
        <v>40584</v>
      </c>
      <c r="C565" s="1">
        <v>40588</v>
      </c>
      <c r="D565" t="s">
        <v>1</v>
      </c>
      <c r="E565" t="s">
        <v>820</v>
      </c>
      <c r="F565" t="s">
        <v>3</v>
      </c>
      <c r="G565" t="s">
        <v>184</v>
      </c>
      <c r="H565" t="s">
        <v>115</v>
      </c>
      <c r="I565" t="s">
        <v>29</v>
      </c>
      <c r="J565" t="s">
        <v>76</v>
      </c>
      <c r="K565" t="s">
        <v>7</v>
      </c>
      <c r="L565" t="s">
        <v>96</v>
      </c>
      <c r="M565">
        <v>50</v>
      </c>
      <c r="N565">
        <v>4</v>
      </c>
      <c r="O565">
        <v>0</v>
      </c>
      <c r="P565">
        <v>24</v>
      </c>
      <c r="Q565">
        <v>8.6300000000000008</v>
      </c>
      <c r="R565" t="s">
        <v>23</v>
      </c>
      <c r="S565">
        <f>Sheet1[[#This Row],[Ship_date]]-Sheet1[[#This Row],[Order_date]]</f>
        <v>4</v>
      </c>
      <c r="T565">
        <f>Sheet1[[#This Row],[Quantity]]*Sheet1[[#This Row],[Sales]]</f>
        <v>200</v>
      </c>
      <c r="U565">
        <f>Sheet1[[#This Row],[Total Sales]]*Sheet1[[#This Row],[Discount]]</f>
        <v>0</v>
      </c>
      <c r="V565" s="4">
        <f>Sheet1[[#This Row],[Total Sales]]-Sheet1[[#This Row],[Total Sales]]*Sheet1[[#This Row],[Discount]]</f>
        <v>200</v>
      </c>
      <c r="W565" s="4">
        <f>Sheet1[[#This Row],[Quantity]]*Sheet1[[#This Row],[Profit]]</f>
        <v>96</v>
      </c>
      <c r="X565" s="5">
        <f>Sheet1[[#This Row],[Total Profit]]/Sheet1[[#This Row],[Sales After Discount]]</f>
        <v>0.48</v>
      </c>
      <c r="Y565" s="4">
        <f>Sheet1[[#This Row],[Shipping_cost]]*Sheet1[[#This Row],[Quantity]]</f>
        <v>34.520000000000003</v>
      </c>
      <c r="Z565" s="4">
        <f>Sheet1[[#This Row],[Total Profit]]-Sheet1[[#This Row],[Total Shipping Cost]]</f>
        <v>61.48</v>
      </c>
      <c r="AA565" s="4" t="str">
        <f>IF(Sheet1[[#This Row],[Net Profit]]&gt;0,"Profit","Loss")</f>
        <v>Profit</v>
      </c>
    </row>
    <row r="566" spans="1:27" x14ac:dyDescent="0.25">
      <c r="A566" t="s">
        <v>821</v>
      </c>
      <c r="B566" s="1">
        <v>40584</v>
      </c>
      <c r="C566" s="1">
        <v>40588</v>
      </c>
      <c r="D566" t="s">
        <v>1</v>
      </c>
      <c r="E566" t="s">
        <v>822</v>
      </c>
      <c r="F566" t="s">
        <v>43</v>
      </c>
      <c r="G566" t="s">
        <v>301</v>
      </c>
      <c r="H566" t="s">
        <v>106</v>
      </c>
      <c r="I566" t="s">
        <v>75</v>
      </c>
      <c r="J566" t="s">
        <v>30</v>
      </c>
      <c r="K566" t="s">
        <v>7</v>
      </c>
      <c r="L566" t="s">
        <v>16</v>
      </c>
      <c r="M566">
        <v>41</v>
      </c>
      <c r="N566">
        <v>4</v>
      </c>
      <c r="O566">
        <v>0</v>
      </c>
      <c r="P566">
        <v>16.399999999999999</v>
      </c>
      <c r="Q566">
        <v>6.63</v>
      </c>
      <c r="R566" t="s">
        <v>23</v>
      </c>
      <c r="S566">
        <f>Sheet1[[#This Row],[Ship_date]]-Sheet1[[#This Row],[Order_date]]</f>
        <v>4</v>
      </c>
      <c r="T566">
        <f>Sheet1[[#This Row],[Quantity]]*Sheet1[[#This Row],[Sales]]</f>
        <v>164</v>
      </c>
      <c r="U566">
        <f>Sheet1[[#This Row],[Total Sales]]*Sheet1[[#This Row],[Discount]]</f>
        <v>0</v>
      </c>
      <c r="V566" s="4">
        <f>Sheet1[[#This Row],[Total Sales]]-Sheet1[[#This Row],[Total Sales]]*Sheet1[[#This Row],[Discount]]</f>
        <v>164</v>
      </c>
      <c r="W566" s="4">
        <f>Sheet1[[#This Row],[Quantity]]*Sheet1[[#This Row],[Profit]]</f>
        <v>65.599999999999994</v>
      </c>
      <c r="X566" s="5">
        <f>Sheet1[[#This Row],[Total Profit]]/Sheet1[[#This Row],[Sales After Discount]]</f>
        <v>0.39999999999999997</v>
      </c>
      <c r="Y566" s="4">
        <f>Sheet1[[#This Row],[Shipping_cost]]*Sheet1[[#This Row],[Quantity]]</f>
        <v>26.52</v>
      </c>
      <c r="Z566" s="4">
        <f>Sheet1[[#This Row],[Total Profit]]-Sheet1[[#This Row],[Total Shipping Cost]]</f>
        <v>39.08</v>
      </c>
      <c r="AA566" s="4" t="str">
        <f>IF(Sheet1[[#This Row],[Net Profit]]&gt;0,"Profit","Loss")</f>
        <v>Profit</v>
      </c>
    </row>
    <row r="567" spans="1:27" x14ac:dyDescent="0.25">
      <c r="A567" t="s">
        <v>825</v>
      </c>
      <c r="B567" s="1">
        <v>40584</v>
      </c>
      <c r="C567" s="1">
        <v>40588</v>
      </c>
      <c r="D567" t="s">
        <v>1</v>
      </c>
      <c r="E567" t="s">
        <v>826</v>
      </c>
      <c r="F567" t="s">
        <v>26</v>
      </c>
      <c r="G567" t="s">
        <v>827</v>
      </c>
      <c r="H567" t="s">
        <v>828</v>
      </c>
      <c r="I567" t="s">
        <v>22</v>
      </c>
      <c r="J567" t="s">
        <v>22</v>
      </c>
      <c r="K567" t="s">
        <v>7</v>
      </c>
      <c r="L567" t="s">
        <v>91</v>
      </c>
      <c r="M567">
        <v>67</v>
      </c>
      <c r="N567">
        <v>4</v>
      </c>
      <c r="O567">
        <v>0</v>
      </c>
      <c r="P567">
        <v>24.24</v>
      </c>
      <c r="Q567">
        <v>6.28</v>
      </c>
      <c r="R567" t="s">
        <v>9</v>
      </c>
      <c r="S567">
        <f>Sheet1[[#This Row],[Ship_date]]-Sheet1[[#This Row],[Order_date]]</f>
        <v>4</v>
      </c>
      <c r="T567">
        <f>Sheet1[[#This Row],[Quantity]]*Sheet1[[#This Row],[Sales]]</f>
        <v>268</v>
      </c>
      <c r="U567">
        <f>Sheet1[[#This Row],[Total Sales]]*Sheet1[[#This Row],[Discount]]</f>
        <v>0</v>
      </c>
      <c r="V567" s="4">
        <f>Sheet1[[#This Row],[Total Sales]]-Sheet1[[#This Row],[Total Sales]]*Sheet1[[#This Row],[Discount]]</f>
        <v>268</v>
      </c>
      <c r="W567" s="4">
        <f>Sheet1[[#This Row],[Quantity]]*Sheet1[[#This Row],[Profit]]</f>
        <v>96.96</v>
      </c>
      <c r="X567" s="5">
        <f>Sheet1[[#This Row],[Total Profit]]/Sheet1[[#This Row],[Sales After Discount]]</f>
        <v>0.3617910447761194</v>
      </c>
      <c r="Y567" s="4">
        <f>Sheet1[[#This Row],[Shipping_cost]]*Sheet1[[#This Row],[Quantity]]</f>
        <v>25.12</v>
      </c>
      <c r="Z567" s="4">
        <f>Sheet1[[#This Row],[Total Profit]]-Sheet1[[#This Row],[Total Shipping Cost]]</f>
        <v>71.839999999999989</v>
      </c>
      <c r="AA567" s="4" t="str">
        <f>IF(Sheet1[[#This Row],[Net Profit]]&gt;0,"Profit","Loss")</f>
        <v>Profit</v>
      </c>
    </row>
    <row r="568" spans="1:27" x14ac:dyDescent="0.25">
      <c r="A568" t="s">
        <v>821</v>
      </c>
      <c r="B568" s="1">
        <v>40584</v>
      </c>
      <c r="C568" s="1">
        <v>40588</v>
      </c>
      <c r="D568" t="s">
        <v>1</v>
      </c>
      <c r="E568" t="s">
        <v>822</v>
      </c>
      <c r="F568" t="s">
        <v>43</v>
      </c>
      <c r="G568" t="s">
        <v>301</v>
      </c>
      <c r="H568" t="s">
        <v>106</v>
      </c>
      <c r="I568" t="s">
        <v>75</v>
      </c>
      <c r="J568" t="s">
        <v>30</v>
      </c>
      <c r="K568" t="s">
        <v>7</v>
      </c>
      <c r="L568" t="s">
        <v>96</v>
      </c>
      <c r="M568">
        <v>66</v>
      </c>
      <c r="N568">
        <v>4</v>
      </c>
      <c r="O568">
        <v>0</v>
      </c>
      <c r="P568">
        <v>12.56</v>
      </c>
      <c r="Q568">
        <v>5.64</v>
      </c>
      <c r="R568" t="s">
        <v>23</v>
      </c>
      <c r="S568">
        <f>Sheet1[[#This Row],[Ship_date]]-Sheet1[[#This Row],[Order_date]]</f>
        <v>4</v>
      </c>
      <c r="T568">
        <f>Sheet1[[#This Row],[Quantity]]*Sheet1[[#This Row],[Sales]]</f>
        <v>264</v>
      </c>
      <c r="U568">
        <f>Sheet1[[#This Row],[Total Sales]]*Sheet1[[#This Row],[Discount]]</f>
        <v>0</v>
      </c>
      <c r="V568" s="4">
        <f>Sheet1[[#This Row],[Total Sales]]-Sheet1[[#This Row],[Total Sales]]*Sheet1[[#This Row],[Discount]]</f>
        <v>264</v>
      </c>
      <c r="W568" s="4">
        <f>Sheet1[[#This Row],[Quantity]]*Sheet1[[#This Row],[Profit]]</f>
        <v>50.24</v>
      </c>
      <c r="X568" s="5">
        <f>Sheet1[[#This Row],[Total Profit]]/Sheet1[[#This Row],[Sales After Discount]]</f>
        <v>0.19030303030303031</v>
      </c>
      <c r="Y568" s="4">
        <f>Sheet1[[#This Row],[Shipping_cost]]*Sheet1[[#This Row],[Quantity]]</f>
        <v>22.56</v>
      </c>
      <c r="Z568" s="4">
        <f>Sheet1[[#This Row],[Total Profit]]-Sheet1[[#This Row],[Total Shipping Cost]]</f>
        <v>27.680000000000003</v>
      </c>
      <c r="AA568" s="4" t="str">
        <f>IF(Sheet1[[#This Row],[Net Profit]]&gt;0,"Profit","Loss")</f>
        <v>Profit</v>
      </c>
    </row>
    <row r="569" spans="1:27" x14ac:dyDescent="0.25">
      <c r="A569" t="s">
        <v>825</v>
      </c>
      <c r="B569" s="1">
        <v>40584</v>
      </c>
      <c r="C569" s="1">
        <v>40588</v>
      </c>
      <c r="D569" t="s">
        <v>1</v>
      </c>
      <c r="E569" t="s">
        <v>826</v>
      </c>
      <c r="F569" t="s">
        <v>26</v>
      </c>
      <c r="G569" t="s">
        <v>827</v>
      </c>
      <c r="H569" t="s">
        <v>828</v>
      </c>
      <c r="I569" t="s">
        <v>22</v>
      </c>
      <c r="J569" t="s">
        <v>22</v>
      </c>
      <c r="K569" t="s">
        <v>32</v>
      </c>
      <c r="L569" t="s">
        <v>33</v>
      </c>
      <c r="M569">
        <v>52</v>
      </c>
      <c r="N569">
        <v>1</v>
      </c>
      <c r="O569">
        <v>0</v>
      </c>
      <c r="P569">
        <v>1.02</v>
      </c>
      <c r="Q569">
        <v>3.9</v>
      </c>
      <c r="R569" t="s">
        <v>9</v>
      </c>
      <c r="S569">
        <f>Sheet1[[#This Row],[Ship_date]]-Sheet1[[#This Row],[Order_date]]</f>
        <v>4</v>
      </c>
      <c r="T569">
        <f>Sheet1[[#This Row],[Quantity]]*Sheet1[[#This Row],[Sales]]</f>
        <v>52</v>
      </c>
      <c r="U569">
        <f>Sheet1[[#This Row],[Total Sales]]*Sheet1[[#This Row],[Discount]]</f>
        <v>0</v>
      </c>
      <c r="V569" s="4">
        <f>Sheet1[[#This Row],[Total Sales]]-Sheet1[[#This Row],[Total Sales]]*Sheet1[[#This Row],[Discount]]</f>
        <v>52</v>
      </c>
      <c r="W569" s="4">
        <f>Sheet1[[#This Row],[Quantity]]*Sheet1[[#This Row],[Profit]]</f>
        <v>1.02</v>
      </c>
      <c r="X569" s="5">
        <f>Sheet1[[#This Row],[Total Profit]]/Sheet1[[#This Row],[Sales After Discount]]</f>
        <v>1.9615384615384614E-2</v>
      </c>
      <c r="Y569" s="4">
        <f>Sheet1[[#This Row],[Shipping_cost]]*Sheet1[[#This Row],[Quantity]]</f>
        <v>3.9</v>
      </c>
      <c r="Z569" s="4">
        <f>Sheet1[[#This Row],[Total Profit]]-Sheet1[[#This Row],[Total Shipping Cost]]</f>
        <v>-2.88</v>
      </c>
      <c r="AA569" s="4" t="str">
        <f>IF(Sheet1[[#This Row],[Net Profit]]&gt;0,"Profit","Loss")</f>
        <v>Loss</v>
      </c>
    </row>
    <row r="570" spans="1:27" x14ac:dyDescent="0.25">
      <c r="A570" t="s">
        <v>825</v>
      </c>
      <c r="B570" s="1">
        <v>40584</v>
      </c>
      <c r="C570" s="1">
        <v>40588</v>
      </c>
      <c r="D570" t="s">
        <v>1</v>
      </c>
      <c r="E570" t="s">
        <v>826</v>
      </c>
      <c r="F570" t="s">
        <v>26</v>
      </c>
      <c r="G570" t="s">
        <v>827</v>
      </c>
      <c r="H570" t="s">
        <v>828</v>
      </c>
      <c r="I570" t="s">
        <v>22</v>
      </c>
      <c r="J570" t="s">
        <v>22</v>
      </c>
      <c r="K570" t="s">
        <v>38</v>
      </c>
      <c r="L570" t="s">
        <v>77</v>
      </c>
      <c r="M570">
        <v>170</v>
      </c>
      <c r="N570">
        <v>1</v>
      </c>
      <c r="O570">
        <v>0</v>
      </c>
      <c r="P570">
        <v>30.54</v>
      </c>
      <c r="Q570">
        <v>3.44</v>
      </c>
      <c r="R570" t="s">
        <v>9</v>
      </c>
      <c r="S570">
        <f>Sheet1[[#This Row],[Ship_date]]-Sheet1[[#This Row],[Order_date]]</f>
        <v>4</v>
      </c>
      <c r="T570">
        <f>Sheet1[[#This Row],[Quantity]]*Sheet1[[#This Row],[Sales]]</f>
        <v>170</v>
      </c>
      <c r="U570">
        <f>Sheet1[[#This Row],[Total Sales]]*Sheet1[[#This Row],[Discount]]</f>
        <v>0</v>
      </c>
      <c r="V570" s="4">
        <f>Sheet1[[#This Row],[Total Sales]]-Sheet1[[#This Row],[Total Sales]]*Sheet1[[#This Row],[Discount]]</f>
        <v>170</v>
      </c>
      <c r="W570" s="4">
        <f>Sheet1[[#This Row],[Quantity]]*Sheet1[[#This Row],[Profit]]</f>
        <v>30.54</v>
      </c>
      <c r="X570" s="5">
        <f>Sheet1[[#This Row],[Total Profit]]/Sheet1[[#This Row],[Sales After Discount]]</f>
        <v>0.17964705882352941</v>
      </c>
      <c r="Y570" s="4">
        <f>Sheet1[[#This Row],[Shipping_cost]]*Sheet1[[#This Row],[Quantity]]</f>
        <v>3.44</v>
      </c>
      <c r="Z570" s="4">
        <f>Sheet1[[#This Row],[Total Profit]]-Sheet1[[#This Row],[Total Shipping Cost]]</f>
        <v>27.099999999999998</v>
      </c>
      <c r="AA570" s="4" t="str">
        <f>IF(Sheet1[[#This Row],[Net Profit]]&gt;0,"Profit","Loss")</f>
        <v>Profit</v>
      </c>
    </row>
    <row r="571" spans="1:27" x14ac:dyDescent="0.25">
      <c r="A571" t="s">
        <v>807</v>
      </c>
      <c r="B571" s="1">
        <v>40584</v>
      </c>
      <c r="C571" s="1">
        <v>40589</v>
      </c>
      <c r="D571" t="s">
        <v>18</v>
      </c>
      <c r="E571" t="s">
        <v>808</v>
      </c>
      <c r="F571" t="s">
        <v>3</v>
      </c>
      <c r="G571" t="s">
        <v>351</v>
      </c>
      <c r="H571" t="s">
        <v>259</v>
      </c>
      <c r="I571" t="s">
        <v>6</v>
      </c>
      <c r="J571" t="s">
        <v>6</v>
      </c>
      <c r="K571" t="s">
        <v>7</v>
      </c>
      <c r="L571" t="s">
        <v>97</v>
      </c>
      <c r="M571">
        <v>44</v>
      </c>
      <c r="N571">
        <v>4</v>
      </c>
      <c r="O571">
        <v>0</v>
      </c>
      <c r="P571">
        <v>18</v>
      </c>
      <c r="Q571">
        <v>3.1</v>
      </c>
      <c r="R571" t="s">
        <v>9</v>
      </c>
      <c r="S571">
        <f>Sheet1[[#This Row],[Ship_date]]-Sheet1[[#This Row],[Order_date]]</f>
        <v>5</v>
      </c>
      <c r="T571">
        <f>Sheet1[[#This Row],[Quantity]]*Sheet1[[#This Row],[Sales]]</f>
        <v>176</v>
      </c>
      <c r="U571">
        <f>Sheet1[[#This Row],[Total Sales]]*Sheet1[[#This Row],[Discount]]</f>
        <v>0</v>
      </c>
      <c r="V571" s="4">
        <f>Sheet1[[#This Row],[Total Sales]]-Sheet1[[#This Row],[Total Sales]]*Sheet1[[#This Row],[Discount]]</f>
        <v>176</v>
      </c>
      <c r="W571" s="4">
        <f>Sheet1[[#This Row],[Quantity]]*Sheet1[[#This Row],[Profit]]</f>
        <v>72</v>
      </c>
      <c r="X571" s="5">
        <f>Sheet1[[#This Row],[Total Profit]]/Sheet1[[#This Row],[Sales After Discount]]</f>
        <v>0.40909090909090912</v>
      </c>
      <c r="Y571" s="4">
        <f>Sheet1[[#This Row],[Shipping_cost]]*Sheet1[[#This Row],[Quantity]]</f>
        <v>12.4</v>
      </c>
      <c r="Z571" s="4">
        <f>Sheet1[[#This Row],[Total Profit]]-Sheet1[[#This Row],[Total Shipping Cost]]</f>
        <v>59.6</v>
      </c>
      <c r="AA571" s="4" t="str">
        <f>IF(Sheet1[[#This Row],[Net Profit]]&gt;0,"Profit","Loss")</f>
        <v>Profit</v>
      </c>
    </row>
    <row r="572" spans="1:27" x14ac:dyDescent="0.25">
      <c r="A572" t="s">
        <v>825</v>
      </c>
      <c r="B572" s="1">
        <v>40584</v>
      </c>
      <c r="C572" s="1">
        <v>40588</v>
      </c>
      <c r="D572" t="s">
        <v>1</v>
      </c>
      <c r="E572" t="s">
        <v>826</v>
      </c>
      <c r="F572" t="s">
        <v>26</v>
      </c>
      <c r="G572" t="s">
        <v>827</v>
      </c>
      <c r="H572" t="s">
        <v>828</v>
      </c>
      <c r="I572" t="s">
        <v>22</v>
      </c>
      <c r="J572" t="s">
        <v>22</v>
      </c>
      <c r="K572" t="s">
        <v>7</v>
      </c>
      <c r="L572" t="s">
        <v>16</v>
      </c>
      <c r="M572">
        <v>53</v>
      </c>
      <c r="N572">
        <v>2</v>
      </c>
      <c r="O572">
        <v>0</v>
      </c>
      <c r="P572">
        <v>22.38</v>
      </c>
      <c r="Q572">
        <v>2.85</v>
      </c>
      <c r="R572" t="s">
        <v>9</v>
      </c>
      <c r="S572">
        <f>Sheet1[[#This Row],[Ship_date]]-Sheet1[[#This Row],[Order_date]]</f>
        <v>4</v>
      </c>
      <c r="T572">
        <f>Sheet1[[#This Row],[Quantity]]*Sheet1[[#This Row],[Sales]]</f>
        <v>106</v>
      </c>
      <c r="U572">
        <f>Sheet1[[#This Row],[Total Sales]]*Sheet1[[#This Row],[Discount]]</f>
        <v>0</v>
      </c>
      <c r="V572" s="4">
        <f>Sheet1[[#This Row],[Total Sales]]-Sheet1[[#This Row],[Total Sales]]*Sheet1[[#This Row],[Discount]]</f>
        <v>106</v>
      </c>
      <c r="W572" s="4">
        <f>Sheet1[[#This Row],[Quantity]]*Sheet1[[#This Row],[Profit]]</f>
        <v>44.76</v>
      </c>
      <c r="X572" s="5">
        <f>Sheet1[[#This Row],[Total Profit]]/Sheet1[[#This Row],[Sales After Discount]]</f>
        <v>0.4222641509433962</v>
      </c>
      <c r="Y572" s="4">
        <f>Sheet1[[#This Row],[Shipping_cost]]*Sheet1[[#This Row],[Quantity]]</f>
        <v>5.7</v>
      </c>
      <c r="Z572" s="4">
        <f>Sheet1[[#This Row],[Total Profit]]-Sheet1[[#This Row],[Total Shipping Cost]]</f>
        <v>39.059999999999995</v>
      </c>
      <c r="AA572" s="4" t="str">
        <f>IF(Sheet1[[#This Row],[Net Profit]]&gt;0,"Profit","Loss")</f>
        <v>Profit</v>
      </c>
    </row>
    <row r="573" spans="1:27" x14ac:dyDescent="0.25">
      <c r="A573" t="s">
        <v>809</v>
      </c>
      <c r="B573" s="1">
        <v>40584</v>
      </c>
      <c r="C573" s="1">
        <v>40589</v>
      </c>
      <c r="D573" t="s">
        <v>1</v>
      </c>
      <c r="E573" t="s">
        <v>810</v>
      </c>
      <c r="F573" t="s">
        <v>43</v>
      </c>
      <c r="G573" t="s">
        <v>605</v>
      </c>
      <c r="H573" t="s">
        <v>276</v>
      </c>
      <c r="I573" t="s">
        <v>29</v>
      </c>
      <c r="J573" t="s">
        <v>102</v>
      </c>
      <c r="K573" t="s">
        <v>7</v>
      </c>
      <c r="L573" t="s">
        <v>91</v>
      </c>
      <c r="M573">
        <v>19</v>
      </c>
      <c r="N573">
        <v>1</v>
      </c>
      <c r="O573">
        <v>0</v>
      </c>
      <c r="P573">
        <v>4.2</v>
      </c>
      <c r="Q573">
        <v>2.2400000000000002</v>
      </c>
      <c r="R573" t="s">
        <v>23</v>
      </c>
      <c r="S573">
        <f>Sheet1[[#This Row],[Ship_date]]-Sheet1[[#This Row],[Order_date]]</f>
        <v>5</v>
      </c>
      <c r="T573">
        <f>Sheet1[[#This Row],[Quantity]]*Sheet1[[#This Row],[Sales]]</f>
        <v>19</v>
      </c>
      <c r="U573">
        <f>Sheet1[[#This Row],[Total Sales]]*Sheet1[[#This Row],[Discount]]</f>
        <v>0</v>
      </c>
      <c r="V573" s="4">
        <f>Sheet1[[#This Row],[Total Sales]]-Sheet1[[#This Row],[Total Sales]]*Sheet1[[#This Row],[Discount]]</f>
        <v>19</v>
      </c>
      <c r="W573" s="4">
        <f>Sheet1[[#This Row],[Quantity]]*Sheet1[[#This Row],[Profit]]</f>
        <v>4.2</v>
      </c>
      <c r="X573" s="5">
        <f>Sheet1[[#This Row],[Total Profit]]/Sheet1[[#This Row],[Sales After Discount]]</f>
        <v>0.22105263157894739</v>
      </c>
      <c r="Y573" s="4">
        <f>Sheet1[[#This Row],[Shipping_cost]]*Sheet1[[#This Row],[Quantity]]</f>
        <v>2.2400000000000002</v>
      </c>
      <c r="Z573" s="4">
        <f>Sheet1[[#This Row],[Total Profit]]-Sheet1[[#This Row],[Total Shipping Cost]]</f>
        <v>1.96</v>
      </c>
      <c r="AA573" s="4" t="str">
        <f>IF(Sheet1[[#This Row],[Net Profit]]&gt;0,"Profit","Loss")</f>
        <v>Profit</v>
      </c>
    </row>
    <row r="574" spans="1:27" x14ac:dyDescent="0.25">
      <c r="A574" t="s">
        <v>815</v>
      </c>
      <c r="B574" s="1">
        <v>40584</v>
      </c>
      <c r="C574" s="1">
        <v>40588</v>
      </c>
      <c r="D574" t="s">
        <v>1</v>
      </c>
      <c r="E574" t="s">
        <v>816</v>
      </c>
      <c r="F574" t="s">
        <v>43</v>
      </c>
      <c r="G574" t="s">
        <v>817</v>
      </c>
      <c r="H574" t="s">
        <v>818</v>
      </c>
      <c r="I574" t="s">
        <v>29</v>
      </c>
      <c r="J574" t="s">
        <v>76</v>
      </c>
      <c r="K574" t="s">
        <v>7</v>
      </c>
      <c r="L574" t="s">
        <v>91</v>
      </c>
      <c r="M574">
        <v>19</v>
      </c>
      <c r="N574">
        <v>1</v>
      </c>
      <c r="O574">
        <v>0</v>
      </c>
      <c r="P574">
        <v>7.56</v>
      </c>
      <c r="Q574">
        <v>1.44</v>
      </c>
      <c r="R574" t="s">
        <v>9</v>
      </c>
      <c r="S574">
        <f>Sheet1[[#This Row],[Ship_date]]-Sheet1[[#This Row],[Order_date]]</f>
        <v>4</v>
      </c>
      <c r="T574">
        <f>Sheet1[[#This Row],[Quantity]]*Sheet1[[#This Row],[Sales]]</f>
        <v>19</v>
      </c>
      <c r="U574">
        <f>Sheet1[[#This Row],[Total Sales]]*Sheet1[[#This Row],[Discount]]</f>
        <v>0</v>
      </c>
      <c r="V574" s="4">
        <f>Sheet1[[#This Row],[Total Sales]]-Sheet1[[#This Row],[Total Sales]]*Sheet1[[#This Row],[Discount]]</f>
        <v>19</v>
      </c>
      <c r="W574" s="4">
        <f>Sheet1[[#This Row],[Quantity]]*Sheet1[[#This Row],[Profit]]</f>
        <v>7.56</v>
      </c>
      <c r="X574" s="5">
        <f>Sheet1[[#This Row],[Total Profit]]/Sheet1[[#This Row],[Sales After Discount]]</f>
        <v>0.39789473684210525</v>
      </c>
      <c r="Y574" s="4">
        <f>Sheet1[[#This Row],[Shipping_cost]]*Sheet1[[#This Row],[Quantity]]</f>
        <v>1.44</v>
      </c>
      <c r="Z574" s="4">
        <f>Sheet1[[#This Row],[Total Profit]]-Sheet1[[#This Row],[Total Shipping Cost]]</f>
        <v>6.1199999999999992</v>
      </c>
      <c r="AA574" s="4" t="str">
        <f>IF(Sheet1[[#This Row],[Net Profit]]&gt;0,"Profit","Loss")</f>
        <v>Profit</v>
      </c>
    </row>
    <row r="575" spans="1:27" x14ac:dyDescent="0.25">
      <c r="A575" t="s">
        <v>825</v>
      </c>
      <c r="B575" s="1">
        <v>40584</v>
      </c>
      <c r="C575" s="1">
        <v>40588</v>
      </c>
      <c r="D575" t="s">
        <v>1</v>
      </c>
      <c r="E575" t="s">
        <v>826</v>
      </c>
      <c r="F575" t="s">
        <v>26</v>
      </c>
      <c r="G575" t="s">
        <v>827</v>
      </c>
      <c r="H575" t="s">
        <v>828</v>
      </c>
      <c r="I575" t="s">
        <v>22</v>
      </c>
      <c r="J575" t="s">
        <v>22</v>
      </c>
      <c r="K575" t="s">
        <v>7</v>
      </c>
      <c r="L575" t="s">
        <v>91</v>
      </c>
      <c r="M575">
        <v>14</v>
      </c>
      <c r="N575">
        <v>1</v>
      </c>
      <c r="O575">
        <v>0</v>
      </c>
      <c r="P575">
        <v>6.54</v>
      </c>
      <c r="Q575">
        <v>1.32</v>
      </c>
      <c r="R575" t="s">
        <v>9</v>
      </c>
      <c r="S575">
        <f>Sheet1[[#This Row],[Ship_date]]-Sheet1[[#This Row],[Order_date]]</f>
        <v>4</v>
      </c>
      <c r="T575">
        <f>Sheet1[[#This Row],[Quantity]]*Sheet1[[#This Row],[Sales]]</f>
        <v>14</v>
      </c>
      <c r="U575">
        <f>Sheet1[[#This Row],[Total Sales]]*Sheet1[[#This Row],[Discount]]</f>
        <v>0</v>
      </c>
      <c r="V575" s="4">
        <f>Sheet1[[#This Row],[Total Sales]]-Sheet1[[#This Row],[Total Sales]]*Sheet1[[#This Row],[Discount]]</f>
        <v>14</v>
      </c>
      <c r="W575" s="4">
        <f>Sheet1[[#This Row],[Quantity]]*Sheet1[[#This Row],[Profit]]</f>
        <v>6.54</v>
      </c>
      <c r="X575" s="5">
        <f>Sheet1[[#This Row],[Total Profit]]/Sheet1[[#This Row],[Sales After Discount]]</f>
        <v>0.46714285714285714</v>
      </c>
      <c r="Y575" s="4">
        <f>Sheet1[[#This Row],[Shipping_cost]]*Sheet1[[#This Row],[Quantity]]</f>
        <v>1.32</v>
      </c>
      <c r="Z575" s="4">
        <f>Sheet1[[#This Row],[Total Profit]]-Sheet1[[#This Row],[Total Shipping Cost]]</f>
        <v>5.22</v>
      </c>
      <c r="AA575" s="4" t="str">
        <f>IF(Sheet1[[#This Row],[Net Profit]]&gt;0,"Profit","Loss")</f>
        <v>Profit</v>
      </c>
    </row>
    <row r="576" spans="1:27" x14ac:dyDescent="0.25">
      <c r="A576" t="s">
        <v>829</v>
      </c>
      <c r="B576" s="1">
        <v>40584</v>
      </c>
      <c r="C576" s="1">
        <v>40587</v>
      </c>
      <c r="D576" t="s">
        <v>18</v>
      </c>
      <c r="E576" t="s">
        <v>810</v>
      </c>
      <c r="F576" t="s">
        <v>43</v>
      </c>
      <c r="G576" t="s">
        <v>685</v>
      </c>
      <c r="H576" t="s">
        <v>169</v>
      </c>
      <c r="I576" t="s">
        <v>14</v>
      </c>
      <c r="J576" t="s">
        <v>132</v>
      </c>
      <c r="K576" t="s">
        <v>7</v>
      </c>
      <c r="L576" t="s">
        <v>16</v>
      </c>
      <c r="M576">
        <v>9</v>
      </c>
      <c r="N576">
        <v>1</v>
      </c>
      <c r="O576">
        <v>0.5</v>
      </c>
      <c r="P576">
        <v>-7.7249999999999996</v>
      </c>
      <c r="Q576">
        <v>0.98</v>
      </c>
      <c r="R576" t="s">
        <v>23</v>
      </c>
      <c r="S576">
        <f>Sheet1[[#This Row],[Ship_date]]-Sheet1[[#This Row],[Order_date]]</f>
        <v>3</v>
      </c>
      <c r="T576">
        <f>Sheet1[[#This Row],[Quantity]]*Sheet1[[#This Row],[Sales]]</f>
        <v>9</v>
      </c>
      <c r="U576">
        <f>Sheet1[[#This Row],[Total Sales]]*Sheet1[[#This Row],[Discount]]</f>
        <v>4.5</v>
      </c>
      <c r="V576" s="4">
        <f>Sheet1[[#This Row],[Total Sales]]-Sheet1[[#This Row],[Total Sales]]*Sheet1[[#This Row],[Discount]]</f>
        <v>4.5</v>
      </c>
      <c r="W576" s="4">
        <f>Sheet1[[#This Row],[Quantity]]*Sheet1[[#This Row],[Profit]]</f>
        <v>-7.7249999999999996</v>
      </c>
      <c r="X576" s="5">
        <f>Sheet1[[#This Row],[Total Profit]]/Sheet1[[#This Row],[Sales After Discount]]</f>
        <v>-1.7166666666666666</v>
      </c>
      <c r="Y576" s="4">
        <f>Sheet1[[#This Row],[Shipping_cost]]*Sheet1[[#This Row],[Quantity]]</f>
        <v>0.98</v>
      </c>
      <c r="Z576" s="4">
        <f>Sheet1[[#This Row],[Total Profit]]-Sheet1[[#This Row],[Total Shipping Cost]]</f>
        <v>-8.7050000000000001</v>
      </c>
      <c r="AA576" s="4" t="str">
        <f>IF(Sheet1[[#This Row],[Net Profit]]&gt;0,"Profit","Loss")</f>
        <v>Loss</v>
      </c>
    </row>
    <row r="577" spans="1:27" x14ac:dyDescent="0.25">
      <c r="A577" t="s">
        <v>807</v>
      </c>
      <c r="B577" s="1">
        <v>40584</v>
      </c>
      <c r="C577" s="1">
        <v>40589</v>
      </c>
      <c r="D577" t="s">
        <v>18</v>
      </c>
      <c r="E577" t="s">
        <v>808</v>
      </c>
      <c r="F577" t="s">
        <v>3</v>
      </c>
      <c r="G577" t="s">
        <v>351</v>
      </c>
      <c r="H577" t="s">
        <v>259</v>
      </c>
      <c r="I577" t="s">
        <v>6</v>
      </c>
      <c r="J577" t="s">
        <v>6</v>
      </c>
      <c r="K577" t="s">
        <v>7</v>
      </c>
      <c r="L577" t="s">
        <v>137</v>
      </c>
      <c r="M577">
        <v>8</v>
      </c>
      <c r="N577">
        <v>1</v>
      </c>
      <c r="O577">
        <v>0</v>
      </c>
      <c r="P577">
        <v>3.09</v>
      </c>
      <c r="Q577">
        <v>0.84</v>
      </c>
      <c r="R577" t="s">
        <v>9</v>
      </c>
      <c r="S577">
        <f>Sheet1[[#This Row],[Ship_date]]-Sheet1[[#This Row],[Order_date]]</f>
        <v>5</v>
      </c>
      <c r="T577">
        <f>Sheet1[[#This Row],[Quantity]]*Sheet1[[#This Row],[Sales]]</f>
        <v>8</v>
      </c>
      <c r="U577">
        <f>Sheet1[[#This Row],[Total Sales]]*Sheet1[[#This Row],[Discount]]</f>
        <v>0</v>
      </c>
      <c r="V577" s="4">
        <f>Sheet1[[#This Row],[Total Sales]]-Sheet1[[#This Row],[Total Sales]]*Sheet1[[#This Row],[Discount]]</f>
        <v>8</v>
      </c>
      <c r="W577" s="4">
        <f>Sheet1[[#This Row],[Quantity]]*Sheet1[[#This Row],[Profit]]</f>
        <v>3.09</v>
      </c>
      <c r="X577" s="5">
        <f>Sheet1[[#This Row],[Total Profit]]/Sheet1[[#This Row],[Sales After Discount]]</f>
        <v>0.38624999999999998</v>
      </c>
      <c r="Y577" s="4">
        <f>Sheet1[[#This Row],[Shipping_cost]]*Sheet1[[#This Row],[Quantity]]</f>
        <v>0.84</v>
      </c>
      <c r="Z577" s="4">
        <f>Sheet1[[#This Row],[Total Profit]]-Sheet1[[#This Row],[Total Shipping Cost]]</f>
        <v>2.25</v>
      </c>
      <c r="AA577" s="4" t="str">
        <f>IF(Sheet1[[#This Row],[Net Profit]]&gt;0,"Profit","Loss")</f>
        <v>Profit</v>
      </c>
    </row>
    <row r="578" spans="1:27" x14ac:dyDescent="0.25">
      <c r="A578" t="s">
        <v>825</v>
      </c>
      <c r="B578" s="1">
        <v>40584</v>
      </c>
      <c r="C578" s="1">
        <v>40588</v>
      </c>
      <c r="D578" t="s">
        <v>1</v>
      </c>
      <c r="E578" t="s">
        <v>826</v>
      </c>
      <c r="F578" t="s">
        <v>26</v>
      </c>
      <c r="G578" t="s">
        <v>827</v>
      </c>
      <c r="H578" t="s">
        <v>828</v>
      </c>
      <c r="I578" t="s">
        <v>22</v>
      </c>
      <c r="J578" t="s">
        <v>22</v>
      </c>
      <c r="K578" t="s">
        <v>7</v>
      </c>
      <c r="L578" t="s">
        <v>97</v>
      </c>
      <c r="M578">
        <v>13</v>
      </c>
      <c r="N578">
        <v>1</v>
      </c>
      <c r="O578">
        <v>0</v>
      </c>
      <c r="P578">
        <v>4.4400000000000004</v>
      </c>
      <c r="Q578">
        <v>0.83</v>
      </c>
      <c r="R578" t="s">
        <v>9</v>
      </c>
      <c r="S578">
        <f>Sheet1[[#This Row],[Ship_date]]-Sheet1[[#This Row],[Order_date]]</f>
        <v>4</v>
      </c>
      <c r="T578">
        <f>Sheet1[[#This Row],[Quantity]]*Sheet1[[#This Row],[Sales]]</f>
        <v>13</v>
      </c>
      <c r="U578">
        <f>Sheet1[[#This Row],[Total Sales]]*Sheet1[[#This Row],[Discount]]</f>
        <v>0</v>
      </c>
      <c r="V578" s="4">
        <f>Sheet1[[#This Row],[Total Sales]]-Sheet1[[#This Row],[Total Sales]]*Sheet1[[#This Row],[Discount]]</f>
        <v>13</v>
      </c>
      <c r="W578" s="4">
        <f>Sheet1[[#This Row],[Quantity]]*Sheet1[[#This Row],[Profit]]</f>
        <v>4.4400000000000004</v>
      </c>
      <c r="X578" s="5">
        <f>Sheet1[[#This Row],[Total Profit]]/Sheet1[[#This Row],[Sales After Discount]]</f>
        <v>0.34153846153846157</v>
      </c>
      <c r="Y578" s="4">
        <f>Sheet1[[#This Row],[Shipping_cost]]*Sheet1[[#This Row],[Quantity]]</f>
        <v>0.83</v>
      </c>
      <c r="Z578" s="4">
        <f>Sheet1[[#This Row],[Total Profit]]-Sheet1[[#This Row],[Total Shipping Cost]]</f>
        <v>3.6100000000000003</v>
      </c>
      <c r="AA578" s="4" t="str">
        <f>IF(Sheet1[[#This Row],[Net Profit]]&gt;0,"Profit","Loss")</f>
        <v>Profit</v>
      </c>
    </row>
    <row r="579" spans="1:27" x14ac:dyDescent="0.25">
      <c r="A579" t="s">
        <v>830</v>
      </c>
      <c r="B579" s="1">
        <v>40584</v>
      </c>
      <c r="C579" s="1">
        <v>40587</v>
      </c>
      <c r="D579" t="s">
        <v>142</v>
      </c>
      <c r="E579" t="s">
        <v>831</v>
      </c>
      <c r="F579" t="s">
        <v>3</v>
      </c>
      <c r="G579" t="s">
        <v>832</v>
      </c>
      <c r="H579" t="s">
        <v>833</v>
      </c>
      <c r="I579" t="s">
        <v>6</v>
      </c>
      <c r="J579" t="s">
        <v>6</v>
      </c>
      <c r="K579" t="s">
        <v>7</v>
      </c>
      <c r="L579" t="s">
        <v>137</v>
      </c>
      <c r="M579">
        <v>3</v>
      </c>
      <c r="N579">
        <v>1</v>
      </c>
      <c r="O579">
        <v>0.7</v>
      </c>
      <c r="P579">
        <v>-5.0519999999999996</v>
      </c>
      <c r="Q579">
        <v>0.39</v>
      </c>
      <c r="R579" t="s">
        <v>23</v>
      </c>
      <c r="S579">
        <f>Sheet1[[#This Row],[Ship_date]]-Sheet1[[#This Row],[Order_date]]</f>
        <v>3</v>
      </c>
      <c r="T579">
        <f>Sheet1[[#This Row],[Quantity]]*Sheet1[[#This Row],[Sales]]</f>
        <v>3</v>
      </c>
      <c r="U579">
        <f>Sheet1[[#This Row],[Total Sales]]*Sheet1[[#This Row],[Discount]]</f>
        <v>2.0999999999999996</v>
      </c>
      <c r="V579" s="4">
        <f>Sheet1[[#This Row],[Total Sales]]-Sheet1[[#This Row],[Total Sales]]*Sheet1[[#This Row],[Discount]]</f>
        <v>0.90000000000000036</v>
      </c>
      <c r="W579" s="4">
        <f>Sheet1[[#This Row],[Quantity]]*Sheet1[[#This Row],[Profit]]</f>
        <v>-5.0519999999999996</v>
      </c>
      <c r="X579" s="5">
        <f>Sheet1[[#This Row],[Total Profit]]/Sheet1[[#This Row],[Sales After Discount]]</f>
        <v>-5.6133333333333306</v>
      </c>
      <c r="Y579" s="4">
        <f>Sheet1[[#This Row],[Shipping_cost]]*Sheet1[[#This Row],[Quantity]]</f>
        <v>0.39</v>
      </c>
      <c r="Z579" s="4">
        <f>Sheet1[[#This Row],[Total Profit]]-Sheet1[[#This Row],[Total Shipping Cost]]</f>
        <v>-5.4419999999999993</v>
      </c>
      <c r="AA579" s="4" t="str">
        <f>IF(Sheet1[[#This Row],[Net Profit]]&gt;0,"Profit","Loss")</f>
        <v>Loss</v>
      </c>
    </row>
    <row r="580" spans="1:27" x14ac:dyDescent="0.25">
      <c r="A580" t="s">
        <v>834</v>
      </c>
      <c r="B580" s="1">
        <v>40585</v>
      </c>
      <c r="C580" s="1">
        <v>40589</v>
      </c>
      <c r="D580" t="s">
        <v>1</v>
      </c>
      <c r="E580" t="s">
        <v>835</v>
      </c>
      <c r="F580" t="s">
        <v>43</v>
      </c>
      <c r="G580" t="s">
        <v>836</v>
      </c>
      <c r="H580" t="s">
        <v>837</v>
      </c>
      <c r="I580" t="s">
        <v>6</v>
      </c>
      <c r="J580" t="s">
        <v>6</v>
      </c>
      <c r="K580" t="s">
        <v>38</v>
      </c>
      <c r="L580" t="s">
        <v>50</v>
      </c>
      <c r="M580">
        <v>445</v>
      </c>
      <c r="N580">
        <v>10</v>
      </c>
      <c r="O580">
        <v>0.7</v>
      </c>
      <c r="P580">
        <v>-371.04</v>
      </c>
      <c r="Q580">
        <v>16.579999999999998</v>
      </c>
      <c r="R580" t="s">
        <v>23</v>
      </c>
      <c r="S580">
        <f>Sheet1[[#This Row],[Ship_date]]-Sheet1[[#This Row],[Order_date]]</f>
        <v>4</v>
      </c>
      <c r="T580">
        <f>Sheet1[[#This Row],[Quantity]]*Sheet1[[#This Row],[Sales]]</f>
        <v>4450</v>
      </c>
      <c r="U580">
        <f>Sheet1[[#This Row],[Total Sales]]*Sheet1[[#This Row],[Discount]]</f>
        <v>3115</v>
      </c>
      <c r="V580" s="4">
        <f>Sheet1[[#This Row],[Total Sales]]-Sheet1[[#This Row],[Total Sales]]*Sheet1[[#This Row],[Discount]]</f>
        <v>1335</v>
      </c>
      <c r="W580" s="4">
        <f>Sheet1[[#This Row],[Quantity]]*Sheet1[[#This Row],[Profit]]</f>
        <v>-3710.4</v>
      </c>
      <c r="X580" s="5">
        <f>Sheet1[[#This Row],[Total Profit]]/Sheet1[[#This Row],[Sales After Discount]]</f>
        <v>-2.7793258426966294</v>
      </c>
      <c r="Y580" s="4">
        <f>Sheet1[[#This Row],[Shipping_cost]]*Sheet1[[#This Row],[Quantity]]</f>
        <v>165.79999999999998</v>
      </c>
      <c r="Z580" s="4">
        <f>Sheet1[[#This Row],[Total Profit]]-Sheet1[[#This Row],[Total Shipping Cost]]</f>
        <v>-3876.2000000000003</v>
      </c>
      <c r="AA580" s="4" t="str">
        <f>IF(Sheet1[[#This Row],[Net Profit]]&gt;0,"Profit","Loss")</f>
        <v>Loss</v>
      </c>
    </row>
    <row r="581" spans="1:27" x14ac:dyDescent="0.25">
      <c r="A581" t="s">
        <v>838</v>
      </c>
      <c r="B581" s="1">
        <v>40585</v>
      </c>
      <c r="C581" s="1">
        <v>40587</v>
      </c>
      <c r="D581" t="s">
        <v>18</v>
      </c>
      <c r="E581" t="s">
        <v>839</v>
      </c>
      <c r="F581" t="s">
        <v>3</v>
      </c>
      <c r="G581" t="s">
        <v>840</v>
      </c>
      <c r="H581" t="s">
        <v>81</v>
      </c>
      <c r="I581" t="s">
        <v>22</v>
      </c>
      <c r="J581" t="s">
        <v>22</v>
      </c>
      <c r="K581" t="s">
        <v>38</v>
      </c>
      <c r="L581" t="s">
        <v>77</v>
      </c>
      <c r="M581">
        <v>138</v>
      </c>
      <c r="N581">
        <v>1</v>
      </c>
      <c r="O581">
        <v>0</v>
      </c>
      <c r="P581">
        <v>66.180000000000007</v>
      </c>
      <c r="Q581">
        <v>15.49</v>
      </c>
      <c r="R581" t="s">
        <v>45</v>
      </c>
      <c r="S581">
        <f>Sheet1[[#This Row],[Ship_date]]-Sheet1[[#This Row],[Order_date]]</f>
        <v>2</v>
      </c>
      <c r="T581">
        <f>Sheet1[[#This Row],[Quantity]]*Sheet1[[#This Row],[Sales]]</f>
        <v>138</v>
      </c>
      <c r="U581">
        <f>Sheet1[[#This Row],[Total Sales]]*Sheet1[[#This Row],[Discount]]</f>
        <v>0</v>
      </c>
      <c r="V581" s="4">
        <f>Sheet1[[#This Row],[Total Sales]]-Sheet1[[#This Row],[Total Sales]]*Sheet1[[#This Row],[Discount]]</f>
        <v>138</v>
      </c>
      <c r="W581" s="4">
        <f>Sheet1[[#This Row],[Quantity]]*Sheet1[[#This Row],[Profit]]</f>
        <v>66.180000000000007</v>
      </c>
      <c r="X581" s="5">
        <f>Sheet1[[#This Row],[Total Profit]]/Sheet1[[#This Row],[Sales After Discount]]</f>
        <v>0.47956521739130442</v>
      </c>
      <c r="Y581" s="4">
        <f>Sheet1[[#This Row],[Shipping_cost]]*Sheet1[[#This Row],[Quantity]]</f>
        <v>15.49</v>
      </c>
      <c r="Z581" s="4">
        <f>Sheet1[[#This Row],[Total Profit]]-Sheet1[[#This Row],[Total Shipping Cost]]</f>
        <v>50.690000000000005</v>
      </c>
      <c r="AA581" s="4" t="str">
        <f>IF(Sheet1[[#This Row],[Net Profit]]&gt;0,"Profit","Loss")</f>
        <v>Profit</v>
      </c>
    </row>
    <row r="582" spans="1:27" x14ac:dyDescent="0.25">
      <c r="A582" t="s">
        <v>841</v>
      </c>
      <c r="B582" s="1">
        <v>40585</v>
      </c>
      <c r="C582" s="1">
        <v>40589</v>
      </c>
      <c r="D582" t="s">
        <v>1</v>
      </c>
      <c r="E582" t="s">
        <v>350</v>
      </c>
      <c r="F582" t="s">
        <v>26</v>
      </c>
      <c r="G582" t="s">
        <v>100</v>
      </c>
      <c r="H582" t="s">
        <v>101</v>
      </c>
      <c r="I582" t="s">
        <v>75</v>
      </c>
      <c r="J582" t="s">
        <v>102</v>
      </c>
      <c r="K582" t="s">
        <v>38</v>
      </c>
      <c r="L582" t="s">
        <v>50</v>
      </c>
      <c r="M582">
        <v>190</v>
      </c>
      <c r="N582">
        <v>2</v>
      </c>
      <c r="O582">
        <v>2E-3</v>
      </c>
      <c r="P582">
        <v>81.419359999999998</v>
      </c>
      <c r="Q582">
        <v>11.76</v>
      </c>
      <c r="R582" t="s">
        <v>23</v>
      </c>
      <c r="S582">
        <f>Sheet1[[#This Row],[Ship_date]]-Sheet1[[#This Row],[Order_date]]</f>
        <v>4</v>
      </c>
      <c r="T582">
        <f>Sheet1[[#This Row],[Quantity]]*Sheet1[[#This Row],[Sales]]</f>
        <v>380</v>
      </c>
      <c r="U582">
        <f>Sheet1[[#This Row],[Total Sales]]*Sheet1[[#This Row],[Discount]]</f>
        <v>0.76</v>
      </c>
      <c r="V582" s="4">
        <f>Sheet1[[#This Row],[Total Sales]]-Sheet1[[#This Row],[Total Sales]]*Sheet1[[#This Row],[Discount]]</f>
        <v>379.24</v>
      </c>
      <c r="W582" s="4">
        <f>Sheet1[[#This Row],[Quantity]]*Sheet1[[#This Row],[Profit]]</f>
        <v>162.83872</v>
      </c>
      <c r="X582" s="5">
        <f>Sheet1[[#This Row],[Total Profit]]/Sheet1[[#This Row],[Sales After Discount]]</f>
        <v>0.42938171079000104</v>
      </c>
      <c r="Y582" s="4">
        <f>Sheet1[[#This Row],[Shipping_cost]]*Sheet1[[#This Row],[Quantity]]</f>
        <v>23.52</v>
      </c>
      <c r="Z582" s="4">
        <f>Sheet1[[#This Row],[Total Profit]]-Sheet1[[#This Row],[Total Shipping Cost]]</f>
        <v>139.31871999999998</v>
      </c>
      <c r="AA582" s="4" t="str">
        <f>IF(Sheet1[[#This Row],[Net Profit]]&gt;0,"Profit","Loss")</f>
        <v>Profit</v>
      </c>
    </row>
    <row r="583" spans="1:27" x14ac:dyDescent="0.25">
      <c r="A583" t="s">
        <v>838</v>
      </c>
      <c r="B583" s="1">
        <v>40585</v>
      </c>
      <c r="C583" s="1">
        <v>40587</v>
      </c>
      <c r="D583" t="s">
        <v>18</v>
      </c>
      <c r="E583" t="s">
        <v>839</v>
      </c>
      <c r="F583" t="s">
        <v>3</v>
      </c>
      <c r="G583" t="s">
        <v>840</v>
      </c>
      <c r="H583" t="s">
        <v>81</v>
      </c>
      <c r="I583" t="s">
        <v>22</v>
      </c>
      <c r="J583" t="s">
        <v>22</v>
      </c>
      <c r="K583" t="s">
        <v>7</v>
      </c>
      <c r="L583" t="s">
        <v>8</v>
      </c>
      <c r="M583">
        <v>49</v>
      </c>
      <c r="N583">
        <v>1</v>
      </c>
      <c r="O583">
        <v>0</v>
      </c>
      <c r="P583">
        <v>22.02</v>
      </c>
      <c r="Q583">
        <v>6.81</v>
      </c>
      <c r="R583" t="s">
        <v>45</v>
      </c>
      <c r="S583">
        <f>Sheet1[[#This Row],[Ship_date]]-Sheet1[[#This Row],[Order_date]]</f>
        <v>2</v>
      </c>
      <c r="T583">
        <f>Sheet1[[#This Row],[Quantity]]*Sheet1[[#This Row],[Sales]]</f>
        <v>49</v>
      </c>
      <c r="U583">
        <f>Sheet1[[#This Row],[Total Sales]]*Sheet1[[#This Row],[Discount]]</f>
        <v>0</v>
      </c>
      <c r="V583" s="4">
        <f>Sheet1[[#This Row],[Total Sales]]-Sheet1[[#This Row],[Total Sales]]*Sheet1[[#This Row],[Discount]]</f>
        <v>49</v>
      </c>
      <c r="W583" s="4">
        <f>Sheet1[[#This Row],[Quantity]]*Sheet1[[#This Row],[Profit]]</f>
        <v>22.02</v>
      </c>
      <c r="X583" s="5">
        <f>Sheet1[[#This Row],[Total Profit]]/Sheet1[[#This Row],[Sales After Discount]]</f>
        <v>0.44938775510204082</v>
      </c>
      <c r="Y583" s="4">
        <f>Sheet1[[#This Row],[Shipping_cost]]*Sheet1[[#This Row],[Quantity]]</f>
        <v>6.81</v>
      </c>
      <c r="Z583" s="4">
        <f>Sheet1[[#This Row],[Total Profit]]-Sheet1[[#This Row],[Total Shipping Cost]]</f>
        <v>15.21</v>
      </c>
      <c r="AA583" s="4" t="str">
        <f>IF(Sheet1[[#This Row],[Net Profit]]&gt;0,"Profit","Loss")</f>
        <v>Profit</v>
      </c>
    </row>
    <row r="584" spans="1:27" x14ac:dyDescent="0.25">
      <c r="A584" t="s">
        <v>834</v>
      </c>
      <c r="B584" s="1">
        <v>40585</v>
      </c>
      <c r="C584" s="1">
        <v>40589</v>
      </c>
      <c r="D584" t="s">
        <v>1</v>
      </c>
      <c r="E584" t="s">
        <v>835</v>
      </c>
      <c r="F584" t="s">
        <v>43</v>
      </c>
      <c r="G584" t="s">
        <v>836</v>
      </c>
      <c r="H584" t="s">
        <v>837</v>
      </c>
      <c r="I584" t="s">
        <v>6</v>
      </c>
      <c r="J584" t="s">
        <v>6</v>
      </c>
      <c r="K584" t="s">
        <v>7</v>
      </c>
      <c r="L584" t="s">
        <v>16</v>
      </c>
      <c r="M584">
        <v>67</v>
      </c>
      <c r="N584">
        <v>6</v>
      </c>
      <c r="O584">
        <v>0.7</v>
      </c>
      <c r="P584">
        <v>-55.728000000000002</v>
      </c>
      <c r="Q584">
        <v>5.99</v>
      </c>
      <c r="R584" t="s">
        <v>23</v>
      </c>
      <c r="S584">
        <f>Sheet1[[#This Row],[Ship_date]]-Sheet1[[#This Row],[Order_date]]</f>
        <v>4</v>
      </c>
      <c r="T584">
        <f>Sheet1[[#This Row],[Quantity]]*Sheet1[[#This Row],[Sales]]</f>
        <v>402</v>
      </c>
      <c r="U584">
        <f>Sheet1[[#This Row],[Total Sales]]*Sheet1[[#This Row],[Discount]]</f>
        <v>281.39999999999998</v>
      </c>
      <c r="V584" s="4">
        <f>Sheet1[[#This Row],[Total Sales]]-Sheet1[[#This Row],[Total Sales]]*Sheet1[[#This Row],[Discount]]</f>
        <v>120.60000000000002</v>
      </c>
      <c r="W584" s="4">
        <f>Sheet1[[#This Row],[Quantity]]*Sheet1[[#This Row],[Profit]]</f>
        <v>-334.36799999999999</v>
      </c>
      <c r="X584" s="5">
        <f>Sheet1[[#This Row],[Total Profit]]/Sheet1[[#This Row],[Sales After Discount]]</f>
        <v>-2.772537313432835</v>
      </c>
      <c r="Y584" s="4">
        <f>Sheet1[[#This Row],[Shipping_cost]]*Sheet1[[#This Row],[Quantity]]</f>
        <v>35.94</v>
      </c>
      <c r="Z584" s="4">
        <f>Sheet1[[#This Row],[Total Profit]]-Sheet1[[#This Row],[Total Shipping Cost]]</f>
        <v>-370.30799999999999</v>
      </c>
      <c r="AA584" s="4" t="str">
        <f>IF(Sheet1[[#This Row],[Net Profit]]&gt;0,"Profit","Loss")</f>
        <v>Loss</v>
      </c>
    </row>
    <row r="585" spans="1:27" x14ac:dyDescent="0.25">
      <c r="A585" t="s">
        <v>834</v>
      </c>
      <c r="B585" s="1">
        <v>40585</v>
      </c>
      <c r="C585" s="1">
        <v>40589</v>
      </c>
      <c r="D585" t="s">
        <v>1</v>
      </c>
      <c r="E585" t="s">
        <v>835</v>
      </c>
      <c r="F585" t="s">
        <v>43</v>
      </c>
      <c r="G585" t="s">
        <v>836</v>
      </c>
      <c r="H585" t="s">
        <v>837</v>
      </c>
      <c r="I585" t="s">
        <v>6</v>
      </c>
      <c r="J585" t="s">
        <v>6</v>
      </c>
      <c r="K585" t="s">
        <v>7</v>
      </c>
      <c r="L585" t="s">
        <v>8</v>
      </c>
      <c r="M585">
        <v>85</v>
      </c>
      <c r="N585">
        <v>2</v>
      </c>
      <c r="O585">
        <v>0.7</v>
      </c>
      <c r="P585">
        <v>-124.66200000000001</v>
      </c>
      <c r="Q585">
        <v>5.61</v>
      </c>
      <c r="R585" t="s">
        <v>23</v>
      </c>
      <c r="S585">
        <f>Sheet1[[#This Row],[Ship_date]]-Sheet1[[#This Row],[Order_date]]</f>
        <v>4</v>
      </c>
      <c r="T585">
        <f>Sheet1[[#This Row],[Quantity]]*Sheet1[[#This Row],[Sales]]</f>
        <v>170</v>
      </c>
      <c r="U585">
        <f>Sheet1[[#This Row],[Total Sales]]*Sheet1[[#This Row],[Discount]]</f>
        <v>118.99999999999999</v>
      </c>
      <c r="V585" s="4">
        <f>Sheet1[[#This Row],[Total Sales]]-Sheet1[[#This Row],[Total Sales]]*Sheet1[[#This Row],[Discount]]</f>
        <v>51.000000000000014</v>
      </c>
      <c r="W585" s="4">
        <f>Sheet1[[#This Row],[Quantity]]*Sheet1[[#This Row],[Profit]]</f>
        <v>-249.32400000000001</v>
      </c>
      <c r="X585" s="5">
        <f>Sheet1[[#This Row],[Total Profit]]/Sheet1[[#This Row],[Sales After Discount]]</f>
        <v>-4.8887058823529399</v>
      </c>
      <c r="Y585" s="4">
        <f>Sheet1[[#This Row],[Shipping_cost]]*Sheet1[[#This Row],[Quantity]]</f>
        <v>11.22</v>
      </c>
      <c r="Z585" s="4">
        <f>Sheet1[[#This Row],[Total Profit]]-Sheet1[[#This Row],[Total Shipping Cost]]</f>
        <v>-260.54400000000004</v>
      </c>
      <c r="AA585" s="4" t="str">
        <f>IF(Sheet1[[#This Row],[Net Profit]]&gt;0,"Profit","Loss")</f>
        <v>Loss</v>
      </c>
    </row>
    <row r="586" spans="1:27" x14ac:dyDescent="0.25">
      <c r="A586" t="s">
        <v>842</v>
      </c>
      <c r="B586" s="1">
        <v>40585</v>
      </c>
      <c r="C586" s="1">
        <v>40589</v>
      </c>
      <c r="D586" t="s">
        <v>1</v>
      </c>
      <c r="E586" t="s">
        <v>843</v>
      </c>
      <c r="F586" t="s">
        <v>43</v>
      </c>
      <c r="G586" t="s">
        <v>844</v>
      </c>
      <c r="H586" t="s">
        <v>280</v>
      </c>
      <c r="I586" t="s">
        <v>14</v>
      </c>
      <c r="J586" t="s">
        <v>281</v>
      </c>
      <c r="K586" t="s">
        <v>7</v>
      </c>
      <c r="L586" t="s">
        <v>137</v>
      </c>
      <c r="M586">
        <v>22</v>
      </c>
      <c r="N586">
        <v>3</v>
      </c>
      <c r="O586">
        <v>0</v>
      </c>
      <c r="P586">
        <v>3.87</v>
      </c>
      <c r="Q586">
        <v>2.92</v>
      </c>
      <c r="R586" t="s">
        <v>23</v>
      </c>
      <c r="S586">
        <f>Sheet1[[#This Row],[Ship_date]]-Sheet1[[#This Row],[Order_date]]</f>
        <v>4</v>
      </c>
      <c r="T586">
        <f>Sheet1[[#This Row],[Quantity]]*Sheet1[[#This Row],[Sales]]</f>
        <v>66</v>
      </c>
      <c r="U586">
        <f>Sheet1[[#This Row],[Total Sales]]*Sheet1[[#This Row],[Discount]]</f>
        <v>0</v>
      </c>
      <c r="V586" s="4">
        <f>Sheet1[[#This Row],[Total Sales]]-Sheet1[[#This Row],[Total Sales]]*Sheet1[[#This Row],[Discount]]</f>
        <v>66</v>
      </c>
      <c r="W586" s="4">
        <f>Sheet1[[#This Row],[Quantity]]*Sheet1[[#This Row],[Profit]]</f>
        <v>11.61</v>
      </c>
      <c r="X586" s="5">
        <f>Sheet1[[#This Row],[Total Profit]]/Sheet1[[#This Row],[Sales After Discount]]</f>
        <v>0.1759090909090909</v>
      </c>
      <c r="Y586" s="4">
        <f>Sheet1[[#This Row],[Shipping_cost]]*Sheet1[[#This Row],[Quantity]]</f>
        <v>8.76</v>
      </c>
      <c r="Z586" s="4">
        <f>Sheet1[[#This Row],[Total Profit]]-Sheet1[[#This Row],[Total Shipping Cost]]</f>
        <v>2.8499999999999996</v>
      </c>
      <c r="AA586" s="4" t="str">
        <f>IF(Sheet1[[#This Row],[Net Profit]]&gt;0,"Profit","Loss")</f>
        <v>Profit</v>
      </c>
    </row>
    <row r="587" spans="1:27" x14ac:dyDescent="0.25">
      <c r="A587" t="s">
        <v>834</v>
      </c>
      <c r="B587" s="1">
        <v>40585</v>
      </c>
      <c r="C587" s="1">
        <v>40589</v>
      </c>
      <c r="D587" t="s">
        <v>1</v>
      </c>
      <c r="E587" t="s">
        <v>835</v>
      </c>
      <c r="F587" t="s">
        <v>43</v>
      </c>
      <c r="G587" t="s">
        <v>836</v>
      </c>
      <c r="H587" t="s">
        <v>837</v>
      </c>
      <c r="I587" t="s">
        <v>6</v>
      </c>
      <c r="J587" t="s">
        <v>6</v>
      </c>
      <c r="K587" t="s">
        <v>32</v>
      </c>
      <c r="L587" t="s">
        <v>33</v>
      </c>
      <c r="M587">
        <v>12</v>
      </c>
      <c r="N587">
        <v>2</v>
      </c>
      <c r="O587">
        <v>0.7</v>
      </c>
      <c r="P587">
        <v>-20.141999999999999</v>
      </c>
      <c r="Q587">
        <v>1.39</v>
      </c>
      <c r="R587" t="s">
        <v>23</v>
      </c>
      <c r="S587">
        <f>Sheet1[[#This Row],[Ship_date]]-Sheet1[[#This Row],[Order_date]]</f>
        <v>4</v>
      </c>
      <c r="T587">
        <f>Sheet1[[#This Row],[Quantity]]*Sheet1[[#This Row],[Sales]]</f>
        <v>24</v>
      </c>
      <c r="U587">
        <f>Sheet1[[#This Row],[Total Sales]]*Sheet1[[#This Row],[Discount]]</f>
        <v>16.799999999999997</v>
      </c>
      <c r="V587" s="4">
        <f>Sheet1[[#This Row],[Total Sales]]-Sheet1[[#This Row],[Total Sales]]*Sheet1[[#This Row],[Discount]]</f>
        <v>7.2000000000000028</v>
      </c>
      <c r="W587" s="4">
        <f>Sheet1[[#This Row],[Quantity]]*Sheet1[[#This Row],[Profit]]</f>
        <v>-40.283999999999999</v>
      </c>
      <c r="X587" s="5">
        <f>Sheet1[[#This Row],[Total Profit]]/Sheet1[[#This Row],[Sales After Discount]]</f>
        <v>-5.594999999999998</v>
      </c>
      <c r="Y587" s="4">
        <f>Sheet1[[#This Row],[Shipping_cost]]*Sheet1[[#This Row],[Quantity]]</f>
        <v>2.78</v>
      </c>
      <c r="Z587" s="4">
        <f>Sheet1[[#This Row],[Total Profit]]-Sheet1[[#This Row],[Total Shipping Cost]]</f>
        <v>-43.064</v>
      </c>
      <c r="AA587" s="4" t="str">
        <f>IF(Sheet1[[#This Row],[Net Profit]]&gt;0,"Profit","Loss")</f>
        <v>Loss</v>
      </c>
    </row>
    <row r="588" spans="1:27" x14ac:dyDescent="0.25">
      <c r="A588" t="s">
        <v>845</v>
      </c>
      <c r="B588" s="1">
        <v>40586</v>
      </c>
      <c r="C588" s="1">
        <v>40590</v>
      </c>
      <c r="D588" t="s">
        <v>1</v>
      </c>
      <c r="E588" t="s">
        <v>846</v>
      </c>
      <c r="F588" t="s">
        <v>3</v>
      </c>
      <c r="G588" t="s">
        <v>294</v>
      </c>
      <c r="H588" t="s">
        <v>126</v>
      </c>
      <c r="I588" t="s">
        <v>127</v>
      </c>
      <c r="J588" t="s">
        <v>102</v>
      </c>
      <c r="K588" t="s">
        <v>32</v>
      </c>
      <c r="L588" t="s">
        <v>62</v>
      </c>
      <c r="M588">
        <v>1256</v>
      </c>
      <c r="N588">
        <v>6</v>
      </c>
      <c r="O588">
        <v>0</v>
      </c>
      <c r="P588">
        <v>75.373199999999997</v>
      </c>
      <c r="Q588">
        <v>212.94</v>
      </c>
      <c r="R588" t="s">
        <v>23</v>
      </c>
      <c r="S588">
        <f>Sheet1[[#This Row],[Ship_date]]-Sheet1[[#This Row],[Order_date]]</f>
        <v>4</v>
      </c>
      <c r="T588">
        <f>Sheet1[[#This Row],[Quantity]]*Sheet1[[#This Row],[Sales]]</f>
        <v>7536</v>
      </c>
      <c r="U588">
        <f>Sheet1[[#This Row],[Total Sales]]*Sheet1[[#This Row],[Discount]]</f>
        <v>0</v>
      </c>
      <c r="V588" s="4">
        <f>Sheet1[[#This Row],[Total Sales]]-Sheet1[[#This Row],[Total Sales]]*Sheet1[[#This Row],[Discount]]</f>
        <v>7536</v>
      </c>
      <c r="W588" s="4">
        <f>Sheet1[[#This Row],[Quantity]]*Sheet1[[#This Row],[Profit]]</f>
        <v>452.23919999999998</v>
      </c>
      <c r="X588" s="5">
        <f>Sheet1[[#This Row],[Total Profit]]/Sheet1[[#This Row],[Sales After Discount]]</f>
        <v>6.0010509554140126E-2</v>
      </c>
      <c r="Y588" s="4">
        <f>Sheet1[[#This Row],[Shipping_cost]]*Sheet1[[#This Row],[Quantity]]</f>
        <v>1277.6399999999999</v>
      </c>
      <c r="Z588" s="4">
        <f>Sheet1[[#This Row],[Total Profit]]-Sheet1[[#This Row],[Total Shipping Cost]]</f>
        <v>-825.40079999999989</v>
      </c>
      <c r="AA588" s="4" t="str">
        <f>IF(Sheet1[[#This Row],[Net Profit]]&gt;0,"Profit","Loss")</f>
        <v>Loss</v>
      </c>
    </row>
    <row r="589" spans="1:27" x14ac:dyDescent="0.25">
      <c r="A589" t="s">
        <v>847</v>
      </c>
      <c r="B589" s="1">
        <v>40586</v>
      </c>
      <c r="C589" s="1">
        <v>40588</v>
      </c>
      <c r="D589" t="s">
        <v>142</v>
      </c>
      <c r="E589" t="s">
        <v>296</v>
      </c>
      <c r="F589" t="s">
        <v>3</v>
      </c>
      <c r="G589" t="s">
        <v>848</v>
      </c>
      <c r="H589" t="s">
        <v>580</v>
      </c>
      <c r="I589" t="s">
        <v>6</v>
      </c>
      <c r="J589" t="s">
        <v>6</v>
      </c>
      <c r="K589" t="s">
        <v>32</v>
      </c>
      <c r="L589" t="s">
        <v>56</v>
      </c>
      <c r="M589">
        <v>682</v>
      </c>
      <c r="N589">
        <v>4</v>
      </c>
      <c r="O589">
        <v>0</v>
      </c>
      <c r="P589">
        <v>327.12</v>
      </c>
      <c r="Q589">
        <v>201.54</v>
      </c>
      <c r="R589" t="s">
        <v>45</v>
      </c>
      <c r="S589">
        <f>Sheet1[[#This Row],[Ship_date]]-Sheet1[[#This Row],[Order_date]]</f>
        <v>2</v>
      </c>
      <c r="T589">
        <f>Sheet1[[#This Row],[Quantity]]*Sheet1[[#This Row],[Sales]]</f>
        <v>2728</v>
      </c>
      <c r="U589">
        <f>Sheet1[[#This Row],[Total Sales]]*Sheet1[[#This Row],[Discount]]</f>
        <v>0</v>
      </c>
      <c r="V589" s="4">
        <f>Sheet1[[#This Row],[Total Sales]]-Sheet1[[#This Row],[Total Sales]]*Sheet1[[#This Row],[Discount]]</f>
        <v>2728</v>
      </c>
      <c r="W589" s="4">
        <f>Sheet1[[#This Row],[Quantity]]*Sheet1[[#This Row],[Profit]]</f>
        <v>1308.48</v>
      </c>
      <c r="X589" s="5">
        <f>Sheet1[[#This Row],[Total Profit]]/Sheet1[[#This Row],[Sales After Discount]]</f>
        <v>0.47964809384164225</v>
      </c>
      <c r="Y589" s="4">
        <f>Sheet1[[#This Row],[Shipping_cost]]*Sheet1[[#This Row],[Quantity]]</f>
        <v>806.16</v>
      </c>
      <c r="Z589" s="4">
        <f>Sheet1[[#This Row],[Total Profit]]-Sheet1[[#This Row],[Total Shipping Cost]]</f>
        <v>502.32000000000005</v>
      </c>
      <c r="AA589" s="4" t="str">
        <f>IF(Sheet1[[#This Row],[Net Profit]]&gt;0,"Profit","Loss")</f>
        <v>Profit</v>
      </c>
    </row>
    <row r="590" spans="1:27" x14ac:dyDescent="0.25">
      <c r="A590" t="s">
        <v>845</v>
      </c>
      <c r="B590" s="1">
        <v>40586</v>
      </c>
      <c r="C590" s="1">
        <v>40590</v>
      </c>
      <c r="D590" t="s">
        <v>1</v>
      </c>
      <c r="E590" t="s">
        <v>846</v>
      </c>
      <c r="F590" t="s">
        <v>3</v>
      </c>
      <c r="G590" t="s">
        <v>294</v>
      </c>
      <c r="H590" t="s">
        <v>126</v>
      </c>
      <c r="I590" t="s">
        <v>127</v>
      </c>
      <c r="J590" t="s">
        <v>102</v>
      </c>
      <c r="K590" t="s">
        <v>38</v>
      </c>
      <c r="L590" t="s">
        <v>82</v>
      </c>
      <c r="M590">
        <v>234</v>
      </c>
      <c r="N590">
        <v>3</v>
      </c>
      <c r="O590">
        <v>0</v>
      </c>
      <c r="P590">
        <v>103.158</v>
      </c>
      <c r="Q590">
        <v>38.36</v>
      </c>
      <c r="R590" t="s">
        <v>23</v>
      </c>
      <c r="S590">
        <f>Sheet1[[#This Row],[Ship_date]]-Sheet1[[#This Row],[Order_date]]</f>
        <v>4</v>
      </c>
      <c r="T590">
        <f>Sheet1[[#This Row],[Quantity]]*Sheet1[[#This Row],[Sales]]</f>
        <v>702</v>
      </c>
      <c r="U590">
        <f>Sheet1[[#This Row],[Total Sales]]*Sheet1[[#This Row],[Discount]]</f>
        <v>0</v>
      </c>
      <c r="V590" s="4">
        <f>Sheet1[[#This Row],[Total Sales]]-Sheet1[[#This Row],[Total Sales]]*Sheet1[[#This Row],[Discount]]</f>
        <v>702</v>
      </c>
      <c r="W590" s="4">
        <f>Sheet1[[#This Row],[Quantity]]*Sheet1[[#This Row],[Profit]]</f>
        <v>309.47399999999999</v>
      </c>
      <c r="X590" s="5">
        <f>Sheet1[[#This Row],[Total Profit]]/Sheet1[[#This Row],[Sales After Discount]]</f>
        <v>0.44084615384615383</v>
      </c>
      <c r="Y590" s="4">
        <f>Sheet1[[#This Row],[Shipping_cost]]*Sheet1[[#This Row],[Quantity]]</f>
        <v>115.08</v>
      </c>
      <c r="Z590" s="4">
        <f>Sheet1[[#This Row],[Total Profit]]-Sheet1[[#This Row],[Total Shipping Cost]]</f>
        <v>194.39400000000001</v>
      </c>
      <c r="AA590" s="4" t="str">
        <f>IF(Sheet1[[#This Row],[Net Profit]]&gt;0,"Profit","Loss")</f>
        <v>Profit</v>
      </c>
    </row>
    <row r="591" spans="1:27" x14ac:dyDescent="0.25">
      <c r="A591" t="s">
        <v>849</v>
      </c>
      <c r="B591" s="1">
        <v>40586</v>
      </c>
      <c r="C591" s="1">
        <v>40590</v>
      </c>
      <c r="D591" t="s">
        <v>18</v>
      </c>
      <c r="E591" t="s">
        <v>850</v>
      </c>
      <c r="F591" t="s">
        <v>3</v>
      </c>
      <c r="G591" t="s">
        <v>851</v>
      </c>
      <c r="H591" t="s">
        <v>126</v>
      </c>
      <c r="I591" t="s">
        <v>127</v>
      </c>
      <c r="J591" t="s">
        <v>76</v>
      </c>
      <c r="K591" t="s">
        <v>32</v>
      </c>
      <c r="L591" t="s">
        <v>33</v>
      </c>
      <c r="M591">
        <v>333</v>
      </c>
      <c r="N591">
        <v>3</v>
      </c>
      <c r="O591">
        <v>0</v>
      </c>
      <c r="P591">
        <v>53.270400000000002</v>
      </c>
      <c r="Q591">
        <v>18.55</v>
      </c>
      <c r="R591" t="s">
        <v>9</v>
      </c>
      <c r="S591">
        <f>Sheet1[[#This Row],[Ship_date]]-Sheet1[[#This Row],[Order_date]]</f>
        <v>4</v>
      </c>
      <c r="T591">
        <f>Sheet1[[#This Row],[Quantity]]*Sheet1[[#This Row],[Sales]]</f>
        <v>999</v>
      </c>
      <c r="U591">
        <f>Sheet1[[#This Row],[Total Sales]]*Sheet1[[#This Row],[Discount]]</f>
        <v>0</v>
      </c>
      <c r="V591" s="4">
        <f>Sheet1[[#This Row],[Total Sales]]-Sheet1[[#This Row],[Total Sales]]*Sheet1[[#This Row],[Discount]]</f>
        <v>999</v>
      </c>
      <c r="W591" s="4">
        <f>Sheet1[[#This Row],[Quantity]]*Sheet1[[#This Row],[Profit]]</f>
        <v>159.81120000000001</v>
      </c>
      <c r="X591" s="5">
        <f>Sheet1[[#This Row],[Total Profit]]/Sheet1[[#This Row],[Sales After Discount]]</f>
        <v>0.15997117117117118</v>
      </c>
      <c r="Y591" s="4">
        <f>Sheet1[[#This Row],[Shipping_cost]]*Sheet1[[#This Row],[Quantity]]</f>
        <v>55.650000000000006</v>
      </c>
      <c r="Z591" s="4">
        <f>Sheet1[[#This Row],[Total Profit]]-Sheet1[[#This Row],[Total Shipping Cost]]</f>
        <v>104.16120000000001</v>
      </c>
      <c r="AA591" s="4" t="str">
        <f>IF(Sheet1[[#This Row],[Net Profit]]&gt;0,"Profit","Loss")</f>
        <v>Profit</v>
      </c>
    </row>
    <row r="592" spans="1:27" x14ac:dyDescent="0.25">
      <c r="A592" t="s">
        <v>847</v>
      </c>
      <c r="B592" s="1">
        <v>40586</v>
      </c>
      <c r="C592" s="1">
        <v>40588</v>
      </c>
      <c r="D592" t="s">
        <v>142</v>
      </c>
      <c r="E592" t="s">
        <v>296</v>
      </c>
      <c r="F592" t="s">
        <v>3</v>
      </c>
      <c r="G592" t="s">
        <v>848</v>
      </c>
      <c r="H592" t="s">
        <v>580</v>
      </c>
      <c r="I592" t="s">
        <v>6</v>
      </c>
      <c r="J592" t="s">
        <v>6</v>
      </c>
      <c r="K592" t="s">
        <v>7</v>
      </c>
      <c r="L592" t="s">
        <v>8</v>
      </c>
      <c r="M592">
        <v>48</v>
      </c>
      <c r="N592">
        <v>1</v>
      </c>
      <c r="O592">
        <v>0</v>
      </c>
      <c r="P592">
        <v>22.08</v>
      </c>
      <c r="Q592">
        <v>12.48</v>
      </c>
      <c r="R592" t="s">
        <v>45</v>
      </c>
      <c r="S592">
        <f>Sheet1[[#This Row],[Ship_date]]-Sheet1[[#This Row],[Order_date]]</f>
        <v>2</v>
      </c>
      <c r="T592">
        <f>Sheet1[[#This Row],[Quantity]]*Sheet1[[#This Row],[Sales]]</f>
        <v>48</v>
      </c>
      <c r="U592">
        <f>Sheet1[[#This Row],[Total Sales]]*Sheet1[[#This Row],[Discount]]</f>
        <v>0</v>
      </c>
      <c r="V592" s="4">
        <f>Sheet1[[#This Row],[Total Sales]]-Sheet1[[#This Row],[Total Sales]]*Sheet1[[#This Row],[Discount]]</f>
        <v>48</v>
      </c>
      <c r="W592" s="4">
        <f>Sheet1[[#This Row],[Quantity]]*Sheet1[[#This Row],[Profit]]</f>
        <v>22.08</v>
      </c>
      <c r="X592" s="5">
        <f>Sheet1[[#This Row],[Total Profit]]/Sheet1[[#This Row],[Sales After Discount]]</f>
        <v>0.45999999999999996</v>
      </c>
      <c r="Y592" s="4">
        <f>Sheet1[[#This Row],[Shipping_cost]]*Sheet1[[#This Row],[Quantity]]</f>
        <v>12.48</v>
      </c>
      <c r="Z592" s="4">
        <f>Sheet1[[#This Row],[Total Profit]]-Sheet1[[#This Row],[Total Shipping Cost]]</f>
        <v>9.5999999999999979</v>
      </c>
      <c r="AA592" s="4" t="str">
        <f>IF(Sheet1[[#This Row],[Net Profit]]&gt;0,"Profit","Loss")</f>
        <v>Profit</v>
      </c>
    </row>
    <row r="593" spans="1:27" x14ac:dyDescent="0.25">
      <c r="A593" t="s">
        <v>849</v>
      </c>
      <c r="B593" s="1">
        <v>40586</v>
      </c>
      <c r="C593" s="1">
        <v>40590</v>
      </c>
      <c r="D593" t="s">
        <v>18</v>
      </c>
      <c r="E593" t="s">
        <v>850</v>
      </c>
      <c r="F593" t="s">
        <v>3</v>
      </c>
      <c r="G593" t="s">
        <v>851</v>
      </c>
      <c r="H593" t="s">
        <v>126</v>
      </c>
      <c r="I593" t="s">
        <v>127</v>
      </c>
      <c r="J593" t="s">
        <v>76</v>
      </c>
      <c r="K593" t="s">
        <v>32</v>
      </c>
      <c r="L593" t="s">
        <v>56</v>
      </c>
      <c r="M593">
        <v>61</v>
      </c>
      <c r="N593">
        <v>1</v>
      </c>
      <c r="O593">
        <v>0</v>
      </c>
      <c r="P593">
        <v>15.2225</v>
      </c>
      <c r="Q593">
        <v>10.07</v>
      </c>
      <c r="R593" t="s">
        <v>9</v>
      </c>
      <c r="S593">
        <f>Sheet1[[#This Row],[Ship_date]]-Sheet1[[#This Row],[Order_date]]</f>
        <v>4</v>
      </c>
      <c r="T593">
        <f>Sheet1[[#This Row],[Quantity]]*Sheet1[[#This Row],[Sales]]</f>
        <v>61</v>
      </c>
      <c r="U593">
        <f>Sheet1[[#This Row],[Total Sales]]*Sheet1[[#This Row],[Discount]]</f>
        <v>0</v>
      </c>
      <c r="V593" s="4">
        <f>Sheet1[[#This Row],[Total Sales]]-Sheet1[[#This Row],[Total Sales]]*Sheet1[[#This Row],[Discount]]</f>
        <v>61</v>
      </c>
      <c r="W593" s="4">
        <f>Sheet1[[#This Row],[Quantity]]*Sheet1[[#This Row],[Profit]]</f>
        <v>15.2225</v>
      </c>
      <c r="X593" s="5">
        <f>Sheet1[[#This Row],[Total Profit]]/Sheet1[[#This Row],[Sales After Discount]]</f>
        <v>0.24954918032786885</v>
      </c>
      <c r="Y593" s="4">
        <f>Sheet1[[#This Row],[Shipping_cost]]*Sheet1[[#This Row],[Quantity]]</f>
        <v>10.07</v>
      </c>
      <c r="Z593" s="4">
        <f>Sheet1[[#This Row],[Total Profit]]-Sheet1[[#This Row],[Total Shipping Cost]]</f>
        <v>5.1524999999999999</v>
      </c>
      <c r="AA593" s="4" t="str">
        <f>IF(Sheet1[[#This Row],[Net Profit]]&gt;0,"Profit","Loss")</f>
        <v>Profit</v>
      </c>
    </row>
    <row r="594" spans="1:27" x14ac:dyDescent="0.25">
      <c r="A594" t="s">
        <v>847</v>
      </c>
      <c r="B594" s="1">
        <v>40586</v>
      </c>
      <c r="C594" s="1">
        <v>40588</v>
      </c>
      <c r="D594" t="s">
        <v>142</v>
      </c>
      <c r="E594" t="s">
        <v>296</v>
      </c>
      <c r="F594" t="s">
        <v>3</v>
      </c>
      <c r="G594" t="s">
        <v>848</v>
      </c>
      <c r="H594" t="s">
        <v>580</v>
      </c>
      <c r="I594" t="s">
        <v>6</v>
      </c>
      <c r="J594" t="s">
        <v>6</v>
      </c>
      <c r="K594" t="s">
        <v>7</v>
      </c>
      <c r="L594" t="s">
        <v>31</v>
      </c>
      <c r="M594">
        <v>26</v>
      </c>
      <c r="N594">
        <v>1</v>
      </c>
      <c r="O594">
        <v>0</v>
      </c>
      <c r="P594">
        <v>11.37</v>
      </c>
      <c r="Q594">
        <v>8.9700000000000006</v>
      </c>
      <c r="R594" t="s">
        <v>45</v>
      </c>
      <c r="S594">
        <f>Sheet1[[#This Row],[Ship_date]]-Sheet1[[#This Row],[Order_date]]</f>
        <v>2</v>
      </c>
      <c r="T594">
        <f>Sheet1[[#This Row],[Quantity]]*Sheet1[[#This Row],[Sales]]</f>
        <v>26</v>
      </c>
      <c r="U594">
        <f>Sheet1[[#This Row],[Total Sales]]*Sheet1[[#This Row],[Discount]]</f>
        <v>0</v>
      </c>
      <c r="V594" s="4">
        <f>Sheet1[[#This Row],[Total Sales]]-Sheet1[[#This Row],[Total Sales]]*Sheet1[[#This Row],[Discount]]</f>
        <v>26</v>
      </c>
      <c r="W594" s="4">
        <f>Sheet1[[#This Row],[Quantity]]*Sheet1[[#This Row],[Profit]]</f>
        <v>11.37</v>
      </c>
      <c r="X594" s="5">
        <f>Sheet1[[#This Row],[Total Profit]]/Sheet1[[#This Row],[Sales After Discount]]</f>
        <v>0.43730769230769229</v>
      </c>
      <c r="Y594" s="4">
        <f>Sheet1[[#This Row],[Shipping_cost]]*Sheet1[[#This Row],[Quantity]]</f>
        <v>8.9700000000000006</v>
      </c>
      <c r="Z594" s="4">
        <f>Sheet1[[#This Row],[Total Profit]]-Sheet1[[#This Row],[Total Shipping Cost]]</f>
        <v>2.3999999999999986</v>
      </c>
      <c r="AA594" s="4" t="str">
        <f>IF(Sheet1[[#This Row],[Net Profit]]&gt;0,"Profit","Loss")</f>
        <v>Profit</v>
      </c>
    </row>
    <row r="595" spans="1:27" x14ac:dyDescent="0.25">
      <c r="A595" t="s">
        <v>847</v>
      </c>
      <c r="B595" s="1">
        <v>40586</v>
      </c>
      <c r="C595" s="1">
        <v>40588</v>
      </c>
      <c r="D595" t="s">
        <v>142</v>
      </c>
      <c r="E595" t="s">
        <v>296</v>
      </c>
      <c r="F595" t="s">
        <v>3</v>
      </c>
      <c r="G595" t="s">
        <v>848</v>
      </c>
      <c r="H595" t="s">
        <v>580</v>
      </c>
      <c r="I595" t="s">
        <v>6</v>
      </c>
      <c r="J595" t="s">
        <v>6</v>
      </c>
      <c r="K595" t="s">
        <v>7</v>
      </c>
      <c r="L595" t="s">
        <v>8</v>
      </c>
      <c r="M595">
        <v>57</v>
      </c>
      <c r="N595">
        <v>1</v>
      </c>
      <c r="O595">
        <v>0</v>
      </c>
      <c r="P595">
        <v>3.99</v>
      </c>
      <c r="Q595">
        <v>8.9700000000000006</v>
      </c>
      <c r="R595" t="s">
        <v>45</v>
      </c>
      <c r="S595">
        <f>Sheet1[[#This Row],[Ship_date]]-Sheet1[[#This Row],[Order_date]]</f>
        <v>2</v>
      </c>
      <c r="T595">
        <f>Sheet1[[#This Row],[Quantity]]*Sheet1[[#This Row],[Sales]]</f>
        <v>57</v>
      </c>
      <c r="U595">
        <f>Sheet1[[#This Row],[Total Sales]]*Sheet1[[#This Row],[Discount]]</f>
        <v>0</v>
      </c>
      <c r="V595" s="4">
        <f>Sheet1[[#This Row],[Total Sales]]-Sheet1[[#This Row],[Total Sales]]*Sheet1[[#This Row],[Discount]]</f>
        <v>57</v>
      </c>
      <c r="W595" s="4">
        <f>Sheet1[[#This Row],[Quantity]]*Sheet1[[#This Row],[Profit]]</f>
        <v>3.99</v>
      </c>
      <c r="X595" s="5">
        <f>Sheet1[[#This Row],[Total Profit]]/Sheet1[[#This Row],[Sales After Discount]]</f>
        <v>7.0000000000000007E-2</v>
      </c>
      <c r="Y595" s="4">
        <f>Sheet1[[#This Row],[Shipping_cost]]*Sheet1[[#This Row],[Quantity]]</f>
        <v>8.9700000000000006</v>
      </c>
      <c r="Z595" s="4">
        <f>Sheet1[[#This Row],[Total Profit]]-Sheet1[[#This Row],[Total Shipping Cost]]</f>
        <v>-4.9800000000000004</v>
      </c>
      <c r="AA595" s="4" t="str">
        <f>IF(Sheet1[[#This Row],[Net Profit]]&gt;0,"Profit","Loss")</f>
        <v>Loss</v>
      </c>
    </row>
    <row r="596" spans="1:27" x14ac:dyDescent="0.25">
      <c r="A596" t="s">
        <v>849</v>
      </c>
      <c r="B596" s="1">
        <v>40586</v>
      </c>
      <c r="C596" s="1">
        <v>40590</v>
      </c>
      <c r="D596" t="s">
        <v>18</v>
      </c>
      <c r="E596" t="s">
        <v>850</v>
      </c>
      <c r="F596" t="s">
        <v>3</v>
      </c>
      <c r="G596" t="s">
        <v>851</v>
      </c>
      <c r="H596" t="s">
        <v>126</v>
      </c>
      <c r="I596" t="s">
        <v>127</v>
      </c>
      <c r="J596" t="s">
        <v>76</v>
      </c>
      <c r="K596" t="s">
        <v>7</v>
      </c>
      <c r="L596" t="s">
        <v>8</v>
      </c>
      <c r="M596">
        <v>65</v>
      </c>
      <c r="N596">
        <v>2</v>
      </c>
      <c r="O596">
        <v>0</v>
      </c>
      <c r="P596">
        <v>2.5983999999999998</v>
      </c>
      <c r="Q596">
        <v>6.78</v>
      </c>
      <c r="R596" t="s">
        <v>9</v>
      </c>
      <c r="S596">
        <f>Sheet1[[#This Row],[Ship_date]]-Sheet1[[#This Row],[Order_date]]</f>
        <v>4</v>
      </c>
      <c r="T596">
        <f>Sheet1[[#This Row],[Quantity]]*Sheet1[[#This Row],[Sales]]</f>
        <v>130</v>
      </c>
      <c r="U596">
        <f>Sheet1[[#This Row],[Total Sales]]*Sheet1[[#This Row],[Discount]]</f>
        <v>0</v>
      </c>
      <c r="V596" s="4">
        <f>Sheet1[[#This Row],[Total Sales]]-Sheet1[[#This Row],[Total Sales]]*Sheet1[[#This Row],[Discount]]</f>
        <v>130</v>
      </c>
      <c r="W596" s="4">
        <f>Sheet1[[#This Row],[Quantity]]*Sheet1[[#This Row],[Profit]]</f>
        <v>5.1967999999999996</v>
      </c>
      <c r="X596" s="5">
        <f>Sheet1[[#This Row],[Total Profit]]/Sheet1[[#This Row],[Sales After Discount]]</f>
        <v>3.9975384615384614E-2</v>
      </c>
      <c r="Y596" s="4">
        <f>Sheet1[[#This Row],[Shipping_cost]]*Sheet1[[#This Row],[Quantity]]</f>
        <v>13.56</v>
      </c>
      <c r="Z596" s="4">
        <f>Sheet1[[#This Row],[Total Profit]]-Sheet1[[#This Row],[Total Shipping Cost]]</f>
        <v>-8.3632000000000009</v>
      </c>
      <c r="AA596" s="4" t="str">
        <f>IF(Sheet1[[#This Row],[Net Profit]]&gt;0,"Profit","Loss")</f>
        <v>Loss</v>
      </c>
    </row>
    <row r="597" spans="1:27" x14ac:dyDescent="0.25">
      <c r="A597" t="s">
        <v>849</v>
      </c>
      <c r="B597" s="1">
        <v>40586</v>
      </c>
      <c r="C597" s="1">
        <v>40590</v>
      </c>
      <c r="D597" t="s">
        <v>18</v>
      </c>
      <c r="E597" t="s">
        <v>850</v>
      </c>
      <c r="F597" t="s">
        <v>3</v>
      </c>
      <c r="G597" t="s">
        <v>851</v>
      </c>
      <c r="H597" t="s">
        <v>126</v>
      </c>
      <c r="I597" t="s">
        <v>127</v>
      </c>
      <c r="J597" t="s">
        <v>76</v>
      </c>
      <c r="K597" t="s">
        <v>7</v>
      </c>
      <c r="L597" t="s">
        <v>137</v>
      </c>
      <c r="M597">
        <v>52</v>
      </c>
      <c r="N597">
        <v>3</v>
      </c>
      <c r="O597">
        <v>0</v>
      </c>
      <c r="P597">
        <v>24.393000000000001</v>
      </c>
      <c r="Q597">
        <v>3.52</v>
      </c>
      <c r="R597" t="s">
        <v>9</v>
      </c>
      <c r="S597">
        <f>Sheet1[[#This Row],[Ship_date]]-Sheet1[[#This Row],[Order_date]]</f>
        <v>4</v>
      </c>
      <c r="T597">
        <f>Sheet1[[#This Row],[Quantity]]*Sheet1[[#This Row],[Sales]]</f>
        <v>156</v>
      </c>
      <c r="U597">
        <f>Sheet1[[#This Row],[Total Sales]]*Sheet1[[#This Row],[Discount]]</f>
        <v>0</v>
      </c>
      <c r="V597" s="4">
        <f>Sheet1[[#This Row],[Total Sales]]-Sheet1[[#This Row],[Total Sales]]*Sheet1[[#This Row],[Discount]]</f>
        <v>156</v>
      </c>
      <c r="W597" s="4">
        <f>Sheet1[[#This Row],[Quantity]]*Sheet1[[#This Row],[Profit]]</f>
        <v>73.179000000000002</v>
      </c>
      <c r="X597" s="5">
        <f>Sheet1[[#This Row],[Total Profit]]/Sheet1[[#This Row],[Sales After Discount]]</f>
        <v>0.46909615384615388</v>
      </c>
      <c r="Y597" s="4">
        <f>Sheet1[[#This Row],[Shipping_cost]]*Sheet1[[#This Row],[Quantity]]</f>
        <v>10.56</v>
      </c>
      <c r="Z597" s="4">
        <f>Sheet1[[#This Row],[Total Profit]]-Sheet1[[#This Row],[Total Shipping Cost]]</f>
        <v>62.619</v>
      </c>
      <c r="AA597" s="4" t="str">
        <f>IF(Sheet1[[#This Row],[Net Profit]]&gt;0,"Profit","Loss")</f>
        <v>Profit</v>
      </c>
    </row>
    <row r="598" spans="1:27" x14ac:dyDescent="0.25">
      <c r="A598" t="s">
        <v>845</v>
      </c>
      <c r="B598" s="1">
        <v>40586</v>
      </c>
      <c r="C598" s="1">
        <v>40590</v>
      </c>
      <c r="D598" t="s">
        <v>1</v>
      </c>
      <c r="E598" t="s">
        <v>846</v>
      </c>
      <c r="F598" t="s">
        <v>3</v>
      </c>
      <c r="G598" t="s">
        <v>294</v>
      </c>
      <c r="H598" t="s">
        <v>126</v>
      </c>
      <c r="I598" t="s">
        <v>127</v>
      </c>
      <c r="J598" t="s">
        <v>102</v>
      </c>
      <c r="K598" t="s">
        <v>7</v>
      </c>
      <c r="L598" t="s">
        <v>137</v>
      </c>
      <c r="M598">
        <v>17</v>
      </c>
      <c r="N598">
        <v>2</v>
      </c>
      <c r="O598">
        <v>0</v>
      </c>
      <c r="P598">
        <v>8.2062000000000008</v>
      </c>
      <c r="Q598">
        <v>1.47</v>
      </c>
      <c r="R598" t="s">
        <v>23</v>
      </c>
      <c r="S598">
        <f>Sheet1[[#This Row],[Ship_date]]-Sheet1[[#This Row],[Order_date]]</f>
        <v>4</v>
      </c>
      <c r="T598">
        <f>Sheet1[[#This Row],[Quantity]]*Sheet1[[#This Row],[Sales]]</f>
        <v>34</v>
      </c>
      <c r="U598">
        <f>Sheet1[[#This Row],[Total Sales]]*Sheet1[[#This Row],[Discount]]</f>
        <v>0</v>
      </c>
      <c r="V598" s="4">
        <f>Sheet1[[#This Row],[Total Sales]]-Sheet1[[#This Row],[Total Sales]]*Sheet1[[#This Row],[Discount]]</f>
        <v>34</v>
      </c>
      <c r="W598" s="4">
        <f>Sheet1[[#This Row],[Quantity]]*Sheet1[[#This Row],[Profit]]</f>
        <v>16.412400000000002</v>
      </c>
      <c r="X598" s="5">
        <f>Sheet1[[#This Row],[Total Profit]]/Sheet1[[#This Row],[Sales After Discount]]</f>
        <v>0.48271764705882358</v>
      </c>
      <c r="Y598" s="4">
        <f>Sheet1[[#This Row],[Shipping_cost]]*Sheet1[[#This Row],[Quantity]]</f>
        <v>2.94</v>
      </c>
      <c r="Z598" s="4">
        <f>Sheet1[[#This Row],[Total Profit]]-Sheet1[[#This Row],[Total Shipping Cost]]</f>
        <v>13.472400000000002</v>
      </c>
      <c r="AA598" s="4" t="str">
        <f>IF(Sheet1[[#This Row],[Net Profit]]&gt;0,"Profit","Loss")</f>
        <v>Profit</v>
      </c>
    </row>
    <row r="599" spans="1:27" x14ac:dyDescent="0.25">
      <c r="A599" t="s">
        <v>849</v>
      </c>
      <c r="B599" s="1">
        <v>40586</v>
      </c>
      <c r="C599" s="1">
        <v>40590</v>
      </c>
      <c r="D599" t="s">
        <v>18</v>
      </c>
      <c r="E599" t="s">
        <v>850</v>
      </c>
      <c r="F599" t="s">
        <v>3</v>
      </c>
      <c r="G599" t="s">
        <v>851</v>
      </c>
      <c r="H599" t="s">
        <v>126</v>
      </c>
      <c r="I599" t="s">
        <v>127</v>
      </c>
      <c r="J599" t="s">
        <v>76</v>
      </c>
      <c r="K599" t="s">
        <v>7</v>
      </c>
      <c r="L599" t="s">
        <v>87</v>
      </c>
      <c r="M599">
        <v>15</v>
      </c>
      <c r="N599">
        <v>3</v>
      </c>
      <c r="O599">
        <v>0</v>
      </c>
      <c r="P599">
        <v>6.8723999999999998</v>
      </c>
      <c r="Q599">
        <v>1.1200000000000001</v>
      </c>
      <c r="R599" t="s">
        <v>9</v>
      </c>
      <c r="S599">
        <f>Sheet1[[#This Row],[Ship_date]]-Sheet1[[#This Row],[Order_date]]</f>
        <v>4</v>
      </c>
      <c r="T599">
        <f>Sheet1[[#This Row],[Quantity]]*Sheet1[[#This Row],[Sales]]</f>
        <v>45</v>
      </c>
      <c r="U599">
        <f>Sheet1[[#This Row],[Total Sales]]*Sheet1[[#This Row],[Discount]]</f>
        <v>0</v>
      </c>
      <c r="V599" s="4">
        <f>Sheet1[[#This Row],[Total Sales]]-Sheet1[[#This Row],[Total Sales]]*Sheet1[[#This Row],[Discount]]</f>
        <v>45</v>
      </c>
      <c r="W599" s="4">
        <f>Sheet1[[#This Row],[Quantity]]*Sheet1[[#This Row],[Profit]]</f>
        <v>20.6172</v>
      </c>
      <c r="X599" s="5">
        <f>Sheet1[[#This Row],[Total Profit]]/Sheet1[[#This Row],[Sales After Discount]]</f>
        <v>0.45816000000000001</v>
      </c>
      <c r="Y599" s="4">
        <f>Sheet1[[#This Row],[Shipping_cost]]*Sheet1[[#This Row],[Quantity]]</f>
        <v>3.3600000000000003</v>
      </c>
      <c r="Z599" s="4">
        <f>Sheet1[[#This Row],[Total Profit]]-Sheet1[[#This Row],[Total Shipping Cost]]</f>
        <v>17.257200000000001</v>
      </c>
      <c r="AA599" s="4" t="str">
        <f>IF(Sheet1[[#This Row],[Net Profit]]&gt;0,"Profit","Loss")</f>
        <v>Profit</v>
      </c>
    </row>
    <row r="600" spans="1:27" x14ac:dyDescent="0.25">
      <c r="A600" t="s">
        <v>852</v>
      </c>
      <c r="B600" s="1">
        <v>40586</v>
      </c>
      <c r="C600" s="1">
        <v>40593</v>
      </c>
      <c r="D600" t="s">
        <v>1</v>
      </c>
      <c r="E600" t="s">
        <v>143</v>
      </c>
      <c r="F600" t="s">
        <v>26</v>
      </c>
      <c r="G600" t="s">
        <v>591</v>
      </c>
      <c r="H600" t="s">
        <v>280</v>
      </c>
      <c r="I600" t="s">
        <v>14</v>
      </c>
      <c r="J600" t="s">
        <v>281</v>
      </c>
      <c r="K600" t="s">
        <v>7</v>
      </c>
      <c r="L600" t="s">
        <v>137</v>
      </c>
      <c r="M600">
        <v>14</v>
      </c>
      <c r="N600">
        <v>1</v>
      </c>
      <c r="O600">
        <v>0</v>
      </c>
      <c r="P600">
        <v>3.3</v>
      </c>
      <c r="Q600">
        <v>0.97</v>
      </c>
      <c r="R600" t="s">
        <v>9</v>
      </c>
      <c r="S600">
        <f>Sheet1[[#This Row],[Ship_date]]-Sheet1[[#This Row],[Order_date]]</f>
        <v>7</v>
      </c>
      <c r="T600">
        <f>Sheet1[[#This Row],[Quantity]]*Sheet1[[#This Row],[Sales]]</f>
        <v>14</v>
      </c>
      <c r="U600">
        <f>Sheet1[[#This Row],[Total Sales]]*Sheet1[[#This Row],[Discount]]</f>
        <v>0</v>
      </c>
      <c r="V600" s="4">
        <f>Sheet1[[#This Row],[Total Sales]]-Sheet1[[#This Row],[Total Sales]]*Sheet1[[#This Row],[Discount]]</f>
        <v>14</v>
      </c>
      <c r="W600" s="4">
        <f>Sheet1[[#This Row],[Quantity]]*Sheet1[[#This Row],[Profit]]</f>
        <v>3.3</v>
      </c>
      <c r="X600" s="5">
        <f>Sheet1[[#This Row],[Total Profit]]/Sheet1[[#This Row],[Sales After Discount]]</f>
        <v>0.23571428571428571</v>
      </c>
      <c r="Y600" s="4">
        <f>Sheet1[[#This Row],[Shipping_cost]]*Sheet1[[#This Row],[Quantity]]</f>
        <v>0.97</v>
      </c>
      <c r="Z600" s="4">
        <f>Sheet1[[#This Row],[Total Profit]]-Sheet1[[#This Row],[Total Shipping Cost]]</f>
        <v>2.33</v>
      </c>
      <c r="AA600" s="4" t="str">
        <f>IF(Sheet1[[#This Row],[Net Profit]]&gt;0,"Profit","Loss")</f>
        <v>Profit</v>
      </c>
    </row>
    <row r="601" spans="1:27" x14ac:dyDescent="0.25">
      <c r="A601" t="s">
        <v>849</v>
      </c>
      <c r="B601" s="1">
        <v>40586</v>
      </c>
      <c r="C601" s="1">
        <v>40590</v>
      </c>
      <c r="D601" t="s">
        <v>18</v>
      </c>
      <c r="E601" t="s">
        <v>850</v>
      </c>
      <c r="F601" t="s">
        <v>3</v>
      </c>
      <c r="G601" t="s">
        <v>851</v>
      </c>
      <c r="H601" t="s">
        <v>126</v>
      </c>
      <c r="I601" t="s">
        <v>127</v>
      </c>
      <c r="J601" t="s">
        <v>76</v>
      </c>
      <c r="K601" t="s">
        <v>7</v>
      </c>
      <c r="L601" t="s">
        <v>137</v>
      </c>
      <c r="M601">
        <v>10</v>
      </c>
      <c r="N601">
        <v>2</v>
      </c>
      <c r="O601">
        <v>0</v>
      </c>
      <c r="P601">
        <v>4.4344000000000001</v>
      </c>
      <c r="Q601">
        <v>0.33</v>
      </c>
      <c r="R601" t="s">
        <v>9</v>
      </c>
      <c r="S601">
        <f>Sheet1[[#This Row],[Ship_date]]-Sheet1[[#This Row],[Order_date]]</f>
        <v>4</v>
      </c>
      <c r="T601">
        <f>Sheet1[[#This Row],[Quantity]]*Sheet1[[#This Row],[Sales]]</f>
        <v>20</v>
      </c>
      <c r="U601">
        <f>Sheet1[[#This Row],[Total Sales]]*Sheet1[[#This Row],[Discount]]</f>
        <v>0</v>
      </c>
      <c r="V601" s="4">
        <f>Sheet1[[#This Row],[Total Sales]]-Sheet1[[#This Row],[Total Sales]]*Sheet1[[#This Row],[Discount]]</f>
        <v>20</v>
      </c>
      <c r="W601" s="4">
        <f>Sheet1[[#This Row],[Quantity]]*Sheet1[[#This Row],[Profit]]</f>
        <v>8.8688000000000002</v>
      </c>
      <c r="X601" s="5">
        <f>Sheet1[[#This Row],[Total Profit]]/Sheet1[[#This Row],[Sales After Discount]]</f>
        <v>0.44344</v>
      </c>
      <c r="Y601" s="4">
        <f>Sheet1[[#This Row],[Shipping_cost]]*Sheet1[[#This Row],[Quantity]]</f>
        <v>0.66</v>
      </c>
      <c r="Z601" s="4">
        <f>Sheet1[[#This Row],[Total Profit]]-Sheet1[[#This Row],[Total Shipping Cost]]</f>
        <v>8.2088000000000001</v>
      </c>
      <c r="AA601" s="4" t="str">
        <f>IF(Sheet1[[#This Row],[Net Profit]]&gt;0,"Profit","Loss")</f>
        <v>Profit</v>
      </c>
    </row>
    <row r="602" spans="1:27" x14ac:dyDescent="0.25">
      <c r="A602" t="s">
        <v>853</v>
      </c>
      <c r="B602" s="1">
        <v>40587</v>
      </c>
      <c r="C602" s="1">
        <v>40593</v>
      </c>
      <c r="D602" t="s">
        <v>1</v>
      </c>
      <c r="E602" t="s">
        <v>854</v>
      </c>
      <c r="F602" t="s">
        <v>3</v>
      </c>
      <c r="G602" t="s">
        <v>191</v>
      </c>
      <c r="H602" t="s">
        <v>126</v>
      </c>
      <c r="I602" t="s">
        <v>127</v>
      </c>
      <c r="J602" t="s">
        <v>192</v>
      </c>
      <c r="K602" t="s">
        <v>32</v>
      </c>
      <c r="L602" t="s">
        <v>56</v>
      </c>
      <c r="M602">
        <v>130</v>
      </c>
      <c r="N602">
        <v>2</v>
      </c>
      <c r="O602">
        <v>0.2</v>
      </c>
      <c r="P602">
        <v>-24.294</v>
      </c>
      <c r="Q602">
        <v>3.26</v>
      </c>
      <c r="R602" t="s">
        <v>9</v>
      </c>
      <c r="S602">
        <f>Sheet1[[#This Row],[Ship_date]]-Sheet1[[#This Row],[Order_date]]</f>
        <v>6</v>
      </c>
      <c r="T602">
        <f>Sheet1[[#This Row],[Quantity]]*Sheet1[[#This Row],[Sales]]</f>
        <v>260</v>
      </c>
      <c r="U602">
        <f>Sheet1[[#This Row],[Total Sales]]*Sheet1[[#This Row],[Discount]]</f>
        <v>52</v>
      </c>
      <c r="V602" s="4">
        <f>Sheet1[[#This Row],[Total Sales]]-Sheet1[[#This Row],[Total Sales]]*Sheet1[[#This Row],[Discount]]</f>
        <v>208</v>
      </c>
      <c r="W602" s="4">
        <f>Sheet1[[#This Row],[Quantity]]*Sheet1[[#This Row],[Profit]]</f>
        <v>-48.588000000000001</v>
      </c>
      <c r="X602" s="5">
        <f>Sheet1[[#This Row],[Total Profit]]/Sheet1[[#This Row],[Sales After Discount]]</f>
        <v>-0.23359615384615384</v>
      </c>
      <c r="Y602" s="4">
        <f>Sheet1[[#This Row],[Shipping_cost]]*Sheet1[[#This Row],[Quantity]]</f>
        <v>6.52</v>
      </c>
      <c r="Z602" s="4">
        <f>Sheet1[[#This Row],[Total Profit]]-Sheet1[[#This Row],[Total Shipping Cost]]</f>
        <v>-55.108000000000004</v>
      </c>
      <c r="AA602" s="4" t="str">
        <f>IF(Sheet1[[#This Row],[Net Profit]]&gt;0,"Profit","Loss")</f>
        <v>Loss</v>
      </c>
    </row>
    <row r="603" spans="1:27" x14ac:dyDescent="0.25">
      <c r="A603" t="s">
        <v>855</v>
      </c>
      <c r="B603" s="1">
        <v>40588</v>
      </c>
      <c r="C603" s="1">
        <v>40590</v>
      </c>
      <c r="D603" t="s">
        <v>18</v>
      </c>
      <c r="E603" t="s">
        <v>475</v>
      </c>
      <c r="F603" t="s">
        <v>43</v>
      </c>
      <c r="G603" t="s">
        <v>856</v>
      </c>
      <c r="H603" t="s">
        <v>454</v>
      </c>
      <c r="I603" t="s">
        <v>22</v>
      </c>
      <c r="J603" t="s">
        <v>22</v>
      </c>
      <c r="K603" t="s">
        <v>38</v>
      </c>
      <c r="L603" t="s">
        <v>50</v>
      </c>
      <c r="M603">
        <v>1279</v>
      </c>
      <c r="N603">
        <v>4</v>
      </c>
      <c r="O603">
        <v>0</v>
      </c>
      <c r="P603">
        <v>319.8</v>
      </c>
      <c r="Q603">
        <v>286.19</v>
      </c>
      <c r="R603" t="s">
        <v>45</v>
      </c>
      <c r="S603">
        <f>Sheet1[[#This Row],[Ship_date]]-Sheet1[[#This Row],[Order_date]]</f>
        <v>2</v>
      </c>
      <c r="T603">
        <f>Sheet1[[#This Row],[Quantity]]*Sheet1[[#This Row],[Sales]]</f>
        <v>5116</v>
      </c>
      <c r="U603">
        <f>Sheet1[[#This Row],[Total Sales]]*Sheet1[[#This Row],[Discount]]</f>
        <v>0</v>
      </c>
      <c r="V603" s="4">
        <f>Sheet1[[#This Row],[Total Sales]]-Sheet1[[#This Row],[Total Sales]]*Sheet1[[#This Row],[Discount]]</f>
        <v>5116</v>
      </c>
      <c r="W603" s="4">
        <f>Sheet1[[#This Row],[Quantity]]*Sheet1[[#This Row],[Profit]]</f>
        <v>1279.2</v>
      </c>
      <c r="X603" s="5">
        <f>Sheet1[[#This Row],[Total Profit]]/Sheet1[[#This Row],[Sales After Discount]]</f>
        <v>0.25003909304143862</v>
      </c>
      <c r="Y603" s="4">
        <f>Sheet1[[#This Row],[Shipping_cost]]*Sheet1[[#This Row],[Quantity]]</f>
        <v>1144.76</v>
      </c>
      <c r="Z603" s="4">
        <f>Sheet1[[#This Row],[Total Profit]]-Sheet1[[#This Row],[Total Shipping Cost]]</f>
        <v>134.44000000000005</v>
      </c>
      <c r="AA603" s="4" t="str">
        <f>IF(Sheet1[[#This Row],[Net Profit]]&gt;0,"Profit","Loss")</f>
        <v>Profit</v>
      </c>
    </row>
    <row r="604" spans="1:27" x14ac:dyDescent="0.25">
      <c r="A604" t="s">
        <v>855</v>
      </c>
      <c r="B604" s="1">
        <v>40588</v>
      </c>
      <c r="C604" s="1">
        <v>40590</v>
      </c>
      <c r="D604" t="s">
        <v>18</v>
      </c>
      <c r="E604" t="s">
        <v>475</v>
      </c>
      <c r="F604" t="s">
        <v>43</v>
      </c>
      <c r="G604" t="s">
        <v>856</v>
      </c>
      <c r="H604" t="s">
        <v>454</v>
      </c>
      <c r="I604" t="s">
        <v>22</v>
      </c>
      <c r="J604" t="s">
        <v>22</v>
      </c>
      <c r="K604" t="s">
        <v>32</v>
      </c>
      <c r="L604" t="s">
        <v>33</v>
      </c>
      <c r="M604">
        <v>465</v>
      </c>
      <c r="N604">
        <v>4</v>
      </c>
      <c r="O604">
        <v>0</v>
      </c>
      <c r="P604">
        <v>130.19999999999999</v>
      </c>
      <c r="Q604">
        <v>121.21</v>
      </c>
      <c r="R604" t="s">
        <v>45</v>
      </c>
      <c r="S604">
        <f>Sheet1[[#This Row],[Ship_date]]-Sheet1[[#This Row],[Order_date]]</f>
        <v>2</v>
      </c>
      <c r="T604">
        <f>Sheet1[[#This Row],[Quantity]]*Sheet1[[#This Row],[Sales]]</f>
        <v>1860</v>
      </c>
      <c r="U604">
        <f>Sheet1[[#This Row],[Total Sales]]*Sheet1[[#This Row],[Discount]]</f>
        <v>0</v>
      </c>
      <c r="V604" s="4">
        <f>Sheet1[[#This Row],[Total Sales]]-Sheet1[[#This Row],[Total Sales]]*Sheet1[[#This Row],[Discount]]</f>
        <v>1860</v>
      </c>
      <c r="W604" s="4">
        <f>Sheet1[[#This Row],[Quantity]]*Sheet1[[#This Row],[Profit]]</f>
        <v>520.79999999999995</v>
      </c>
      <c r="X604" s="5">
        <f>Sheet1[[#This Row],[Total Profit]]/Sheet1[[#This Row],[Sales After Discount]]</f>
        <v>0.27999999999999997</v>
      </c>
      <c r="Y604" s="4">
        <f>Sheet1[[#This Row],[Shipping_cost]]*Sheet1[[#This Row],[Quantity]]</f>
        <v>484.84</v>
      </c>
      <c r="Z604" s="4">
        <f>Sheet1[[#This Row],[Total Profit]]-Sheet1[[#This Row],[Total Shipping Cost]]</f>
        <v>35.95999999999998</v>
      </c>
      <c r="AA604" s="4" t="str">
        <f>IF(Sheet1[[#This Row],[Net Profit]]&gt;0,"Profit","Loss")</f>
        <v>Profit</v>
      </c>
    </row>
    <row r="605" spans="1:27" x14ac:dyDescent="0.25">
      <c r="A605" t="s">
        <v>855</v>
      </c>
      <c r="B605" s="1">
        <v>40588</v>
      </c>
      <c r="C605" s="1">
        <v>40590</v>
      </c>
      <c r="D605" t="s">
        <v>18</v>
      </c>
      <c r="E605" t="s">
        <v>475</v>
      </c>
      <c r="F605" t="s">
        <v>43</v>
      </c>
      <c r="G605" t="s">
        <v>856</v>
      </c>
      <c r="H605" t="s">
        <v>454</v>
      </c>
      <c r="I605" t="s">
        <v>22</v>
      </c>
      <c r="J605" t="s">
        <v>22</v>
      </c>
      <c r="K605" t="s">
        <v>38</v>
      </c>
      <c r="L605" t="s">
        <v>50</v>
      </c>
      <c r="M605">
        <v>297</v>
      </c>
      <c r="N605">
        <v>2</v>
      </c>
      <c r="O605">
        <v>0</v>
      </c>
      <c r="P605">
        <v>145.74</v>
      </c>
      <c r="Q605">
        <v>82.46</v>
      </c>
      <c r="R605" t="s">
        <v>45</v>
      </c>
      <c r="S605">
        <f>Sheet1[[#This Row],[Ship_date]]-Sheet1[[#This Row],[Order_date]]</f>
        <v>2</v>
      </c>
      <c r="T605">
        <f>Sheet1[[#This Row],[Quantity]]*Sheet1[[#This Row],[Sales]]</f>
        <v>594</v>
      </c>
      <c r="U605">
        <f>Sheet1[[#This Row],[Total Sales]]*Sheet1[[#This Row],[Discount]]</f>
        <v>0</v>
      </c>
      <c r="V605" s="4">
        <f>Sheet1[[#This Row],[Total Sales]]-Sheet1[[#This Row],[Total Sales]]*Sheet1[[#This Row],[Discount]]</f>
        <v>594</v>
      </c>
      <c r="W605" s="4">
        <f>Sheet1[[#This Row],[Quantity]]*Sheet1[[#This Row],[Profit]]</f>
        <v>291.48</v>
      </c>
      <c r="X605" s="5">
        <f>Sheet1[[#This Row],[Total Profit]]/Sheet1[[#This Row],[Sales After Discount]]</f>
        <v>0.49070707070707076</v>
      </c>
      <c r="Y605" s="4">
        <f>Sheet1[[#This Row],[Shipping_cost]]*Sheet1[[#This Row],[Quantity]]</f>
        <v>164.92</v>
      </c>
      <c r="Z605" s="4">
        <f>Sheet1[[#This Row],[Total Profit]]-Sheet1[[#This Row],[Total Shipping Cost]]</f>
        <v>126.56000000000003</v>
      </c>
      <c r="AA605" s="4" t="str">
        <f>IF(Sheet1[[#This Row],[Net Profit]]&gt;0,"Profit","Loss")</f>
        <v>Profit</v>
      </c>
    </row>
    <row r="606" spans="1:27" x14ac:dyDescent="0.25">
      <c r="A606" t="s">
        <v>857</v>
      </c>
      <c r="B606" s="1">
        <v>40588</v>
      </c>
      <c r="C606" s="1">
        <v>40592</v>
      </c>
      <c r="D606" t="s">
        <v>1</v>
      </c>
      <c r="E606" t="s">
        <v>858</v>
      </c>
      <c r="F606" t="s">
        <v>26</v>
      </c>
      <c r="G606" t="s">
        <v>12</v>
      </c>
      <c r="H606" t="s">
        <v>13</v>
      </c>
      <c r="I606" t="s">
        <v>14</v>
      </c>
      <c r="J606" t="s">
        <v>15</v>
      </c>
      <c r="K606" t="s">
        <v>38</v>
      </c>
      <c r="L606" t="s">
        <v>77</v>
      </c>
      <c r="M606">
        <v>607</v>
      </c>
      <c r="N606">
        <v>4</v>
      </c>
      <c r="O606">
        <v>0</v>
      </c>
      <c r="P606">
        <v>115.32</v>
      </c>
      <c r="Q606">
        <v>31.65</v>
      </c>
      <c r="R606" t="s">
        <v>9</v>
      </c>
      <c r="S606">
        <f>Sheet1[[#This Row],[Ship_date]]-Sheet1[[#This Row],[Order_date]]</f>
        <v>4</v>
      </c>
      <c r="T606">
        <f>Sheet1[[#This Row],[Quantity]]*Sheet1[[#This Row],[Sales]]</f>
        <v>2428</v>
      </c>
      <c r="U606">
        <f>Sheet1[[#This Row],[Total Sales]]*Sheet1[[#This Row],[Discount]]</f>
        <v>0</v>
      </c>
      <c r="V606" s="4">
        <f>Sheet1[[#This Row],[Total Sales]]-Sheet1[[#This Row],[Total Sales]]*Sheet1[[#This Row],[Discount]]</f>
        <v>2428</v>
      </c>
      <c r="W606" s="4">
        <f>Sheet1[[#This Row],[Quantity]]*Sheet1[[#This Row],[Profit]]</f>
        <v>461.28</v>
      </c>
      <c r="X606" s="5">
        <f>Sheet1[[#This Row],[Total Profit]]/Sheet1[[#This Row],[Sales After Discount]]</f>
        <v>0.18998352553542008</v>
      </c>
      <c r="Y606" s="4">
        <f>Sheet1[[#This Row],[Shipping_cost]]*Sheet1[[#This Row],[Quantity]]</f>
        <v>126.6</v>
      </c>
      <c r="Z606" s="4">
        <f>Sheet1[[#This Row],[Total Profit]]-Sheet1[[#This Row],[Total Shipping Cost]]</f>
        <v>334.67999999999995</v>
      </c>
      <c r="AA606" s="4" t="str">
        <f>IF(Sheet1[[#This Row],[Net Profit]]&gt;0,"Profit","Loss")</f>
        <v>Profit</v>
      </c>
    </row>
    <row r="607" spans="1:27" x14ac:dyDescent="0.25">
      <c r="A607" t="s">
        <v>857</v>
      </c>
      <c r="B607" s="1">
        <v>40588</v>
      </c>
      <c r="C607" s="1">
        <v>40592</v>
      </c>
      <c r="D607" t="s">
        <v>1</v>
      </c>
      <c r="E607" t="s">
        <v>858</v>
      </c>
      <c r="F607" t="s">
        <v>26</v>
      </c>
      <c r="G607" t="s">
        <v>12</v>
      </c>
      <c r="H607" t="s">
        <v>13</v>
      </c>
      <c r="I607" t="s">
        <v>14</v>
      </c>
      <c r="J607" t="s">
        <v>15</v>
      </c>
      <c r="K607" t="s">
        <v>7</v>
      </c>
      <c r="L607" t="s">
        <v>8</v>
      </c>
      <c r="M607">
        <v>406</v>
      </c>
      <c r="N607">
        <v>2</v>
      </c>
      <c r="O607">
        <v>0</v>
      </c>
      <c r="P607">
        <v>178.8</v>
      </c>
      <c r="Q607">
        <v>30.38</v>
      </c>
      <c r="R607" t="s">
        <v>9</v>
      </c>
      <c r="S607">
        <f>Sheet1[[#This Row],[Ship_date]]-Sheet1[[#This Row],[Order_date]]</f>
        <v>4</v>
      </c>
      <c r="T607">
        <f>Sheet1[[#This Row],[Quantity]]*Sheet1[[#This Row],[Sales]]</f>
        <v>812</v>
      </c>
      <c r="U607">
        <f>Sheet1[[#This Row],[Total Sales]]*Sheet1[[#This Row],[Discount]]</f>
        <v>0</v>
      </c>
      <c r="V607" s="4">
        <f>Sheet1[[#This Row],[Total Sales]]-Sheet1[[#This Row],[Total Sales]]*Sheet1[[#This Row],[Discount]]</f>
        <v>812</v>
      </c>
      <c r="W607" s="4">
        <f>Sheet1[[#This Row],[Quantity]]*Sheet1[[#This Row],[Profit]]</f>
        <v>357.6</v>
      </c>
      <c r="X607" s="5">
        <f>Sheet1[[#This Row],[Total Profit]]/Sheet1[[#This Row],[Sales After Discount]]</f>
        <v>0.44039408866995078</v>
      </c>
      <c r="Y607" s="4">
        <f>Sheet1[[#This Row],[Shipping_cost]]*Sheet1[[#This Row],[Quantity]]</f>
        <v>60.76</v>
      </c>
      <c r="Z607" s="4">
        <f>Sheet1[[#This Row],[Total Profit]]-Sheet1[[#This Row],[Total Shipping Cost]]</f>
        <v>296.84000000000003</v>
      </c>
      <c r="AA607" s="4" t="str">
        <f>IF(Sheet1[[#This Row],[Net Profit]]&gt;0,"Profit","Loss")</f>
        <v>Profit</v>
      </c>
    </row>
    <row r="608" spans="1:27" x14ac:dyDescent="0.25">
      <c r="A608" t="s">
        <v>859</v>
      </c>
      <c r="B608" s="1">
        <v>40588</v>
      </c>
      <c r="C608" s="1">
        <v>40592</v>
      </c>
      <c r="D608" t="s">
        <v>1</v>
      </c>
      <c r="E608" t="s">
        <v>134</v>
      </c>
      <c r="F608" t="s">
        <v>3</v>
      </c>
      <c r="G608" t="s">
        <v>860</v>
      </c>
      <c r="H608" t="s">
        <v>861</v>
      </c>
      <c r="I608" t="s">
        <v>6</v>
      </c>
      <c r="J608" t="s">
        <v>6</v>
      </c>
      <c r="K608" t="s">
        <v>7</v>
      </c>
      <c r="L608" t="s">
        <v>31</v>
      </c>
      <c r="M608">
        <v>238</v>
      </c>
      <c r="N608">
        <v>8</v>
      </c>
      <c r="O608">
        <v>0</v>
      </c>
      <c r="P608">
        <v>106.8</v>
      </c>
      <c r="Q608">
        <v>28.45</v>
      </c>
      <c r="R608" t="s">
        <v>23</v>
      </c>
      <c r="S608">
        <f>Sheet1[[#This Row],[Ship_date]]-Sheet1[[#This Row],[Order_date]]</f>
        <v>4</v>
      </c>
      <c r="T608">
        <f>Sheet1[[#This Row],[Quantity]]*Sheet1[[#This Row],[Sales]]</f>
        <v>1904</v>
      </c>
      <c r="U608">
        <f>Sheet1[[#This Row],[Total Sales]]*Sheet1[[#This Row],[Discount]]</f>
        <v>0</v>
      </c>
      <c r="V608" s="4">
        <f>Sheet1[[#This Row],[Total Sales]]-Sheet1[[#This Row],[Total Sales]]*Sheet1[[#This Row],[Discount]]</f>
        <v>1904</v>
      </c>
      <c r="W608" s="4">
        <f>Sheet1[[#This Row],[Quantity]]*Sheet1[[#This Row],[Profit]]</f>
        <v>854.4</v>
      </c>
      <c r="X608" s="5">
        <f>Sheet1[[#This Row],[Total Profit]]/Sheet1[[#This Row],[Sales After Discount]]</f>
        <v>0.44873949579831934</v>
      </c>
      <c r="Y608" s="4">
        <f>Sheet1[[#This Row],[Shipping_cost]]*Sheet1[[#This Row],[Quantity]]</f>
        <v>227.6</v>
      </c>
      <c r="Z608" s="4">
        <f>Sheet1[[#This Row],[Total Profit]]-Sheet1[[#This Row],[Total Shipping Cost]]</f>
        <v>626.79999999999995</v>
      </c>
      <c r="AA608" s="4" t="str">
        <f>IF(Sheet1[[#This Row],[Net Profit]]&gt;0,"Profit","Loss")</f>
        <v>Profit</v>
      </c>
    </row>
    <row r="609" spans="1:27" x14ac:dyDescent="0.25">
      <c r="A609" t="s">
        <v>862</v>
      </c>
      <c r="B609" s="1">
        <v>40588</v>
      </c>
      <c r="C609" s="1">
        <v>40593</v>
      </c>
      <c r="D609" t="s">
        <v>1</v>
      </c>
      <c r="E609" t="s">
        <v>863</v>
      </c>
      <c r="F609" t="s">
        <v>26</v>
      </c>
      <c r="G609" t="s">
        <v>864</v>
      </c>
      <c r="H609" t="s">
        <v>110</v>
      </c>
      <c r="I609" t="s">
        <v>75</v>
      </c>
      <c r="J609" t="s">
        <v>111</v>
      </c>
      <c r="K609" t="s">
        <v>38</v>
      </c>
      <c r="L609" t="s">
        <v>77</v>
      </c>
      <c r="M609">
        <v>192</v>
      </c>
      <c r="N609">
        <v>4</v>
      </c>
      <c r="O609">
        <v>0</v>
      </c>
      <c r="P609">
        <v>13.36</v>
      </c>
      <c r="Q609">
        <v>20.14</v>
      </c>
      <c r="R609" t="s">
        <v>23</v>
      </c>
      <c r="S609">
        <f>Sheet1[[#This Row],[Ship_date]]-Sheet1[[#This Row],[Order_date]]</f>
        <v>5</v>
      </c>
      <c r="T609">
        <f>Sheet1[[#This Row],[Quantity]]*Sheet1[[#This Row],[Sales]]</f>
        <v>768</v>
      </c>
      <c r="U609">
        <f>Sheet1[[#This Row],[Total Sales]]*Sheet1[[#This Row],[Discount]]</f>
        <v>0</v>
      </c>
      <c r="V609" s="4">
        <f>Sheet1[[#This Row],[Total Sales]]-Sheet1[[#This Row],[Total Sales]]*Sheet1[[#This Row],[Discount]]</f>
        <v>768</v>
      </c>
      <c r="W609" s="4">
        <f>Sheet1[[#This Row],[Quantity]]*Sheet1[[#This Row],[Profit]]</f>
        <v>53.44</v>
      </c>
      <c r="X609" s="5">
        <f>Sheet1[[#This Row],[Total Profit]]/Sheet1[[#This Row],[Sales After Discount]]</f>
        <v>6.958333333333333E-2</v>
      </c>
      <c r="Y609" s="4">
        <f>Sheet1[[#This Row],[Shipping_cost]]*Sheet1[[#This Row],[Quantity]]</f>
        <v>80.56</v>
      </c>
      <c r="Z609" s="4">
        <f>Sheet1[[#This Row],[Total Profit]]-Sheet1[[#This Row],[Total Shipping Cost]]</f>
        <v>-27.120000000000005</v>
      </c>
      <c r="AA609" s="4" t="str">
        <f>IF(Sheet1[[#This Row],[Net Profit]]&gt;0,"Profit","Loss")</f>
        <v>Loss</v>
      </c>
    </row>
    <row r="610" spans="1:27" x14ac:dyDescent="0.25">
      <c r="A610" t="s">
        <v>865</v>
      </c>
      <c r="B610" s="1">
        <v>40588</v>
      </c>
      <c r="C610" s="1">
        <v>40592</v>
      </c>
      <c r="D610" t="s">
        <v>1</v>
      </c>
      <c r="E610" t="s">
        <v>866</v>
      </c>
      <c r="F610" t="s">
        <v>3</v>
      </c>
      <c r="G610" t="s">
        <v>867</v>
      </c>
      <c r="H610" t="s">
        <v>169</v>
      </c>
      <c r="I610" t="s">
        <v>14</v>
      </c>
      <c r="J610" t="s">
        <v>132</v>
      </c>
      <c r="K610" t="s">
        <v>7</v>
      </c>
      <c r="L610" t="s">
        <v>91</v>
      </c>
      <c r="M610">
        <v>254</v>
      </c>
      <c r="N610">
        <v>5</v>
      </c>
      <c r="O610">
        <v>0</v>
      </c>
      <c r="P610">
        <v>76.05</v>
      </c>
      <c r="Q610">
        <v>16.29</v>
      </c>
      <c r="R610" t="s">
        <v>9</v>
      </c>
      <c r="S610">
        <f>Sheet1[[#This Row],[Ship_date]]-Sheet1[[#This Row],[Order_date]]</f>
        <v>4</v>
      </c>
      <c r="T610">
        <f>Sheet1[[#This Row],[Quantity]]*Sheet1[[#This Row],[Sales]]</f>
        <v>1270</v>
      </c>
      <c r="U610">
        <f>Sheet1[[#This Row],[Total Sales]]*Sheet1[[#This Row],[Discount]]</f>
        <v>0</v>
      </c>
      <c r="V610" s="4">
        <f>Sheet1[[#This Row],[Total Sales]]-Sheet1[[#This Row],[Total Sales]]*Sheet1[[#This Row],[Discount]]</f>
        <v>1270</v>
      </c>
      <c r="W610" s="4">
        <f>Sheet1[[#This Row],[Quantity]]*Sheet1[[#This Row],[Profit]]</f>
        <v>380.25</v>
      </c>
      <c r="X610" s="5">
        <f>Sheet1[[#This Row],[Total Profit]]/Sheet1[[#This Row],[Sales After Discount]]</f>
        <v>0.29940944881889764</v>
      </c>
      <c r="Y610" s="4">
        <f>Sheet1[[#This Row],[Shipping_cost]]*Sheet1[[#This Row],[Quantity]]</f>
        <v>81.449999999999989</v>
      </c>
      <c r="Z610" s="4">
        <f>Sheet1[[#This Row],[Total Profit]]-Sheet1[[#This Row],[Total Shipping Cost]]</f>
        <v>298.8</v>
      </c>
      <c r="AA610" s="4" t="str">
        <f>IF(Sheet1[[#This Row],[Net Profit]]&gt;0,"Profit","Loss")</f>
        <v>Profit</v>
      </c>
    </row>
    <row r="611" spans="1:27" x14ac:dyDescent="0.25">
      <c r="A611" t="s">
        <v>868</v>
      </c>
      <c r="B611" s="1">
        <v>40588</v>
      </c>
      <c r="C611" s="1">
        <v>40592</v>
      </c>
      <c r="D611" t="s">
        <v>18</v>
      </c>
      <c r="E611" t="s">
        <v>869</v>
      </c>
      <c r="F611" t="s">
        <v>3</v>
      </c>
      <c r="G611" t="s">
        <v>870</v>
      </c>
      <c r="H611" t="s">
        <v>871</v>
      </c>
      <c r="I611" t="s">
        <v>6</v>
      </c>
      <c r="J611" t="s">
        <v>6</v>
      </c>
      <c r="K611" t="s">
        <v>7</v>
      </c>
      <c r="L611" t="s">
        <v>96</v>
      </c>
      <c r="M611">
        <v>77</v>
      </c>
      <c r="N611">
        <v>2</v>
      </c>
      <c r="O611">
        <v>0</v>
      </c>
      <c r="P611">
        <v>0.72</v>
      </c>
      <c r="Q611">
        <v>15.23</v>
      </c>
      <c r="R611" t="s">
        <v>23</v>
      </c>
      <c r="S611">
        <f>Sheet1[[#This Row],[Ship_date]]-Sheet1[[#This Row],[Order_date]]</f>
        <v>4</v>
      </c>
      <c r="T611">
        <f>Sheet1[[#This Row],[Quantity]]*Sheet1[[#This Row],[Sales]]</f>
        <v>154</v>
      </c>
      <c r="U611">
        <f>Sheet1[[#This Row],[Total Sales]]*Sheet1[[#This Row],[Discount]]</f>
        <v>0</v>
      </c>
      <c r="V611" s="4">
        <f>Sheet1[[#This Row],[Total Sales]]-Sheet1[[#This Row],[Total Sales]]*Sheet1[[#This Row],[Discount]]</f>
        <v>154</v>
      </c>
      <c r="W611" s="4">
        <f>Sheet1[[#This Row],[Quantity]]*Sheet1[[#This Row],[Profit]]</f>
        <v>1.44</v>
      </c>
      <c r="X611" s="5">
        <f>Sheet1[[#This Row],[Total Profit]]/Sheet1[[#This Row],[Sales After Discount]]</f>
        <v>9.3506493506493506E-3</v>
      </c>
      <c r="Y611" s="4">
        <f>Sheet1[[#This Row],[Shipping_cost]]*Sheet1[[#This Row],[Quantity]]</f>
        <v>30.46</v>
      </c>
      <c r="Z611" s="4">
        <f>Sheet1[[#This Row],[Total Profit]]-Sheet1[[#This Row],[Total Shipping Cost]]</f>
        <v>-29.02</v>
      </c>
      <c r="AA611" s="4" t="str">
        <f>IF(Sheet1[[#This Row],[Net Profit]]&gt;0,"Profit","Loss")</f>
        <v>Loss</v>
      </c>
    </row>
    <row r="612" spans="1:27" x14ac:dyDescent="0.25">
      <c r="A612" t="s">
        <v>862</v>
      </c>
      <c r="B612" s="1">
        <v>40588</v>
      </c>
      <c r="C612" s="1">
        <v>40593</v>
      </c>
      <c r="D612" t="s">
        <v>1</v>
      </c>
      <c r="E612" t="s">
        <v>863</v>
      </c>
      <c r="F612" t="s">
        <v>26</v>
      </c>
      <c r="G612" t="s">
        <v>864</v>
      </c>
      <c r="H612" t="s">
        <v>110</v>
      </c>
      <c r="I612" t="s">
        <v>75</v>
      </c>
      <c r="J612" t="s">
        <v>111</v>
      </c>
      <c r="K612" t="s">
        <v>7</v>
      </c>
      <c r="L612" t="s">
        <v>16</v>
      </c>
      <c r="M612">
        <v>77</v>
      </c>
      <c r="N612">
        <v>6</v>
      </c>
      <c r="O612">
        <v>0</v>
      </c>
      <c r="P612">
        <v>24.6</v>
      </c>
      <c r="Q612">
        <v>13.32</v>
      </c>
      <c r="R612" t="s">
        <v>23</v>
      </c>
      <c r="S612">
        <f>Sheet1[[#This Row],[Ship_date]]-Sheet1[[#This Row],[Order_date]]</f>
        <v>5</v>
      </c>
      <c r="T612">
        <f>Sheet1[[#This Row],[Quantity]]*Sheet1[[#This Row],[Sales]]</f>
        <v>462</v>
      </c>
      <c r="U612">
        <f>Sheet1[[#This Row],[Total Sales]]*Sheet1[[#This Row],[Discount]]</f>
        <v>0</v>
      </c>
      <c r="V612" s="4">
        <f>Sheet1[[#This Row],[Total Sales]]-Sheet1[[#This Row],[Total Sales]]*Sheet1[[#This Row],[Discount]]</f>
        <v>462</v>
      </c>
      <c r="W612" s="4">
        <f>Sheet1[[#This Row],[Quantity]]*Sheet1[[#This Row],[Profit]]</f>
        <v>147.60000000000002</v>
      </c>
      <c r="X612" s="5">
        <f>Sheet1[[#This Row],[Total Profit]]/Sheet1[[#This Row],[Sales After Discount]]</f>
        <v>0.31948051948051953</v>
      </c>
      <c r="Y612" s="4">
        <f>Sheet1[[#This Row],[Shipping_cost]]*Sheet1[[#This Row],[Quantity]]</f>
        <v>79.92</v>
      </c>
      <c r="Z612" s="4">
        <f>Sheet1[[#This Row],[Total Profit]]-Sheet1[[#This Row],[Total Shipping Cost]]</f>
        <v>67.680000000000021</v>
      </c>
      <c r="AA612" s="4" t="str">
        <f>IF(Sheet1[[#This Row],[Net Profit]]&gt;0,"Profit","Loss")</f>
        <v>Profit</v>
      </c>
    </row>
    <row r="613" spans="1:27" x14ac:dyDescent="0.25">
      <c r="A613" t="s">
        <v>865</v>
      </c>
      <c r="B613" s="1">
        <v>40588</v>
      </c>
      <c r="C613" s="1">
        <v>40592</v>
      </c>
      <c r="D613" t="s">
        <v>1</v>
      </c>
      <c r="E613" t="s">
        <v>866</v>
      </c>
      <c r="F613" t="s">
        <v>3</v>
      </c>
      <c r="G613" t="s">
        <v>867</v>
      </c>
      <c r="H613" t="s">
        <v>169</v>
      </c>
      <c r="I613" t="s">
        <v>14</v>
      </c>
      <c r="J613" t="s">
        <v>132</v>
      </c>
      <c r="K613" t="s">
        <v>32</v>
      </c>
      <c r="L613" t="s">
        <v>33</v>
      </c>
      <c r="M613">
        <v>147</v>
      </c>
      <c r="N613">
        <v>3</v>
      </c>
      <c r="O613">
        <v>0</v>
      </c>
      <c r="P613">
        <v>61.56</v>
      </c>
      <c r="Q613">
        <v>11.53</v>
      </c>
      <c r="R613" t="s">
        <v>9</v>
      </c>
      <c r="S613">
        <f>Sheet1[[#This Row],[Ship_date]]-Sheet1[[#This Row],[Order_date]]</f>
        <v>4</v>
      </c>
      <c r="T613">
        <f>Sheet1[[#This Row],[Quantity]]*Sheet1[[#This Row],[Sales]]</f>
        <v>441</v>
      </c>
      <c r="U613">
        <f>Sheet1[[#This Row],[Total Sales]]*Sheet1[[#This Row],[Discount]]</f>
        <v>0</v>
      </c>
      <c r="V613" s="4">
        <f>Sheet1[[#This Row],[Total Sales]]-Sheet1[[#This Row],[Total Sales]]*Sheet1[[#This Row],[Discount]]</f>
        <v>441</v>
      </c>
      <c r="W613" s="4">
        <f>Sheet1[[#This Row],[Quantity]]*Sheet1[[#This Row],[Profit]]</f>
        <v>184.68</v>
      </c>
      <c r="X613" s="5">
        <f>Sheet1[[#This Row],[Total Profit]]/Sheet1[[#This Row],[Sales After Discount]]</f>
        <v>0.41877551020408166</v>
      </c>
      <c r="Y613" s="4">
        <f>Sheet1[[#This Row],[Shipping_cost]]*Sheet1[[#This Row],[Quantity]]</f>
        <v>34.589999999999996</v>
      </c>
      <c r="Z613" s="4">
        <f>Sheet1[[#This Row],[Total Profit]]-Sheet1[[#This Row],[Total Shipping Cost]]</f>
        <v>150.09</v>
      </c>
      <c r="AA613" s="4" t="str">
        <f>IF(Sheet1[[#This Row],[Net Profit]]&gt;0,"Profit","Loss")</f>
        <v>Profit</v>
      </c>
    </row>
    <row r="614" spans="1:27" x14ac:dyDescent="0.25">
      <c r="A614" t="s">
        <v>862</v>
      </c>
      <c r="B614" s="1">
        <v>40588</v>
      </c>
      <c r="C614" s="1">
        <v>40593</v>
      </c>
      <c r="D614" t="s">
        <v>1</v>
      </c>
      <c r="E614" t="s">
        <v>863</v>
      </c>
      <c r="F614" t="s">
        <v>26</v>
      </c>
      <c r="G614" t="s">
        <v>864</v>
      </c>
      <c r="H614" t="s">
        <v>110</v>
      </c>
      <c r="I614" t="s">
        <v>75</v>
      </c>
      <c r="J614" t="s">
        <v>111</v>
      </c>
      <c r="K614" t="s">
        <v>7</v>
      </c>
      <c r="L614" t="s">
        <v>8</v>
      </c>
      <c r="M614">
        <v>82</v>
      </c>
      <c r="N614">
        <v>2</v>
      </c>
      <c r="O614">
        <v>0</v>
      </c>
      <c r="P614">
        <v>22.84</v>
      </c>
      <c r="Q614">
        <v>9.61</v>
      </c>
      <c r="R614" t="s">
        <v>23</v>
      </c>
      <c r="S614">
        <f>Sheet1[[#This Row],[Ship_date]]-Sheet1[[#This Row],[Order_date]]</f>
        <v>5</v>
      </c>
      <c r="T614">
        <f>Sheet1[[#This Row],[Quantity]]*Sheet1[[#This Row],[Sales]]</f>
        <v>164</v>
      </c>
      <c r="U614">
        <f>Sheet1[[#This Row],[Total Sales]]*Sheet1[[#This Row],[Discount]]</f>
        <v>0</v>
      </c>
      <c r="V614" s="4">
        <f>Sheet1[[#This Row],[Total Sales]]-Sheet1[[#This Row],[Total Sales]]*Sheet1[[#This Row],[Discount]]</f>
        <v>164</v>
      </c>
      <c r="W614" s="4">
        <f>Sheet1[[#This Row],[Quantity]]*Sheet1[[#This Row],[Profit]]</f>
        <v>45.68</v>
      </c>
      <c r="X614" s="5">
        <f>Sheet1[[#This Row],[Total Profit]]/Sheet1[[#This Row],[Sales After Discount]]</f>
        <v>0.27853658536585368</v>
      </c>
      <c r="Y614" s="4">
        <f>Sheet1[[#This Row],[Shipping_cost]]*Sheet1[[#This Row],[Quantity]]</f>
        <v>19.22</v>
      </c>
      <c r="Z614" s="4">
        <f>Sheet1[[#This Row],[Total Profit]]-Sheet1[[#This Row],[Total Shipping Cost]]</f>
        <v>26.46</v>
      </c>
      <c r="AA614" s="4" t="str">
        <f>IF(Sheet1[[#This Row],[Net Profit]]&gt;0,"Profit","Loss")</f>
        <v>Profit</v>
      </c>
    </row>
    <row r="615" spans="1:27" x14ac:dyDescent="0.25">
      <c r="A615" t="s">
        <v>862</v>
      </c>
      <c r="B615" s="1">
        <v>40588</v>
      </c>
      <c r="C615" s="1">
        <v>40593</v>
      </c>
      <c r="D615" t="s">
        <v>1</v>
      </c>
      <c r="E615" t="s">
        <v>863</v>
      </c>
      <c r="F615" t="s">
        <v>26</v>
      </c>
      <c r="G615" t="s">
        <v>864</v>
      </c>
      <c r="H615" t="s">
        <v>110</v>
      </c>
      <c r="I615" t="s">
        <v>75</v>
      </c>
      <c r="J615" t="s">
        <v>111</v>
      </c>
      <c r="K615" t="s">
        <v>38</v>
      </c>
      <c r="L615" t="s">
        <v>82</v>
      </c>
      <c r="M615">
        <v>77</v>
      </c>
      <c r="N615">
        <v>2</v>
      </c>
      <c r="O615">
        <v>0</v>
      </c>
      <c r="P615">
        <v>33.200000000000003</v>
      </c>
      <c r="Q615">
        <v>8.3800000000000008</v>
      </c>
      <c r="R615" t="s">
        <v>23</v>
      </c>
      <c r="S615">
        <f>Sheet1[[#This Row],[Ship_date]]-Sheet1[[#This Row],[Order_date]]</f>
        <v>5</v>
      </c>
      <c r="T615">
        <f>Sheet1[[#This Row],[Quantity]]*Sheet1[[#This Row],[Sales]]</f>
        <v>154</v>
      </c>
      <c r="U615">
        <f>Sheet1[[#This Row],[Total Sales]]*Sheet1[[#This Row],[Discount]]</f>
        <v>0</v>
      </c>
      <c r="V615" s="4">
        <f>Sheet1[[#This Row],[Total Sales]]-Sheet1[[#This Row],[Total Sales]]*Sheet1[[#This Row],[Discount]]</f>
        <v>154</v>
      </c>
      <c r="W615" s="4">
        <f>Sheet1[[#This Row],[Quantity]]*Sheet1[[#This Row],[Profit]]</f>
        <v>66.400000000000006</v>
      </c>
      <c r="X615" s="5">
        <f>Sheet1[[#This Row],[Total Profit]]/Sheet1[[#This Row],[Sales After Discount]]</f>
        <v>0.4311688311688312</v>
      </c>
      <c r="Y615" s="4">
        <f>Sheet1[[#This Row],[Shipping_cost]]*Sheet1[[#This Row],[Quantity]]</f>
        <v>16.760000000000002</v>
      </c>
      <c r="Z615" s="4">
        <f>Sheet1[[#This Row],[Total Profit]]-Sheet1[[#This Row],[Total Shipping Cost]]</f>
        <v>49.64</v>
      </c>
      <c r="AA615" s="4" t="str">
        <f>IF(Sheet1[[#This Row],[Net Profit]]&gt;0,"Profit","Loss")</f>
        <v>Profit</v>
      </c>
    </row>
    <row r="616" spans="1:27" x14ac:dyDescent="0.25">
      <c r="A616" t="s">
        <v>857</v>
      </c>
      <c r="B616" s="1">
        <v>40588</v>
      </c>
      <c r="C616" s="1">
        <v>40592</v>
      </c>
      <c r="D616" t="s">
        <v>1</v>
      </c>
      <c r="E616" t="s">
        <v>858</v>
      </c>
      <c r="F616" t="s">
        <v>26</v>
      </c>
      <c r="G616" t="s">
        <v>12</v>
      </c>
      <c r="H616" t="s">
        <v>13</v>
      </c>
      <c r="I616" t="s">
        <v>14</v>
      </c>
      <c r="J616" t="s">
        <v>15</v>
      </c>
      <c r="K616" t="s">
        <v>7</v>
      </c>
      <c r="L616" t="s">
        <v>16</v>
      </c>
      <c r="M616">
        <v>156</v>
      </c>
      <c r="N616">
        <v>4</v>
      </c>
      <c r="O616">
        <v>0</v>
      </c>
      <c r="P616">
        <v>26.52</v>
      </c>
      <c r="Q616">
        <v>6.91</v>
      </c>
      <c r="R616" t="s">
        <v>9</v>
      </c>
      <c r="S616">
        <f>Sheet1[[#This Row],[Ship_date]]-Sheet1[[#This Row],[Order_date]]</f>
        <v>4</v>
      </c>
      <c r="T616">
        <f>Sheet1[[#This Row],[Quantity]]*Sheet1[[#This Row],[Sales]]</f>
        <v>624</v>
      </c>
      <c r="U616">
        <f>Sheet1[[#This Row],[Total Sales]]*Sheet1[[#This Row],[Discount]]</f>
        <v>0</v>
      </c>
      <c r="V616" s="4">
        <f>Sheet1[[#This Row],[Total Sales]]-Sheet1[[#This Row],[Total Sales]]*Sheet1[[#This Row],[Discount]]</f>
        <v>624</v>
      </c>
      <c r="W616" s="4">
        <f>Sheet1[[#This Row],[Quantity]]*Sheet1[[#This Row],[Profit]]</f>
        <v>106.08</v>
      </c>
      <c r="X616" s="5">
        <f>Sheet1[[#This Row],[Total Profit]]/Sheet1[[#This Row],[Sales After Discount]]</f>
        <v>0.16999999999999998</v>
      </c>
      <c r="Y616" s="4">
        <f>Sheet1[[#This Row],[Shipping_cost]]*Sheet1[[#This Row],[Quantity]]</f>
        <v>27.64</v>
      </c>
      <c r="Z616" s="4">
        <f>Sheet1[[#This Row],[Total Profit]]-Sheet1[[#This Row],[Total Shipping Cost]]</f>
        <v>78.44</v>
      </c>
      <c r="AA616" s="4" t="str">
        <f>IF(Sheet1[[#This Row],[Net Profit]]&gt;0,"Profit","Loss")</f>
        <v>Profit</v>
      </c>
    </row>
    <row r="617" spans="1:27" x14ac:dyDescent="0.25">
      <c r="A617" t="s">
        <v>872</v>
      </c>
      <c r="B617" s="1">
        <v>40588</v>
      </c>
      <c r="C617" s="1">
        <v>40590</v>
      </c>
      <c r="D617" t="s">
        <v>18</v>
      </c>
      <c r="E617" t="s">
        <v>748</v>
      </c>
      <c r="F617" t="s">
        <v>26</v>
      </c>
      <c r="G617" t="s">
        <v>873</v>
      </c>
      <c r="H617" t="s">
        <v>873</v>
      </c>
      <c r="I617" t="s">
        <v>14</v>
      </c>
      <c r="J617" t="s">
        <v>132</v>
      </c>
      <c r="K617" t="s">
        <v>7</v>
      </c>
      <c r="L617" t="s">
        <v>97</v>
      </c>
      <c r="M617">
        <v>58</v>
      </c>
      <c r="N617">
        <v>3</v>
      </c>
      <c r="O617">
        <v>0</v>
      </c>
      <c r="P617">
        <v>5.13</v>
      </c>
      <c r="Q617">
        <v>6.7</v>
      </c>
      <c r="R617" t="s">
        <v>9</v>
      </c>
      <c r="S617">
        <f>Sheet1[[#This Row],[Ship_date]]-Sheet1[[#This Row],[Order_date]]</f>
        <v>2</v>
      </c>
      <c r="T617">
        <f>Sheet1[[#This Row],[Quantity]]*Sheet1[[#This Row],[Sales]]</f>
        <v>174</v>
      </c>
      <c r="U617">
        <f>Sheet1[[#This Row],[Total Sales]]*Sheet1[[#This Row],[Discount]]</f>
        <v>0</v>
      </c>
      <c r="V617" s="4">
        <f>Sheet1[[#This Row],[Total Sales]]-Sheet1[[#This Row],[Total Sales]]*Sheet1[[#This Row],[Discount]]</f>
        <v>174</v>
      </c>
      <c r="W617" s="4">
        <f>Sheet1[[#This Row],[Quantity]]*Sheet1[[#This Row],[Profit]]</f>
        <v>15.39</v>
      </c>
      <c r="X617" s="5">
        <f>Sheet1[[#This Row],[Total Profit]]/Sheet1[[#This Row],[Sales After Discount]]</f>
        <v>8.8448275862068965E-2</v>
      </c>
      <c r="Y617" s="4">
        <f>Sheet1[[#This Row],[Shipping_cost]]*Sheet1[[#This Row],[Quantity]]</f>
        <v>20.100000000000001</v>
      </c>
      <c r="Z617" s="4">
        <f>Sheet1[[#This Row],[Total Profit]]-Sheet1[[#This Row],[Total Shipping Cost]]</f>
        <v>-4.7100000000000009</v>
      </c>
      <c r="AA617" s="4" t="str">
        <f>IF(Sheet1[[#This Row],[Net Profit]]&gt;0,"Profit","Loss")</f>
        <v>Loss</v>
      </c>
    </row>
    <row r="618" spans="1:27" x14ac:dyDescent="0.25">
      <c r="A618" t="s">
        <v>872</v>
      </c>
      <c r="B618" s="1">
        <v>40588</v>
      </c>
      <c r="C618" s="1">
        <v>40590</v>
      </c>
      <c r="D618" t="s">
        <v>18</v>
      </c>
      <c r="E618" t="s">
        <v>748</v>
      </c>
      <c r="F618" t="s">
        <v>26</v>
      </c>
      <c r="G618" t="s">
        <v>873</v>
      </c>
      <c r="H618" t="s">
        <v>873</v>
      </c>
      <c r="I618" t="s">
        <v>14</v>
      </c>
      <c r="J618" t="s">
        <v>132</v>
      </c>
      <c r="K618" t="s">
        <v>38</v>
      </c>
      <c r="L618" t="s">
        <v>77</v>
      </c>
      <c r="M618">
        <v>73</v>
      </c>
      <c r="N618">
        <v>1</v>
      </c>
      <c r="O618">
        <v>0</v>
      </c>
      <c r="P618">
        <v>29.94</v>
      </c>
      <c r="Q618">
        <v>6.34</v>
      </c>
      <c r="R618" t="s">
        <v>9</v>
      </c>
      <c r="S618">
        <f>Sheet1[[#This Row],[Ship_date]]-Sheet1[[#This Row],[Order_date]]</f>
        <v>2</v>
      </c>
      <c r="T618">
        <f>Sheet1[[#This Row],[Quantity]]*Sheet1[[#This Row],[Sales]]</f>
        <v>73</v>
      </c>
      <c r="U618">
        <f>Sheet1[[#This Row],[Total Sales]]*Sheet1[[#This Row],[Discount]]</f>
        <v>0</v>
      </c>
      <c r="V618" s="4">
        <f>Sheet1[[#This Row],[Total Sales]]-Sheet1[[#This Row],[Total Sales]]*Sheet1[[#This Row],[Discount]]</f>
        <v>73</v>
      </c>
      <c r="W618" s="4">
        <f>Sheet1[[#This Row],[Quantity]]*Sheet1[[#This Row],[Profit]]</f>
        <v>29.94</v>
      </c>
      <c r="X618" s="5">
        <f>Sheet1[[#This Row],[Total Profit]]/Sheet1[[#This Row],[Sales After Discount]]</f>
        <v>0.41013698630136985</v>
      </c>
      <c r="Y618" s="4">
        <f>Sheet1[[#This Row],[Shipping_cost]]*Sheet1[[#This Row],[Quantity]]</f>
        <v>6.34</v>
      </c>
      <c r="Z618" s="4">
        <f>Sheet1[[#This Row],[Total Profit]]-Sheet1[[#This Row],[Total Shipping Cost]]</f>
        <v>23.6</v>
      </c>
      <c r="AA618" s="4" t="str">
        <f>IF(Sheet1[[#This Row],[Net Profit]]&gt;0,"Profit","Loss")</f>
        <v>Profit</v>
      </c>
    </row>
    <row r="619" spans="1:27" x14ac:dyDescent="0.25">
      <c r="A619" t="s">
        <v>874</v>
      </c>
      <c r="B619" s="1">
        <v>40588</v>
      </c>
      <c r="C619" s="1">
        <v>40593</v>
      </c>
      <c r="D619" t="s">
        <v>18</v>
      </c>
      <c r="E619" t="s">
        <v>875</v>
      </c>
      <c r="F619" t="s">
        <v>3</v>
      </c>
      <c r="G619" t="s">
        <v>400</v>
      </c>
      <c r="H619" t="s">
        <v>276</v>
      </c>
      <c r="I619" t="s">
        <v>29</v>
      </c>
      <c r="J619" t="s">
        <v>102</v>
      </c>
      <c r="K619" t="s">
        <v>7</v>
      </c>
      <c r="L619" t="s">
        <v>91</v>
      </c>
      <c r="M619">
        <v>26</v>
      </c>
      <c r="N619">
        <v>1</v>
      </c>
      <c r="O619">
        <v>0</v>
      </c>
      <c r="P619">
        <v>0.51</v>
      </c>
      <c r="Q619">
        <v>2.68</v>
      </c>
      <c r="R619" t="s">
        <v>9</v>
      </c>
      <c r="S619">
        <f>Sheet1[[#This Row],[Ship_date]]-Sheet1[[#This Row],[Order_date]]</f>
        <v>5</v>
      </c>
      <c r="T619">
        <f>Sheet1[[#This Row],[Quantity]]*Sheet1[[#This Row],[Sales]]</f>
        <v>26</v>
      </c>
      <c r="U619">
        <f>Sheet1[[#This Row],[Total Sales]]*Sheet1[[#This Row],[Discount]]</f>
        <v>0</v>
      </c>
      <c r="V619" s="4">
        <f>Sheet1[[#This Row],[Total Sales]]-Sheet1[[#This Row],[Total Sales]]*Sheet1[[#This Row],[Discount]]</f>
        <v>26</v>
      </c>
      <c r="W619" s="4">
        <f>Sheet1[[#This Row],[Quantity]]*Sheet1[[#This Row],[Profit]]</f>
        <v>0.51</v>
      </c>
      <c r="X619" s="5">
        <f>Sheet1[[#This Row],[Total Profit]]/Sheet1[[#This Row],[Sales After Discount]]</f>
        <v>1.9615384615384614E-2</v>
      </c>
      <c r="Y619" s="4">
        <f>Sheet1[[#This Row],[Shipping_cost]]*Sheet1[[#This Row],[Quantity]]</f>
        <v>2.68</v>
      </c>
      <c r="Z619" s="4">
        <f>Sheet1[[#This Row],[Total Profit]]-Sheet1[[#This Row],[Total Shipping Cost]]</f>
        <v>-2.17</v>
      </c>
      <c r="AA619" s="4" t="str">
        <f>IF(Sheet1[[#This Row],[Net Profit]]&gt;0,"Profit","Loss")</f>
        <v>Loss</v>
      </c>
    </row>
    <row r="620" spans="1:27" x14ac:dyDescent="0.25">
      <c r="A620" t="s">
        <v>857</v>
      </c>
      <c r="B620" s="1">
        <v>40588</v>
      </c>
      <c r="C620" s="1">
        <v>40592</v>
      </c>
      <c r="D620" t="s">
        <v>1</v>
      </c>
      <c r="E620" t="s">
        <v>858</v>
      </c>
      <c r="F620" t="s">
        <v>26</v>
      </c>
      <c r="G620" t="s">
        <v>12</v>
      </c>
      <c r="H620" t="s">
        <v>13</v>
      </c>
      <c r="I620" t="s">
        <v>14</v>
      </c>
      <c r="J620" t="s">
        <v>15</v>
      </c>
      <c r="K620" t="s">
        <v>7</v>
      </c>
      <c r="L620" t="s">
        <v>137</v>
      </c>
      <c r="M620">
        <v>27</v>
      </c>
      <c r="N620">
        <v>4</v>
      </c>
      <c r="O620">
        <v>0</v>
      </c>
      <c r="P620">
        <v>5.04</v>
      </c>
      <c r="Q620">
        <v>2.11</v>
      </c>
      <c r="R620" t="s">
        <v>9</v>
      </c>
      <c r="S620">
        <f>Sheet1[[#This Row],[Ship_date]]-Sheet1[[#This Row],[Order_date]]</f>
        <v>4</v>
      </c>
      <c r="T620">
        <f>Sheet1[[#This Row],[Quantity]]*Sheet1[[#This Row],[Sales]]</f>
        <v>108</v>
      </c>
      <c r="U620">
        <f>Sheet1[[#This Row],[Total Sales]]*Sheet1[[#This Row],[Discount]]</f>
        <v>0</v>
      </c>
      <c r="V620" s="4">
        <f>Sheet1[[#This Row],[Total Sales]]-Sheet1[[#This Row],[Total Sales]]*Sheet1[[#This Row],[Discount]]</f>
        <v>108</v>
      </c>
      <c r="W620" s="4">
        <f>Sheet1[[#This Row],[Quantity]]*Sheet1[[#This Row],[Profit]]</f>
        <v>20.16</v>
      </c>
      <c r="X620" s="5">
        <f>Sheet1[[#This Row],[Total Profit]]/Sheet1[[#This Row],[Sales After Discount]]</f>
        <v>0.18666666666666668</v>
      </c>
      <c r="Y620" s="4">
        <f>Sheet1[[#This Row],[Shipping_cost]]*Sheet1[[#This Row],[Quantity]]</f>
        <v>8.44</v>
      </c>
      <c r="Z620" s="4">
        <f>Sheet1[[#This Row],[Total Profit]]-Sheet1[[#This Row],[Total Shipping Cost]]</f>
        <v>11.72</v>
      </c>
      <c r="AA620" s="4" t="str">
        <f>IF(Sheet1[[#This Row],[Net Profit]]&gt;0,"Profit","Loss")</f>
        <v>Profit</v>
      </c>
    </row>
    <row r="621" spans="1:27" x14ac:dyDescent="0.25">
      <c r="A621" t="s">
        <v>868</v>
      </c>
      <c r="B621" s="1">
        <v>40588</v>
      </c>
      <c r="C621" s="1">
        <v>40592</v>
      </c>
      <c r="D621" t="s">
        <v>18</v>
      </c>
      <c r="E621" t="s">
        <v>869</v>
      </c>
      <c r="F621" t="s">
        <v>3</v>
      </c>
      <c r="G621" t="s">
        <v>870</v>
      </c>
      <c r="H621" t="s">
        <v>871</v>
      </c>
      <c r="I621" t="s">
        <v>6</v>
      </c>
      <c r="J621" t="s">
        <v>6</v>
      </c>
      <c r="K621" t="s">
        <v>7</v>
      </c>
      <c r="L621" t="s">
        <v>137</v>
      </c>
      <c r="M621">
        <v>16</v>
      </c>
      <c r="N621">
        <v>2</v>
      </c>
      <c r="O621">
        <v>0</v>
      </c>
      <c r="P621">
        <v>6.42</v>
      </c>
      <c r="Q621">
        <v>2.0299999999999998</v>
      </c>
      <c r="R621" t="s">
        <v>23</v>
      </c>
      <c r="S621">
        <f>Sheet1[[#This Row],[Ship_date]]-Sheet1[[#This Row],[Order_date]]</f>
        <v>4</v>
      </c>
      <c r="T621">
        <f>Sheet1[[#This Row],[Quantity]]*Sheet1[[#This Row],[Sales]]</f>
        <v>32</v>
      </c>
      <c r="U621">
        <f>Sheet1[[#This Row],[Total Sales]]*Sheet1[[#This Row],[Discount]]</f>
        <v>0</v>
      </c>
      <c r="V621" s="4">
        <f>Sheet1[[#This Row],[Total Sales]]-Sheet1[[#This Row],[Total Sales]]*Sheet1[[#This Row],[Discount]]</f>
        <v>32</v>
      </c>
      <c r="W621" s="4">
        <f>Sheet1[[#This Row],[Quantity]]*Sheet1[[#This Row],[Profit]]</f>
        <v>12.84</v>
      </c>
      <c r="X621" s="5">
        <f>Sheet1[[#This Row],[Total Profit]]/Sheet1[[#This Row],[Sales After Discount]]</f>
        <v>0.40125</v>
      </c>
      <c r="Y621" s="4">
        <f>Sheet1[[#This Row],[Shipping_cost]]*Sheet1[[#This Row],[Quantity]]</f>
        <v>4.0599999999999996</v>
      </c>
      <c r="Z621" s="4">
        <f>Sheet1[[#This Row],[Total Profit]]-Sheet1[[#This Row],[Total Shipping Cost]]</f>
        <v>8.7800000000000011</v>
      </c>
      <c r="AA621" s="4" t="str">
        <f>IF(Sheet1[[#This Row],[Net Profit]]&gt;0,"Profit","Loss")</f>
        <v>Profit</v>
      </c>
    </row>
    <row r="622" spans="1:27" x14ac:dyDescent="0.25">
      <c r="A622" t="s">
        <v>876</v>
      </c>
      <c r="B622" s="1">
        <v>40588</v>
      </c>
      <c r="C622" s="1">
        <v>40594</v>
      </c>
      <c r="D622" t="s">
        <v>1</v>
      </c>
      <c r="E622" t="s">
        <v>2</v>
      </c>
      <c r="F622" t="s">
        <v>3</v>
      </c>
      <c r="G622" t="s">
        <v>877</v>
      </c>
      <c r="H622" t="s">
        <v>454</v>
      </c>
      <c r="I622" t="s">
        <v>22</v>
      </c>
      <c r="J622" t="s">
        <v>22</v>
      </c>
      <c r="K622" t="s">
        <v>7</v>
      </c>
      <c r="L622" t="s">
        <v>91</v>
      </c>
      <c r="M622">
        <v>27</v>
      </c>
      <c r="N622">
        <v>1</v>
      </c>
      <c r="O622">
        <v>0</v>
      </c>
      <c r="P622">
        <v>13.53</v>
      </c>
      <c r="Q622">
        <v>2.0299999999999998</v>
      </c>
      <c r="R622" t="s">
        <v>51</v>
      </c>
      <c r="S622">
        <f>Sheet1[[#This Row],[Ship_date]]-Sheet1[[#This Row],[Order_date]]</f>
        <v>6</v>
      </c>
      <c r="T622">
        <f>Sheet1[[#This Row],[Quantity]]*Sheet1[[#This Row],[Sales]]</f>
        <v>27</v>
      </c>
      <c r="U622">
        <f>Sheet1[[#This Row],[Total Sales]]*Sheet1[[#This Row],[Discount]]</f>
        <v>0</v>
      </c>
      <c r="V622" s="4">
        <f>Sheet1[[#This Row],[Total Sales]]-Sheet1[[#This Row],[Total Sales]]*Sheet1[[#This Row],[Discount]]</f>
        <v>27</v>
      </c>
      <c r="W622" s="4">
        <f>Sheet1[[#This Row],[Quantity]]*Sheet1[[#This Row],[Profit]]</f>
        <v>13.53</v>
      </c>
      <c r="X622" s="5">
        <f>Sheet1[[#This Row],[Total Profit]]/Sheet1[[#This Row],[Sales After Discount]]</f>
        <v>0.50111111111111106</v>
      </c>
      <c r="Y622" s="4">
        <f>Sheet1[[#This Row],[Shipping_cost]]*Sheet1[[#This Row],[Quantity]]</f>
        <v>2.0299999999999998</v>
      </c>
      <c r="Z622" s="4">
        <f>Sheet1[[#This Row],[Total Profit]]-Sheet1[[#This Row],[Total Shipping Cost]]</f>
        <v>11.5</v>
      </c>
      <c r="AA622" s="4" t="str">
        <f>IF(Sheet1[[#This Row],[Net Profit]]&gt;0,"Profit","Loss")</f>
        <v>Profit</v>
      </c>
    </row>
    <row r="623" spans="1:27" x14ac:dyDescent="0.25">
      <c r="A623" t="s">
        <v>862</v>
      </c>
      <c r="B623" s="1">
        <v>40588</v>
      </c>
      <c r="C623" s="1">
        <v>40593</v>
      </c>
      <c r="D623" t="s">
        <v>1</v>
      </c>
      <c r="E623" t="s">
        <v>863</v>
      </c>
      <c r="F623" t="s">
        <v>26</v>
      </c>
      <c r="G623" t="s">
        <v>864</v>
      </c>
      <c r="H623" t="s">
        <v>110</v>
      </c>
      <c r="I623" t="s">
        <v>75</v>
      </c>
      <c r="J623" t="s">
        <v>111</v>
      </c>
      <c r="K623" t="s">
        <v>7</v>
      </c>
      <c r="L623" t="s">
        <v>91</v>
      </c>
      <c r="M623">
        <v>14</v>
      </c>
      <c r="N623">
        <v>2</v>
      </c>
      <c r="O623">
        <v>0</v>
      </c>
      <c r="P623">
        <v>6.16</v>
      </c>
      <c r="Q623">
        <v>1.78</v>
      </c>
      <c r="R623" t="s">
        <v>23</v>
      </c>
      <c r="S623">
        <f>Sheet1[[#This Row],[Ship_date]]-Sheet1[[#This Row],[Order_date]]</f>
        <v>5</v>
      </c>
      <c r="T623">
        <f>Sheet1[[#This Row],[Quantity]]*Sheet1[[#This Row],[Sales]]</f>
        <v>28</v>
      </c>
      <c r="U623">
        <f>Sheet1[[#This Row],[Total Sales]]*Sheet1[[#This Row],[Discount]]</f>
        <v>0</v>
      </c>
      <c r="V623" s="4">
        <f>Sheet1[[#This Row],[Total Sales]]-Sheet1[[#This Row],[Total Sales]]*Sheet1[[#This Row],[Discount]]</f>
        <v>28</v>
      </c>
      <c r="W623" s="4">
        <f>Sheet1[[#This Row],[Quantity]]*Sheet1[[#This Row],[Profit]]</f>
        <v>12.32</v>
      </c>
      <c r="X623" s="5">
        <f>Sheet1[[#This Row],[Total Profit]]/Sheet1[[#This Row],[Sales After Discount]]</f>
        <v>0.44</v>
      </c>
      <c r="Y623" s="4">
        <f>Sheet1[[#This Row],[Shipping_cost]]*Sheet1[[#This Row],[Quantity]]</f>
        <v>3.56</v>
      </c>
      <c r="Z623" s="4">
        <f>Sheet1[[#This Row],[Total Profit]]-Sheet1[[#This Row],[Total Shipping Cost]]</f>
        <v>8.76</v>
      </c>
      <c r="AA623" s="4" t="str">
        <f>IF(Sheet1[[#This Row],[Net Profit]]&gt;0,"Profit","Loss")</f>
        <v>Profit</v>
      </c>
    </row>
    <row r="624" spans="1:27" x14ac:dyDescent="0.25">
      <c r="A624" t="s">
        <v>874</v>
      </c>
      <c r="B624" s="1">
        <v>40588</v>
      </c>
      <c r="C624" s="1">
        <v>40593</v>
      </c>
      <c r="D624" t="s">
        <v>18</v>
      </c>
      <c r="E624" t="s">
        <v>875</v>
      </c>
      <c r="F624" t="s">
        <v>3</v>
      </c>
      <c r="G624" t="s">
        <v>400</v>
      </c>
      <c r="H624" t="s">
        <v>276</v>
      </c>
      <c r="I624" t="s">
        <v>29</v>
      </c>
      <c r="J624" t="s">
        <v>102</v>
      </c>
      <c r="K624" t="s">
        <v>7</v>
      </c>
      <c r="L624" t="s">
        <v>8</v>
      </c>
      <c r="M624">
        <v>9</v>
      </c>
      <c r="N624">
        <v>1</v>
      </c>
      <c r="O624">
        <v>0.1</v>
      </c>
      <c r="P624">
        <v>1.6140000000000001</v>
      </c>
      <c r="Q624">
        <v>0.79</v>
      </c>
      <c r="R624" t="s">
        <v>9</v>
      </c>
      <c r="S624">
        <f>Sheet1[[#This Row],[Ship_date]]-Sheet1[[#This Row],[Order_date]]</f>
        <v>5</v>
      </c>
      <c r="T624">
        <f>Sheet1[[#This Row],[Quantity]]*Sheet1[[#This Row],[Sales]]</f>
        <v>9</v>
      </c>
      <c r="U624">
        <f>Sheet1[[#This Row],[Total Sales]]*Sheet1[[#This Row],[Discount]]</f>
        <v>0.9</v>
      </c>
      <c r="V624" s="4">
        <f>Sheet1[[#This Row],[Total Sales]]-Sheet1[[#This Row],[Total Sales]]*Sheet1[[#This Row],[Discount]]</f>
        <v>8.1</v>
      </c>
      <c r="W624" s="4">
        <f>Sheet1[[#This Row],[Quantity]]*Sheet1[[#This Row],[Profit]]</f>
        <v>1.6140000000000001</v>
      </c>
      <c r="X624" s="5">
        <f>Sheet1[[#This Row],[Total Profit]]/Sheet1[[#This Row],[Sales After Discount]]</f>
        <v>0.19925925925925927</v>
      </c>
      <c r="Y624" s="4">
        <f>Sheet1[[#This Row],[Shipping_cost]]*Sheet1[[#This Row],[Quantity]]</f>
        <v>0.79</v>
      </c>
      <c r="Z624" s="4">
        <f>Sheet1[[#This Row],[Total Profit]]-Sheet1[[#This Row],[Total Shipping Cost]]</f>
        <v>0.82400000000000007</v>
      </c>
      <c r="AA624" s="4" t="str">
        <f>IF(Sheet1[[#This Row],[Net Profit]]&gt;0,"Profit","Loss")</f>
        <v>Profit</v>
      </c>
    </row>
    <row r="625" spans="1:27" x14ac:dyDescent="0.25">
      <c r="A625" t="s">
        <v>878</v>
      </c>
      <c r="B625" s="1">
        <v>40589</v>
      </c>
      <c r="C625" s="1">
        <v>40590</v>
      </c>
      <c r="D625" t="s">
        <v>142</v>
      </c>
      <c r="E625" t="s">
        <v>879</v>
      </c>
      <c r="F625" t="s">
        <v>26</v>
      </c>
      <c r="G625" t="s">
        <v>737</v>
      </c>
      <c r="H625" t="s">
        <v>259</v>
      </c>
      <c r="I625" t="s">
        <v>6</v>
      </c>
      <c r="J625" t="s">
        <v>6</v>
      </c>
      <c r="K625" t="s">
        <v>7</v>
      </c>
      <c r="L625" t="s">
        <v>8</v>
      </c>
      <c r="M625">
        <v>2785</v>
      </c>
      <c r="N625">
        <v>14</v>
      </c>
      <c r="O625">
        <v>0</v>
      </c>
      <c r="P625">
        <v>779.52</v>
      </c>
      <c r="Q625">
        <v>422.25</v>
      </c>
      <c r="R625" t="s">
        <v>45</v>
      </c>
      <c r="S625">
        <f>Sheet1[[#This Row],[Ship_date]]-Sheet1[[#This Row],[Order_date]]</f>
        <v>1</v>
      </c>
      <c r="T625">
        <f>Sheet1[[#This Row],[Quantity]]*Sheet1[[#This Row],[Sales]]</f>
        <v>38990</v>
      </c>
      <c r="U625">
        <f>Sheet1[[#This Row],[Total Sales]]*Sheet1[[#This Row],[Discount]]</f>
        <v>0</v>
      </c>
      <c r="V625" s="4">
        <f>Sheet1[[#This Row],[Total Sales]]-Sheet1[[#This Row],[Total Sales]]*Sheet1[[#This Row],[Discount]]</f>
        <v>38990</v>
      </c>
      <c r="W625" s="4">
        <f>Sheet1[[#This Row],[Quantity]]*Sheet1[[#This Row],[Profit]]</f>
        <v>10913.279999999999</v>
      </c>
      <c r="X625" s="5">
        <f>Sheet1[[#This Row],[Total Profit]]/Sheet1[[#This Row],[Sales After Discount]]</f>
        <v>0.27989946140035904</v>
      </c>
      <c r="Y625" s="4">
        <f>Sheet1[[#This Row],[Shipping_cost]]*Sheet1[[#This Row],[Quantity]]</f>
        <v>5911.5</v>
      </c>
      <c r="Z625" s="4">
        <f>Sheet1[[#This Row],[Total Profit]]-Sheet1[[#This Row],[Total Shipping Cost]]</f>
        <v>5001.7799999999988</v>
      </c>
      <c r="AA625" s="4" t="str">
        <f>IF(Sheet1[[#This Row],[Net Profit]]&gt;0,"Profit","Loss")</f>
        <v>Profit</v>
      </c>
    </row>
    <row r="626" spans="1:27" x14ac:dyDescent="0.25">
      <c r="A626" t="s">
        <v>880</v>
      </c>
      <c r="B626" s="1">
        <v>40589</v>
      </c>
      <c r="C626" s="1">
        <v>40593</v>
      </c>
      <c r="D626" t="s">
        <v>1</v>
      </c>
      <c r="E626" t="s">
        <v>881</v>
      </c>
      <c r="F626" t="s">
        <v>3</v>
      </c>
      <c r="G626" t="s">
        <v>882</v>
      </c>
      <c r="H626" t="s">
        <v>131</v>
      </c>
      <c r="I626" t="s">
        <v>14</v>
      </c>
      <c r="J626" t="s">
        <v>132</v>
      </c>
      <c r="K626" t="s">
        <v>32</v>
      </c>
      <c r="L626" t="s">
        <v>67</v>
      </c>
      <c r="M626">
        <v>1744</v>
      </c>
      <c r="N626">
        <v>4</v>
      </c>
      <c r="O626">
        <v>0</v>
      </c>
      <c r="P626">
        <v>645.24</v>
      </c>
      <c r="Q626">
        <v>181.61</v>
      </c>
      <c r="R626" t="s">
        <v>9</v>
      </c>
      <c r="S626">
        <f>Sheet1[[#This Row],[Ship_date]]-Sheet1[[#This Row],[Order_date]]</f>
        <v>4</v>
      </c>
      <c r="T626">
        <f>Sheet1[[#This Row],[Quantity]]*Sheet1[[#This Row],[Sales]]</f>
        <v>6976</v>
      </c>
      <c r="U626">
        <f>Sheet1[[#This Row],[Total Sales]]*Sheet1[[#This Row],[Discount]]</f>
        <v>0</v>
      </c>
      <c r="V626" s="4">
        <f>Sheet1[[#This Row],[Total Sales]]-Sheet1[[#This Row],[Total Sales]]*Sheet1[[#This Row],[Discount]]</f>
        <v>6976</v>
      </c>
      <c r="W626" s="4">
        <f>Sheet1[[#This Row],[Quantity]]*Sheet1[[#This Row],[Profit]]</f>
        <v>2580.96</v>
      </c>
      <c r="X626" s="5">
        <f>Sheet1[[#This Row],[Total Profit]]/Sheet1[[#This Row],[Sales After Discount]]</f>
        <v>0.3699770642201835</v>
      </c>
      <c r="Y626" s="4">
        <f>Sheet1[[#This Row],[Shipping_cost]]*Sheet1[[#This Row],[Quantity]]</f>
        <v>726.44</v>
      </c>
      <c r="Z626" s="4">
        <f>Sheet1[[#This Row],[Total Profit]]-Sheet1[[#This Row],[Total Shipping Cost]]</f>
        <v>1854.52</v>
      </c>
      <c r="AA626" s="4" t="str">
        <f>IF(Sheet1[[#This Row],[Net Profit]]&gt;0,"Profit","Loss")</f>
        <v>Profit</v>
      </c>
    </row>
    <row r="627" spans="1:27" x14ac:dyDescent="0.25">
      <c r="A627" t="s">
        <v>883</v>
      </c>
      <c r="B627" s="1">
        <v>40589</v>
      </c>
      <c r="C627" s="1">
        <v>40595</v>
      </c>
      <c r="D627" t="s">
        <v>1</v>
      </c>
      <c r="E627" t="s">
        <v>217</v>
      </c>
      <c r="F627" t="s">
        <v>3</v>
      </c>
      <c r="G627" t="s">
        <v>59</v>
      </c>
      <c r="H627" t="s">
        <v>60</v>
      </c>
      <c r="I627" t="s">
        <v>14</v>
      </c>
      <c r="J627" t="s">
        <v>61</v>
      </c>
      <c r="K627" t="s">
        <v>38</v>
      </c>
      <c r="L627" t="s">
        <v>77</v>
      </c>
      <c r="M627">
        <v>921</v>
      </c>
      <c r="N627">
        <v>9</v>
      </c>
      <c r="O627">
        <v>0.25</v>
      </c>
      <c r="P627">
        <v>-172.125</v>
      </c>
      <c r="Q627">
        <v>128.01</v>
      </c>
      <c r="R627" t="s">
        <v>51</v>
      </c>
      <c r="S627">
        <f>Sheet1[[#This Row],[Ship_date]]-Sheet1[[#This Row],[Order_date]]</f>
        <v>6</v>
      </c>
      <c r="T627">
        <f>Sheet1[[#This Row],[Quantity]]*Sheet1[[#This Row],[Sales]]</f>
        <v>8289</v>
      </c>
      <c r="U627">
        <f>Sheet1[[#This Row],[Total Sales]]*Sheet1[[#This Row],[Discount]]</f>
        <v>2072.25</v>
      </c>
      <c r="V627" s="4">
        <f>Sheet1[[#This Row],[Total Sales]]-Sheet1[[#This Row],[Total Sales]]*Sheet1[[#This Row],[Discount]]</f>
        <v>6216.75</v>
      </c>
      <c r="W627" s="4">
        <f>Sheet1[[#This Row],[Quantity]]*Sheet1[[#This Row],[Profit]]</f>
        <v>-1549.125</v>
      </c>
      <c r="X627" s="5">
        <f>Sheet1[[#This Row],[Total Profit]]/Sheet1[[#This Row],[Sales After Discount]]</f>
        <v>-0.249185667752443</v>
      </c>
      <c r="Y627" s="4">
        <f>Sheet1[[#This Row],[Shipping_cost]]*Sheet1[[#This Row],[Quantity]]</f>
        <v>1152.0899999999999</v>
      </c>
      <c r="Z627" s="4">
        <f>Sheet1[[#This Row],[Total Profit]]-Sheet1[[#This Row],[Total Shipping Cost]]</f>
        <v>-2701.2150000000001</v>
      </c>
      <c r="AA627" s="4" t="str">
        <f>IF(Sheet1[[#This Row],[Net Profit]]&gt;0,"Profit","Loss")</f>
        <v>Loss</v>
      </c>
    </row>
    <row r="628" spans="1:27" x14ac:dyDescent="0.25">
      <c r="A628" t="s">
        <v>883</v>
      </c>
      <c r="B628" s="1">
        <v>40589</v>
      </c>
      <c r="C628" s="1">
        <v>40595</v>
      </c>
      <c r="D628" t="s">
        <v>1</v>
      </c>
      <c r="E628" t="s">
        <v>217</v>
      </c>
      <c r="F628" t="s">
        <v>3</v>
      </c>
      <c r="G628" t="s">
        <v>59</v>
      </c>
      <c r="H628" t="s">
        <v>60</v>
      </c>
      <c r="I628" t="s">
        <v>14</v>
      </c>
      <c r="J628" t="s">
        <v>61</v>
      </c>
      <c r="K628" t="s">
        <v>38</v>
      </c>
      <c r="L628" t="s">
        <v>50</v>
      </c>
      <c r="M628">
        <v>1235</v>
      </c>
      <c r="N628">
        <v>6</v>
      </c>
      <c r="O628">
        <v>0.35</v>
      </c>
      <c r="P628">
        <v>-456.17399999999998</v>
      </c>
      <c r="Q628">
        <v>118.63</v>
      </c>
      <c r="R628" t="s">
        <v>51</v>
      </c>
      <c r="S628">
        <f>Sheet1[[#This Row],[Ship_date]]-Sheet1[[#This Row],[Order_date]]</f>
        <v>6</v>
      </c>
      <c r="T628">
        <f>Sheet1[[#This Row],[Quantity]]*Sheet1[[#This Row],[Sales]]</f>
        <v>7410</v>
      </c>
      <c r="U628">
        <f>Sheet1[[#This Row],[Total Sales]]*Sheet1[[#This Row],[Discount]]</f>
        <v>2593.5</v>
      </c>
      <c r="V628" s="4">
        <f>Sheet1[[#This Row],[Total Sales]]-Sheet1[[#This Row],[Total Sales]]*Sheet1[[#This Row],[Discount]]</f>
        <v>4816.5</v>
      </c>
      <c r="W628" s="4">
        <f>Sheet1[[#This Row],[Quantity]]*Sheet1[[#This Row],[Profit]]</f>
        <v>-2737.0439999999999</v>
      </c>
      <c r="X628" s="5">
        <f>Sheet1[[#This Row],[Total Profit]]/Sheet1[[#This Row],[Sales After Discount]]</f>
        <v>-0.56826409218312046</v>
      </c>
      <c r="Y628" s="4">
        <f>Sheet1[[#This Row],[Shipping_cost]]*Sheet1[[#This Row],[Quantity]]</f>
        <v>711.78</v>
      </c>
      <c r="Z628" s="4">
        <f>Sheet1[[#This Row],[Total Profit]]-Sheet1[[#This Row],[Total Shipping Cost]]</f>
        <v>-3448.8239999999996</v>
      </c>
      <c r="AA628" s="4" t="str">
        <f>IF(Sheet1[[#This Row],[Net Profit]]&gt;0,"Profit","Loss")</f>
        <v>Loss</v>
      </c>
    </row>
    <row r="629" spans="1:27" x14ac:dyDescent="0.25">
      <c r="A629" t="s">
        <v>884</v>
      </c>
      <c r="B629" s="1">
        <v>40589</v>
      </c>
      <c r="C629" s="1">
        <v>40594</v>
      </c>
      <c r="D629" t="s">
        <v>1</v>
      </c>
      <c r="E629" t="s">
        <v>885</v>
      </c>
      <c r="F629" t="s">
        <v>3</v>
      </c>
      <c r="G629" t="s">
        <v>795</v>
      </c>
      <c r="H629" t="s">
        <v>207</v>
      </c>
      <c r="I629" t="s">
        <v>29</v>
      </c>
      <c r="J629" t="s">
        <v>76</v>
      </c>
      <c r="K629" t="s">
        <v>32</v>
      </c>
      <c r="L629" t="s">
        <v>67</v>
      </c>
      <c r="M629">
        <v>875</v>
      </c>
      <c r="N629">
        <v>4</v>
      </c>
      <c r="O629">
        <v>0.5</v>
      </c>
      <c r="P629">
        <v>-577.32000000000005</v>
      </c>
      <c r="Q629">
        <v>78.180000000000007</v>
      </c>
      <c r="R629" t="s">
        <v>9</v>
      </c>
      <c r="S629">
        <f>Sheet1[[#This Row],[Ship_date]]-Sheet1[[#This Row],[Order_date]]</f>
        <v>5</v>
      </c>
      <c r="T629">
        <f>Sheet1[[#This Row],[Quantity]]*Sheet1[[#This Row],[Sales]]</f>
        <v>3500</v>
      </c>
      <c r="U629">
        <f>Sheet1[[#This Row],[Total Sales]]*Sheet1[[#This Row],[Discount]]</f>
        <v>1750</v>
      </c>
      <c r="V629" s="4">
        <f>Sheet1[[#This Row],[Total Sales]]-Sheet1[[#This Row],[Total Sales]]*Sheet1[[#This Row],[Discount]]</f>
        <v>1750</v>
      </c>
      <c r="W629" s="4">
        <f>Sheet1[[#This Row],[Quantity]]*Sheet1[[#This Row],[Profit]]</f>
        <v>-2309.2800000000002</v>
      </c>
      <c r="X629" s="5">
        <f>Sheet1[[#This Row],[Total Profit]]/Sheet1[[#This Row],[Sales After Discount]]</f>
        <v>-1.3195885714285716</v>
      </c>
      <c r="Y629" s="4">
        <f>Sheet1[[#This Row],[Shipping_cost]]*Sheet1[[#This Row],[Quantity]]</f>
        <v>312.72000000000003</v>
      </c>
      <c r="Z629" s="4">
        <f>Sheet1[[#This Row],[Total Profit]]-Sheet1[[#This Row],[Total Shipping Cost]]</f>
        <v>-2622</v>
      </c>
      <c r="AA629" s="4" t="str">
        <f>IF(Sheet1[[#This Row],[Net Profit]]&gt;0,"Profit","Loss")</f>
        <v>Loss</v>
      </c>
    </row>
    <row r="630" spans="1:27" x14ac:dyDescent="0.25">
      <c r="A630" t="s">
        <v>886</v>
      </c>
      <c r="B630" s="1">
        <v>40589</v>
      </c>
      <c r="C630" s="1">
        <v>40595</v>
      </c>
      <c r="D630" t="s">
        <v>1</v>
      </c>
      <c r="E630" t="s">
        <v>887</v>
      </c>
      <c r="F630" t="s">
        <v>43</v>
      </c>
      <c r="G630" t="s">
        <v>705</v>
      </c>
      <c r="H630" t="s">
        <v>276</v>
      </c>
      <c r="I630" t="s">
        <v>29</v>
      </c>
      <c r="J630" t="s">
        <v>102</v>
      </c>
      <c r="K630" t="s">
        <v>32</v>
      </c>
      <c r="L630" t="s">
        <v>56</v>
      </c>
      <c r="M630">
        <v>728</v>
      </c>
      <c r="N630">
        <v>2</v>
      </c>
      <c r="O630">
        <v>0.2</v>
      </c>
      <c r="P630">
        <v>-81.864000000000004</v>
      </c>
      <c r="Q630">
        <v>60.76</v>
      </c>
      <c r="R630" t="s">
        <v>9</v>
      </c>
      <c r="S630">
        <f>Sheet1[[#This Row],[Ship_date]]-Sheet1[[#This Row],[Order_date]]</f>
        <v>6</v>
      </c>
      <c r="T630">
        <f>Sheet1[[#This Row],[Quantity]]*Sheet1[[#This Row],[Sales]]</f>
        <v>1456</v>
      </c>
      <c r="U630">
        <f>Sheet1[[#This Row],[Total Sales]]*Sheet1[[#This Row],[Discount]]</f>
        <v>291.2</v>
      </c>
      <c r="V630" s="4">
        <f>Sheet1[[#This Row],[Total Sales]]-Sheet1[[#This Row],[Total Sales]]*Sheet1[[#This Row],[Discount]]</f>
        <v>1164.8</v>
      </c>
      <c r="W630" s="4">
        <f>Sheet1[[#This Row],[Quantity]]*Sheet1[[#This Row],[Profit]]</f>
        <v>-163.72800000000001</v>
      </c>
      <c r="X630" s="5">
        <f>Sheet1[[#This Row],[Total Profit]]/Sheet1[[#This Row],[Sales After Discount]]</f>
        <v>-0.14056318681318683</v>
      </c>
      <c r="Y630" s="4">
        <f>Sheet1[[#This Row],[Shipping_cost]]*Sheet1[[#This Row],[Quantity]]</f>
        <v>121.52</v>
      </c>
      <c r="Z630" s="4">
        <f>Sheet1[[#This Row],[Total Profit]]-Sheet1[[#This Row],[Total Shipping Cost]]</f>
        <v>-285.24799999999999</v>
      </c>
      <c r="AA630" s="4" t="str">
        <f>IF(Sheet1[[#This Row],[Net Profit]]&gt;0,"Profit","Loss")</f>
        <v>Loss</v>
      </c>
    </row>
    <row r="631" spans="1:27" x14ac:dyDescent="0.25">
      <c r="A631" t="s">
        <v>884</v>
      </c>
      <c r="B631" s="1">
        <v>40589</v>
      </c>
      <c r="C631" s="1">
        <v>40594</v>
      </c>
      <c r="D631" t="s">
        <v>1</v>
      </c>
      <c r="E631" t="s">
        <v>885</v>
      </c>
      <c r="F631" t="s">
        <v>3</v>
      </c>
      <c r="G631" t="s">
        <v>795</v>
      </c>
      <c r="H631" t="s">
        <v>207</v>
      </c>
      <c r="I631" t="s">
        <v>29</v>
      </c>
      <c r="J631" t="s">
        <v>76</v>
      </c>
      <c r="K631" t="s">
        <v>32</v>
      </c>
      <c r="L631" t="s">
        <v>62</v>
      </c>
      <c r="M631">
        <v>273</v>
      </c>
      <c r="N631">
        <v>3</v>
      </c>
      <c r="O631">
        <v>0.7</v>
      </c>
      <c r="P631">
        <v>-499.97699999999998</v>
      </c>
      <c r="Q631">
        <v>21.13</v>
      </c>
      <c r="R631" t="s">
        <v>9</v>
      </c>
      <c r="S631">
        <f>Sheet1[[#This Row],[Ship_date]]-Sheet1[[#This Row],[Order_date]]</f>
        <v>5</v>
      </c>
      <c r="T631">
        <f>Sheet1[[#This Row],[Quantity]]*Sheet1[[#This Row],[Sales]]</f>
        <v>819</v>
      </c>
      <c r="U631">
        <f>Sheet1[[#This Row],[Total Sales]]*Sheet1[[#This Row],[Discount]]</f>
        <v>573.29999999999995</v>
      </c>
      <c r="V631" s="4">
        <f>Sheet1[[#This Row],[Total Sales]]-Sheet1[[#This Row],[Total Sales]]*Sheet1[[#This Row],[Discount]]</f>
        <v>245.70000000000005</v>
      </c>
      <c r="W631" s="4">
        <f>Sheet1[[#This Row],[Quantity]]*Sheet1[[#This Row],[Profit]]</f>
        <v>-1499.931</v>
      </c>
      <c r="X631" s="5">
        <f>Sheet1[[#This Row],[Total Profit]]/Sheet1[[#This Row],[Sales After Discount]]</f>
        <v>-6.1047252747252738</v>
      </c>
      <c r="Y631" s="4">
        <f>Sheet1[[#This Row],[Shipping_cost]]*Sheet1[[#This Row],[Quantity]]</f>
        <v>63.39</v>
      </c>
      <c r="Z631" s="4">
        <f>Sheet1[[#This Row],[Total Profit]]-Sheet1[[#This Row],[Total Shipping Cost]]</f>
        <v>-1563.3210000000001</v>
      </c>
      <c r="AA631" s="4" t="str">
        <f>IF(Sheet1[[#This Row],[Net Profit]]&gt;0,"Profit","Loss")</f>
        <v>Loss</v>
      </c>
    </row>
    <row r="632" spans="1:27" x14ac:dyDescent="0.25">
      <c r="A632" t="s">
        <v>888</v>
      </c>
      <c r="B632" s="1">
        <v>40589</v>
      </c>
      <c r="C632" s="1">
        <v>40593</v>
      </c>
      <c r="D632" t="s">
        <v>1</v>
      </c>
      <c r="E632" t="s">
        <v>889</v>
      </c>
      <c r="F632" t="s">
        <v>43</v>
      </c>
      <c r="G632" t="s">
        <v>740</v>
      </c>
      <c r="H632" t="s">
        <v>126</v>
      </c>
      <c r="I632" t="s">
        <v>127</v>
      </c>
      <c r="J632" t="s">
        <v>192</v>
      </c>
      <c r="K632" t="s">
        <v>7</v>
      </c>
      <c r="L632" t="s">
        <v>16</v>
      </c>
      <c r="M632">
        <v>239</v>
      </c>
      <c r="N632">
        <v>2</v>
      </c>
      <c r="O632">
        <v>0</v>
      </c>
      <c r="P632">
        <v>4.7724000000000002</v>
      </c>
      <c r="Q632">
        <v>20.079999999999998</v>
      </c>
      <c r="R632" t="s">
        <v>9</v>
      </c>
      <c r="S632">
        <f>Sheet1[[#This Row],[Ship_date]]-Sheet1[[#This Row],[Order_date]]</f>
        <v>4</v>
      </c>
      <c r="T632">
        <f>Sheet1[[#This Row],[Quantity]]*Sheet1[[#This Row],[Sales]]</f>
        <v>478</v>
      </c>
      <c r="U632">
        <f>Sheet1[[#This Row],[Total Sales]]*Sheet1[[#This Row],[Discount]]</f>
        <v>0</v>
      </c>
      <c r="V632" s="4">
        <f>Sheet1[[#This Row],[Total Sales]]-Sheet1[[#This Row],[Total Sales]]*Sheet1[[#This Row],[Discount]]</f>
        <v>478</v>
      </c>
      <c r="W632" s="4">
        <f>Sheet1[[#This Row],[Quantity]]*Sheet1[[#This Row],[Profit]]</f>
        <v>9.5448000000000004</v>
      </c>
      <c r="X632" s="5">
        <f>Sheet1[[#This Row],[Total Profit]]/Sheet1[[#This Row],[Sales After Discount]]</f>
        <v>1.9968200836820084E-2</v>
      </c>
      <c r="Y632" s="4">
        <f>Sheet1[[#This Row],[Shipping_cost]]*Sheet1[[#This Row],[Quantity]]</f>
        <v>40.159999999999997</v>
      </c>
      <c r="Z632" s="4">
        <f>Sheet1[[#This Row],[Total Profit]]-Sheet1[[#This Row],[Total Shipping Cost]]</f>
        <v>-30.615199999999994</v>
      </c>
      <c r="AA632" s="4" t="str">
        <f>IF(Sheet1[[#This Row],[Net Profit]]&gt;0,"Profit","Loss")</f>
        <v>Loss</v>
      </c>
    </row>
    <row r="633" spans="1:27" x14ac:dyDescent="0.25">
      <c r="A633" t="s">
        <v>883</v>
      </c>
      <c r="B633" s="1">
        <v>40589</v>
      </c>
      <c r="C633" s="1">
        <v>40595</v>
      </c>
      <c r="D633" t="s">
        <v>1</v>
      </c>
      <c r="E633" t="s">
        <v>217</v>
      </c>
      <c r="F633" t="s">
        <v>3</v>
      </c>
      <c r="G633" t="s">
        <v>59</v>
      </c>
      <c r="H633" t="s">
        <v>60</v>
      </c>
      <c r="I633" t="s">
        <v>14</v>
      </c>
      <c r="J633" t="s">
        <v>61</v>
      </c>
      <c r="K633" t="s">
        <v>38</v>
      </c>
      <c r="L633" t="s">
        <v>77</v>
      </c>
      <c r="M633">
        <v>137</v>
      </c>
      <c r="N633">
        <v>2</v>
      </c>
      <c r="O633">
        <v>0.25</v>
      </c>
      <c r="P633">
        <v>-1.845</v>
      </c>
      <c r="Q633">
        <v>16.420000000000002</v>
      </c>
      <c r="R633" t="s">
        <v>51</v>
      </c>
      <c r="S633">
        <f>Sheet1[[#This Row],[Ship_date]]-Sheet1[[#This Row],[Order_date]]</f>
        <v>6</v>
      </c>
      <c r="T633">
        <f>Sheet1[[#This Row],[Quantity]]*Sheet1[[#This Row],[Sales]]</f>
        <v>274</v>
      </c>
      <c r="U633">
        <f>Sheet1[[#This Row],[Total Sales]]*Sheet1[[#This Row],[Discount]]</f>
        <v>68.5</v>
      </c>
      <c r="V633" s="4">
        <f>Sheet1[[#This Row],[Total Sales]]-Sheet1[[#This Row],[Total Sales]]*Sheet1[[#This Row],[Discount]]</f>
        <v>205.5</v>
      </c>
      <c r="W633" s="4">
        <f>Sheet1[[#This Row],[Quantity]]*Sheet1[[#This Row],[Profit]]</f>
        <v>-3.69</v>
      </c>
      <c r="X633" s="5">
        <f>Sheet1[[#This Row],[Total Profit]]/Sheet1[[#This Row],[Sales After Discount]]</f>
        <v>-1.7956204379562045E-2</v>
      </c>
      <c r="Y633" s="4">
        <f>Sheet1[[#This Row],[Shipping_cost]]*Sheet1[[#This Row],[Quantity]]</f>
        <v>32.840000000000003</v>
      </c>
      <c r="Z633" s="4">
        <f>Sheet1[[#This Row],[Total Profit]]-Sheet1[[#This Row],[Total Shipping Cost]]</f>
        <v>-36.53</v>
      </c>
      <c r="AA633" s="4" t="str">
        <f>IF(Sheet1[[#This Row],[Net Profit]]&gt;0,"Profit","Loss")</f>
        <v>Loss</v>
      </c>
    </row>
    <row r="634" spans="1:27" x14ac:dyDescent="0.25">
      <c r="A634" t="s">
        <v>890</v>
      </c>
      <c r="B634" s="1">
        <v>40589</v>
      </c>
      <c r="C634" s="1">
        <v>40594</v>
      </c>
      <c r="D634" t="s">
        <v>1</v>
      </c>
      <c r="E634" t="s">
        <v>891</v>
      </c>
      <c r="F634" t="s">
        <v>3</v>
      </c>
      <c r="G634" t="s">
        <v>892</v>
      </c>
      <c r="H634" t="s">
        <v>893</v>
      </c>
      <c r="I634" t="s">
        <v>6</v>
      </c>
      <c r="J634" t="s">
        <v>6</v>
      </c>
      <c r="K634" t="s">
        <v>38</v>
      </c>
      <c r="L634" t="s">
        <v>39</v>
      </c>
      <c r="M634">
        <v>209</v>
      </c>
      <c r="N634">
        <v>4</v>
      </c>
      <c r="O634">
        <v>0</v>
      </c>
      <c r="P634">
        <v>4.08</v>
      </c>
      <c r="Q634">
        <v>15.22</v>
      </c>
      <c r="R634" t="s">
        <v>9</v>
      </c>
      <c r="S634">
        <f>Sheet1[[#This Row],[Ship_date]]-Sheet1[[#This Row],[Order_date]]</f>
        <v>5</v>
      </c>
      <c r="T634">
        <f>Sheet1[[#This Row],[Quantity]]*Sheet1[[#This Row],[Sales]]</f>
        <v>836</v>
      </c>
      <c r="U634">
        <f>Sheet1[[#This Row],[Total Sales]]*Sheet1[[#This Row],[Discount]]</f>
        <v>0</v>
      </c>
      <c r="V634" s="4">
        <f>Sheet1[[#This Row],[Total Sales]]-Sheet1[[#This Row],[Total Sales]]*Sheet1[[#This Row],[Discount]]</f>
        <v>836</v>
      </c>
      <c r="W634" s="4">
        <f>Sheet1[[#This Row],[Quantity]]*Sheet1[[#This Row],[Profit]]</f>
        <v>16.32</v>
      </c>
      <c r="X634" s="5">
        <f>Sheet1[[#This Row],[Total Profit]]/Sheet1[[#This Row],[Sales After Discount]]</f>
        <v>1.9521531100478468E-2</v>
      </c>
      <c r="Y634" s="4">
        <f>Sheet1[[#This Row],[Shipping_cost]]*Sheet1[[#This Row],[Quantity]]</f>
        <v>60.88</v>
      </c>
      <c r="Z634" s="4">
        <f>Sheet1[[#This Row],[Total Profit]]-Sheet1[[#This Row],[Total Shipping Cost]]</f>
        <v>-44.56</v>
      </c>
      <c r="AA634" s="4" t="str">
        <f>IF(Sheet1[[#This Row],[Net Profit]]&gt;0,"Profit","Loss")</f>
        <v>Loss</v>
      </c>
    </row>
    <row r="635" spans="1:27" x14ac:dyDescent="0.25">
      <c r="A635" t="s">
        <v>888</v>
      </c>
      <c r="B635" s="1">
        <v>40589</v>
      </c>
      <c r="C635" s="1">
        <v>40593</v>
      </c>
      <c r="D635" t="s">
        <v>1</v>
      </c>
      <c r="E635" t="s">
        <v>889</v>
      </c>
      <c r="F635" t="s">
        <v>43</v>
      </c>
      <c r="G635" t="s">
        <v>740</v>
      </c>
      <c r="H635" t="s">
        <v>126</v>
      </c>
      <c r="I635" t="s">
        <v>127</v>
      </c>
      <c r="J635" t="s">
        <v>192</v>
      </c>
      <c r="K635" t="s">
        <v>38</v>
      </c>
      <c r="L635" t="s">
        <v>82</v>
      </c>
      <c r="M635">
        <v>240</v>
      </c>
      <c r="N635">
        <v>3</v>
      </c>
      <c r="O635">
        <v>0</v>
      </c>
      <c r="P635">
        <v>86.389200000000002</v>
      </c>
      <c r="Q635">
        <v>13.45</v>
      </c>
      <c r="R635" t="s">
        <v>9</v>
      </c>
      <c r="S635">
        <f>Sheet1[[#This Row],[Ship_date]]-Sheet1[[#This Row],[Order_date]]</f>
        <v>4</v>
      </c>
      <c r="T635">
        <f>Sheet1[[#This Row],[Quantity]]*Sheet1[[#This Row],[Sales]]</f>
        <v>720</v>
      </c>
      <c r="U635">
        <f>Sheet1[[#This Row],[Total Sales]]*Sheet1[[#This Row],[Discount]]</f>
        <v>0</v>
      </c>
      <c r="V635" s="4">
        <f>Sheet1[[#This Row],[Total Sales]]-Sheet1[[#This Row],[Total Sales]]*Sheet1[[#This Row],[Discount]]</f>
        <v>720</v>
      </c>
      <c r="W635" s="4">
        <f>Sheet1[[#This Row],[Quantity]]*Sheet1[[#This Row],[Profit]]</f>
        <v>259.16759999999999</v>
      </c>
      <c r="X635" s="5">
        <f>Sheet1[[#This Row],[Total Profit]]/Sheet1[[#This Row],[Sales After Discount]]</f>
        <v>0.35995499999999997</v>
      </c>
      <c r="Y635" s="4">
        <f>Sheet1[[#This Row],[Shipping_cost]]*Sheet1[[#This Row],[Quantity]]</f>
        <v>40.349999999999994</v>
      </c>
      <c r="Z635" s="4">
        <f>Sheet1[[#This Row],[Total Profit]]-Sheet1[[#This Row],[Total Shipping Cost]]</f>
        <v>218.8176</v>
      </c>
      <c r="AA635" s="4" t="str">
        <f>IF(Sheet1[[#This Row],[Net Profit]]&gt;0,"Profit","Loss")</f>
        <v>Profit</v>
      </c>
    </row>
    <row r="636" spans="1:27" x14ac:dyDescent="0.25">
      <c r="A636" t="s">
        <v>890</v>
      </c>
      <c r="B636" s="1">
        <v>40589</v>
      </c>
      <c r="C636" s="1">
        <v>40594</v>
      </c>
      <c r="D636" t="s">
        <v>1</v>
      </c>
      <c r="E636" t="s">
        <v>891</v>
      </c>
      <c r="F636" t="s">
        <v>3</v>
      </c>
      <c r="G636" t="s">
        <v>892</v>
      </c>
      <c r="H636" t="s">
        <v>893</v>
      </c>
      <c r="I636" t="s">
        <v>6</v>
      </c>
      <c r="J636" t="s">
        <v>6</v>
      </c>
      <c r="K636" t="s">
        <v>7</v>
      </c>
      <c r="L636" t="s">
        <v>8</v>
      </c>
      <c r="M636">
        <v>135</v>
      </c>
      <c r="N636">
        <v>1</v>
      </c>
      <c r="O636">
        <v>0</v>
      </c>
      <c r="P636">
        <v>63.24</v>
      </c>
      <c r="Q636">
        <v>13.08</v>
      </c>
      <c r="R636" t="s">
        <v>9</v>
      </c>
      <c r="S636">
        <f>Sheet1[[#This Row],[Ship_date]]-Sheet1[[#This Row],[Order_date]]</f>
        <v>5</v>
      </c>
      <c r="T636">
        <f>Sheet1[[#This Row],[Quantity]]*Sheet1[[#This Row],[Sales]]</f>
        <v>135</v>
      </c>
      <c r="U636">
        <f>Sheet1[[#This Row],[Total Sales]]*Sheet1[[#This Row],[Discount]]</f>
        <v>0</v>
      </c>
      <c r="V636" s="4">
        <f>Sheet1[[#This Row],[Total Sales]]-Sheet1[[#This Row],[Total Sales]]*Sheet1[[#This Row],[Discount]]</f>
        <v>135</v>
      </c>
      <c r="W636" s="4">
        <f>Sheet1[[#This Row],[Quantity]]*Sheet1[[#This Row],[Profit]]</f>
        <v>63.24</v>
      </c>
      <c r="X636" s="5">
        <f>Sheet1[[#This Row],[Total Profit]]/Sheet1[[#This Row],[Sales After Discount]]</f>
        <v>0.46844444444444444</v>
      </c>
      <c r="Y636" s="4">
        <f>Sheet1[[#This Row],[Shipping_cost]]*Sheet1[[#This Row],[Quantity]]</f>
        <v>13.08</v>
      </c>
      <c r="Z636" s="4">
        <f>Sheet1[[#This Row],[Total Profit]]-Sheet1[[#This Row],[Total Shipping Cost]]</f>
        <v>50.160000000000004</v>
      </c>
      <c r="AA636" s="4" t="str">
        <f>IF(Sheet1[[#This Row],[Net Profit]]&gt;0,"Profit","Loss")</f>
        <v>Profit</v>
      </c>
    </row>
    <row r="637" spans="1:27" x14ac:dyDescent="0.25">
      <c r="A637" t="s">
        <v>890</v>
      </c>
      <c r="B637" s="1">
        <v>40589</v>
      </c>
      <c r="C637" s="1">
        <v>40594</v>
      </c>
      <c r="D637" t="s">
        <v>1</v>
      </c>
      <c r="E637" t="s">
        <v>891</v>
      </c>
      <c r="F637" t="s">
        <v>3</v>
      </c>
      <c r="G637" t="s">
        <v>892</v>
      </c>
      <c r="H637" t="s">
        <v>893</v>
      </c>
      <c r="I637" t="s">
        <v>6</v>
      </c>
      <c r="J637" t="s">
        <v>6</v>
      </c>
      <c r="K637" t="s">
        <v>7</v>
      </c>
      <c r="L637" t="s">
        <v>91</v>
      </c>
      <c r="M637">
        <v>158</v>
      </c>
      <c r="N637">
        <v>6</v>
      </c>
      <c r="O637">
        <v>0</v>
      </c>
      <c r="P637">
        <v>64.8</v>
      </c>
      <c r="Q637">
        <v>10.16</v>
      </c>
      <c r="R637" t="s">
        <v>9</v>
      </c>
      <c r="S637">
        <f>Sheet1[[#This Row],[Ship_date]]-Sheet1[[#This Row],[Order_date]]</f>
        <v>5</v>
      </c>
      <c r="T637">
        <f>Sheet1[[#This Row],[Quantity]]*Sheet1[[#This Row],[Sales]]</f>
        <v>948</v>
      </c>
      <c r="U637">
        <f>Sheet1[[#This Row],[Total Sales]]*Sheet1[[#This Row],[Discount]]</f>
        <v>0</v>
      </c>
      <c r="V637" s="4">
        <f>Sheet1[[#This Row],[Total Sales]]-Sheet1[[#This Row],[Total Sales]]*Sheet1[[#This Row],[Discount]]</f>
        <v>948</v>
      </c>
      <c r="W637" s="4">
        <f>Sheet1[[#This Row],[Quantity]]*Sheet1[[#This Row],[Profit]]</f>
        <v>388.79999999999995</v>
      </c>
      <c r="X637" s="5">
        <f>Sheet1[[#This Row],[Total Profit]]/Sheet1[[#This Row],[Sales After Discount]]</f>
        <v>0.41012658227848098</v>
      </c>
      <c r="Y637" s="4">
        <f>Sheet1[[#This Row],[Shipping_cost]]*Sheet1[[#This Row],[Quantity]]</f>
        <v>60.96</v>
      </c>
      <c r="Z637" s="4">
        <f>Sheet1[[#This Row],[Total Profit]]-Sheet1[[#This Row],[Total Shipping Cost]]</f>
        <v>327.84</v>
      </c>
      <c r="AA637" s="4" t="str">
        <f>IF(Sheet1[[#This Row],[Net Profit]]&gt;0,"Profit","Loss")</f>
        <v>Profit</v>
      </c>
    </row>
    <row r="638" spans="1:27" x14ac:dyDescent="0.25">
      <c r="A638" t="s">
        <v>890</v>
      </c>
      <c r="B638" s="1">
        <v>40589</v>
      </c>
      <c r="C638" s="1">
        <v>40594</v>
      </c>
      <c r="D638" t="s">
        <v>1</v>
      </c>
      <c r="E638" t="s">
        <v>891</v>
      </c>
      <c r="F638" t="s">
        <v>3</v>
      </c>
      <c r="G638" t="s">
        <v>892</v>
      </c>
      <c r="H638" t="s">
        <v>893</v>
      </c>
      <c r="I638" t="s">
        <v>6</v>
      </c>
      <c r="J638" t="s">
        <v>6</v>
      </c>
      <c r="K638" t="s">
        <v>7</v>
      </c>
      <c r="L638" t="s">
        <v>44</v>
      </c>
      <c r="M638">
        <v>133</v>
      </c>
      <c r="N638">
        <v>2</v>
      </c>
      <c r="O638">
        <v>0</v>
      </c>
      <c r="P638">
        <v>1.32</v>
      </c>
      <c r="Q638">
        <v>9.99</v>
      </c>
      <c r="R638" t="s">
        <v>9</v>
      </c>
      <c r="S638">
        <f>Sheet1[[#This Row],[Ship_date]]-Sheet1[[#This Row],[Order_date]]</f>
        <v>5</v>
      </c>
      <c r="T638">
        <f>Sheet1[[#This Row],[Quantity]]*Sheet1[[#This Row],[Sales]]</f>
        <v>266</v>
      </c>
      <c r="U638">
        <f>Sheet1[[#This Row],[Total Sales]]*Sheet1[[#This Row],[Discount]]</f>
        <v>0</v>
      </c>
      <c r="V638" s="4">
        <f>Sheet1[[#This Row],[Total Sales]]-Sheet1[[#This Row],[Total Sales]]*Sheet1[[#This Row],[Discount]]</f>
        <v>266</v>
      </c>
      <c r="W638" s="4">
        <f>Sheet1[[#This Row],[Quantity]]*Sheet1[[#This Row],[Profit]]</f>
        <v>2.64</v>
      </c>
      <c r="X638" s="5">
        <f>Sheet1[[#This Row],[Total Profit]]/Sheet1[[#This Row],[Sales After Discount]]</f>
        <v>9.9248120300751887E-3</v>
      </c>
      <c r="Y638" s="4">
        <f>Sheet1[[#This Row],[Shipping_cost]]*Sheet1[[#This Row],[Quantity]]</f>
        <v>19.98</v>
      </c>
      <c r="Z638" s="4">
        <f>Sheet1[[#This Row],[Total Profit]]-Sheet1[[#This Row],[Total Shipping Cost]]</f>
        <v>-17.34</v>
      </c>
      <c r="AA638" s="4" t="str">
        <f>IF(Sheet1[[#This Row],[Net Profit]]&gt;0,"Profit","Loss")</f>
        <v>Loss</v>
      </c>
    </row>
    <row r="639" spans="1:27" x14ac:dyDescent="0.25">
      <c r="A639" t="s">
        <v>890</v>
      </c>
      <c r="B639" s="1">
        <v>40589</v>
      </c>
      <c r="C639" s="1">
        <v>40594</v>
      </c>
      <c r="D639" t="s">
        <v>1</v>
      </c>
      <c r="E639" t="s">
        <v>891</v>
      </c>
      <c r="F639" t="s">
        <v>3</v>
      </c>
      <c r="G639" t="s">
        <v>892</v>
      </c>
      <c r="H639" t="s">
        <v>893</v>
      </c>
      <c r="I639" t="s">
        <v>6</v>
      </c>
      <c r="J639" t="s">
        <v>6</v>
      </c>
      <c r="K639" t="s">
        <v>7</v>
      </c>
      <c r="L639" t="s">
        <v>91</v>
      </c>
      <c r="M639">
        <v>99</v>
      </c>
      <c r="N639">
        <v>2</v>
      </c>
      <c r="O639">
        <v>0</v>
      </c>
      <c r="P639">
        <v>23.82</v>
      </c>
      <c r="Q639">
        <v>9.19</v>
      </c>
      <c r="R639" t="s">
        <v>9</v>
      </c>
      <c r="S639">
        <f>Sheet1[[#This Row],[Ship_date]]-Sheet1[[#This Row],[Order_date]]</f>
        <v>5</v>
      </c>
      <c r="T639">
        <f>Sheet1[[#This Row],[Quantity]]*Sheet1[[#This Row],[Sales]]</f>
        <v>198</v>
      </c>
      <c r="U639">
        <f>Sheet1[[#This Row],[Total Sales]]*Sheet1[[#This Row],[Discount]]</f>
        <v>0</v>
      </c>
      <c r="V639" s="4">
        <f>Sheet1[[#This Row],[Total Sales]]-Sheet1[[#This Row],[Total Sales]]*Sheet1[[#This Row],[Discount]]</f>
        <v>198</v>
      </c>
      <c r="W639" s="4">
        <f>Sheet1[[#This Row],[Quantity]]*Sheet1[[#This Row],[Profit]]</f>
        <v>47.64</v>
      </c>
      <c r="X639" s="5">
        <f>Sheet1[[#This Row],[Total Profit]]/Sheet1[[#This Row],[Sales After Discount]]</f>
        <v>0.2406060606060606</v>
      </c>
      <c r="Y639" s="4">
        <f>Sheet1[[#This Row],[Shipping_cost]]*Sheet1[[#This Row],[Quantity]]</f>
        <v>18.38</v>
      </c>
      <c r="Z639" s="4">
        <f>Sheet1[[#This Row],[Total Profit]]-Sheet1[[#This Row],[Total Shipping Cost]]</f>
        <v>29.26</v>
      </c>
      <c r="AA639" s="4" t="str">
        <f>IF(Sheet1[[#This Row],[Net Profit]]&gt;0,"Profit","Loss")</f>
        <v>Profit</v>
      </c>
    </row>
    <row r="640" spans="1:27" x14ac:dyDescent="0.25">
      <c r="A640" t="s">
        <v>886</v>
      </c>
      <c r="B640" s="1">
        <v>40589</v>
      </c>
      <c r="C640" s="1">
        <v>40595</v>
      </c>
      <c r="D640" t="s">
        <v>1</v>
      </c>
      <c r="E640" t="s">
        <v>887</v>
      </c>
      <c r="F640" t="s">
        <v>43</v>
      </c>
      <c r="G640" t="s">
        <v>705</v>
      </c>
      <c r="H640" t="s">
        <v>276</v>
      </c>
      <c r="I640" t="s">
        <v>29</v>
      </c>
      <c r="J640" t="s">
        <v>102</v>
      </c>
      <c r="K640" t="s">
        <v>32</v>
      </c>
      <c r="L640" t="s">
        <v>33</v>
      </c>
      <c r="M640">
        <v>127</v>
      </c>
      <c r="N640">
        <v>3</v>
      </c>
      <c r="O640">
        <v>0</v>
      </c>
      <c r="P640">
        <v>19.079999999999998</v>
      </c>
      <c r="Q640">
        <v>8.5299999999999994</v>
      </c>
      <c r="R640" t="s">
        <v>9</v>
      </c>
      <c r="S640">
        <f>Sheet1[[#This Row],[Ship_date]]-Sheet1[[#This Row],[Order_date]]</f>
        <v>6</v>
      </c>
      <c r="T640">
        <f>Sheet1[[#This Row],[Quantity]]*Sheet1[[#This Row],[Sales]]</f>
        <v>381</v>
      </c>
      <c r="U640">
        <f>Sheet1[[#This Row],[Total Sales]]*Sheet1[[#This Row],[Discount]]</f>
        <v>0</v>
      </c>
      <c r="V640" s="4">
        <f>Sheet1[[#This Row],[Total Sales]]-Sheet1[[#This Row],[Total Sales]]*Sheet1[[#This Row],[Discount]]</f>
        <v>381</v>
      </c>
      <c r="W640" s="4">
        <f>Sheet1[[#This Row],[Quantity]]*Sheet1[[#This Row],[Profit]]</f>
        <v>57.239999999999995</v>
      </c>
      <c r="X640" s="5">
        <f>Sheet1[[#This Row],[Total Profit]]/Sheet1[[#This Row],[Sales After Discount]]</f>
        <v>0.15023622047244092</v>
      </c>
      <c r="Y640" s="4">
        <f>Sheet1[[#This Row],[Shipping_cost]]*Sheet1[[#This Row],[Quantity]]</f>
        <v>25.589999999999996</v>
      </c>
      <c r="Z640" s="4">
        <f>Sheet1[[#This Row],[Total Profit]]-Sheet1[[#This Row],[Total Shipping Cost]]</f>
        <v>31.65</v>
      </c>
      <c r="AA640" s="4" t="str">
        <f>IF(Sheet1[[#This Row],[Net Profit]]&gt;0,"Profit","Loss")</f>
        <v>Profit</v>
      </c>
    </row>
    <row r="641" spans="1:27" x14ac:dyDescent="0.25">
      <c r="A641" t="s">
        <v>890</v>
      </c>
      <c r="B641" s="1">
        <v>40589</v>
      </c>
      <c r="C641" s="1">
        <v>40594</v>
      </c>
      <c r="D641" t="s">
        <v>1</v>
      </c>
      <c r="E641" t="s">
        <v>891</v>
      </c>
      <c r="F641" t="s">
        <v>3</v>
      </c>
      <c r="G641" t="s">
        <v>892</v>
      </c>
      <c r="H641" t="s">
        <v>893</v>
      </c>
      <c r="I641" t="s">
        <v>6</v>
      </c>
      <c r="J641" t="s">
        <v>6</v>
      </c>
      <c r="K641" t="s">
        <v>7</v>
      </c>
      <c r="L641" t="s">
        <v>31</v>
      </c>
      <c r="M641">
        <v>95</v>
      </c>
      <c r="N641">
        <v>4</v>
      </c>
      <c r="O641">
        <v>0</v>
      </c>
      <c r="P641">
        <v>9.48</v>
      </c>
      <c r="Q641">
        <v>6.19</v>
      </c>
      <c r="R641" t="s">
        <v>9</v>
      </c>
      <c r="S641">
        <f>Sheet1[[#This Row],[Ship_date]]-Sheet1[[#This Row],[Order_date]]</f>
        <v>5</v>
      </c>
      <c r="T641">
        <f>Sheet1[[#This Row],[Quantity]]*Sheet1[[#This Row],[Sales]]</f>
        <v>380</v>
      </c>
      <c r="U641">
        <f>Sheet1[[#This Row],[Total Sales]]*Sheet1[[#This Row],[Discount]]</f>
        <v>0</v>
      </c>
      <c r="V641" s="4">
        <f>Sheet1[[#This Row],[Total Sales]]-Sheet1[[#This Row],[Total Sales]]*Sheet1[[#This Row],[Discount]]</f>
        <v>380</v>
      </c>
      <c r="W641" s="4">
        <f>Sheet1[[#This Row],[Quantity]]*Sheet1[[#This Row],[Profit]]</f>
        <v>37.92</v>
      </c>
      <c r="X641" s="5">
        <f>Sheet1[[#This Row],[Total Profit]]/Sheet1[[#This Row],[Sales After Discount]]</f>
        <v>9.9789473684210525E-2</v>
      </c>
      <c r="Y641" s="4">
        <f>Sheet1[[#This Row],[Shipping_cost]]*Sheet1[[#This Row],[Quantity]]</f>
        <v>24.76</v>
      </c>
      <c r="Z641" s="4">
        <f>Sheet1[[#This Row],[Total Profit]]-Sheet1[[#This Row],[Total Shipping Cost]]</f>
        <v>13.16</v>
      </c>
      <c r="AA641" s="4" t="str">
        <f>IF(Sheet1[[#This Row],[Net Profit]]&gt;0,"Profit","Loss")</f>
        <v>Profit</v>
      </c>
    </row>
    <row r="642" spans="1:27" x14ac:dyDescent="0.25">
      <c r="A642" t="s">
        <v>890</v>
      </c>
      <c r="B642" s="1">
        <v>40589</v>
      </c>
      <c r="C642" s="1">
        <v>40594</v>
      </c>
      <c r="D642" t="s">
        <v>1</v>
      </c>
      <c r="E642" t="s">
        <v>891</v>
      </c>
      <c r="F642" t="s">
        <v>3</v>
      </c>
      <c r="G642" t="s">
        <v>892</v>
      </c>
      <c r="H642" t="s">
        <v>893</v>
      </c>
      <c r="I642" t="s">
        <v>6</v>
      </c>
      <c r="J642" t="s">
        <v>6</v>
      </c>
      <c r="K642" t="s">
        <v>32</v>
      </c>
      <c r="L642" t="s">
        <v>33</v>
      </c>
      <c r="M642">
        <v>55</v>
      </c>
      <c r="N642">
        <v>1</v>
      </c>
      <c r="O642">
        <v>0</v>
      </c>
      <c r="P642">
        <v>18.72</v>
      </c>
      <c r="Q642">
        <v>5.69</v>
      </c>
      <c r="R642" t="s">
        <v>9</v>
      </c>
      <c r="S642">
        <f>Sheet1[[#This Row],[Ship_date]]-Sheet1[[#This Row],[Order_date]]</f>
        <v>5</v>
      </c>
      <c r="T642">
        <f>Sheet1[[#This Row],[Quantity]]*Sheet1[[#This Row],[Sales]]</f>
        <v>55</v>
      </c>
      <c r="U642">
        <f>Sheet1[[#This Row],[Total Sales]]*Sheet1[[#This Row],[Discount]]</f>
        <v>0</v>
      </c>
      <c r="V642" s="4">
        <f>Sheet1[[#This Row],[Total Sales]]-Sheet1[[#This Row],[Total Sales]]*Sheet1[[#This Row],[Discount]]</f>
        <v>55</v>
      </c>
      <c r="W642" s="4">
        <f>Sheet1[[#This Row],[Quantity]]*Sheet1[[#This Row],[Profit]]</f>
        <v>18.72</v>
      </c>
      <c r="X642" s="5">
        <f>Sheet1[[#This Row],[Total Profit]]/Sheet1[[#This Row],[Sales After Discount]]</f>
        <v>0.34036363636363637</v>
      </c>
      <c r="Y642" s="4">
        <f>Sheet1[[#This Row],[Shipping_cost]]*Sheet1[[#This Row],[Quantity]]</f>
        <v>5.69</v>
      </c>
      <c r="Z642" s="4">
        <f>Sheet1[[#This Row],[Total Profit]]-Sheet1[[#This Row],[Total Shipping Cost]]</f>
        <v>13.029999999999998</v>
      </c>
      <c r="AA642" s="4" t="str">
        <f>IF(Sheet1[[#This Row],[Net Profit]]&gt;0,"Profit","Loss")</f>
        <v>Profit</v>
      </c>
    </row>
    <row r="643" spans="1:27" x14ac:dyDescent="0.25">
      <c r="A643" t="s">
        <v>888</v>
      </c>
      <c r="B643" s="1">
        <v>40589</v>
      </c>
      <c r="C643" s="1">
        <v>40593</v>
      </c>
      <c r="D643" t="s">
        <v>1</v>
      </c>
      <c r="E643" t="s">
        <v>889</v>
      </c>
      <c r="F643" t="s">
        <v>43</v>
      </c>
      <c r="G643" t="s">
        <v>740</v>
      </c>
      <c r="H643" t="s">
        <v>126</v>
      </c>
      <c r="I643" t="s">
        <v>127</v>
      </c>
      <c r="J643" t="s">
        <v>192</v>
      </c>
      <c r="K643" t="s">
        <v>7</v>
      </c>
      <c r="L643" t="s">
        <v>44</v>
      </c>
      <c r="M643">
        <v>82</v>
      </c>
      <c r="N643">
        <v>2</v>
      </c>
      <c r="O643">
        <v>0</v>
      </c>
      <c r="P643">
        <v>22.948799999999999</v>
      </c>
      <c r="Q643">
        <v>4.71</v>
      </c>
      <c r="R643" t="s">
        <v>9</v>
      </c>
      <c r="S643">
        <f>Sheet1[[#This Row],[Ship_date]]-Sheet1[[#This Row],[Order_date]]</f>
        <v>4</v>
      </c>
      <c r="T643">
        <f>Sheet1[[#This Row],[Quantity]]*Sheet1[[#This Row],[Sales]]</f>
        <v>164</v>
      </c>
      <c r="U643">
        <f>Sheet1[[#This Row],[Total Sales]]*Sheet1[[#This Row],[Discount]]</f>
        <v>0</v>
      </c>
      <c r="V643" s="4">
        <f>Sheet1[[#This Row],[Total Sales]]-Sheet1[[#This Row],[Total Sales]]*Sheet1[[#This Row],[Discount]]</f>
        <v>164</v>
      </c>
      <c r="W643" s="4">
        <f>Sheet1[[#This Row],[Quantity]]*Sheet1[[#This Row],[Profit]]</f>
        <v>45.897599999999997</v>
      </c>
      <c r="X643" s="5">
        <f>Sheet1[[#This Row],[Total Profit]]/Sheet1[[#This Row],[Sales After Discount]]</f>
        <v>0.27986341463414632</v>
      </c>
      <c r="Y643" s="4">
        <f>Sheet1[[#This Row],[Shipping_cost]]*Sheet1[[#This Row],[Quantity]]</f>
        <v>9.42</v>
      </c>
      <c r="Z643" s="4">
        <f>Sheet1[[#This Row],[Total Profit]]-Sheet1[[#This Row],[Total Shipping Cost]]</f>
        <v>36.477599999999995</v>
      </c>
      <c r="AA643" s="4" t="str">
        <f>IF(Sheet1[[#This Row],[Net Profit]]&gt;0,"Profit","Loss")</f>
        <v>Profit</v>
      </c>
    </row>
    <row r="644" spans="1:27" x14ac:dyDescent="0.25">
      <c r="A644" t="s">
        <v>890</v>
      </c>
      <c r="B644" s="1">
        <v>40589</v>
      </c>
      <c r="C644" s="1">
        <v>40594</v>
      </c>
      <c r="D644" t="s">
        <v>1</v>
      </c>
      <c r="E644" t="s">
        <v>891</v>
      </c>
      <c r="F644" t="s">
        <v>3</v>
      </c>
      <c r="G644" t="s">
        <v>892</v>
      </c>
      <c r="H644" t="s">
        <v>893</v>
      </c>
      <c r="I644" t="s">
        <v>6</v>
      </c>
      <c r="J644" t="s">
        <v>6</v>
      </c>
      <c r="K644" t="s">
        <v>7</v>
      </c>
      <c r="L644" t="s">
        <v>31</v>
      </c>
      <c r="M644">
        <v>31</v>
      </c>
      <c r="N644">
        <v>1</v>
      </c>
      <c r="O644">
        <v>0</v>
      </c>
      <c r="P644">
        <v>3.42</v>
      </c>
      <c r="Q644">
        <v>1.95</v>
      </c>
      <c r="R644" t="s">
        <v>9</v>
      </c>
      <c r="S644">
        <f>Sheet1[[#This Row],[Ship_date]]-Sheet1[[#This Row],[Order_date]]</f>
        <v>5</v>
      </c>
      <c r="T644">
        <f>Sheet1[[#This Row],[Quantity]]*Sheet1[[#This Row],[Sales]]</f>
        <v>31</v>
      </c>
      <c r="U644">
        <f>Sheet1[[#This Row],[Total Sales]]*Sheet1[[#This Row],[Discount]]</f>
        <v>0</v>
      </c>
      <c r="V644" s="4">
        <f>Sheet1[[#This Row],[Total Sales]]-Sheet1[[#This Row],[Total Sales]]*Sheet1[[#This Row],[Discount]]</f>
        <v>31</v>
      </c>
      <c r="W644" s="4">
        <f>Sheet1[[#This Row],[Quantity]]*Sheet1[[#This Row],[Profit]]</f>
        <v>3.42</v>
      </c>
      <c r="X644" s="5">
        <f>Sheet1[[#This Row],[Total Profit]]/Sheet1[[#This Row],[Sales After Discount]]</f>
        <v>0.11032258064516129</v>
      </c>
      <c r="Y644" s="4">
        <f>Sheet1[[#This Row],[Shipping_cost]]*Sheet1[[#This Row],[Quantity]]</f>
        <v>1.95</v>
      </c>
      <c r="Z644" s="4">
        <f>Sheet1[[#This Row],[Total Profit]]-Sheet1[[#This Row],[Total Shipping Cost]]</f>
        <v>1.47</v>
      </c>
      <c r="AA644" s="4" t="str">
        <f>IF(Sheet1[[#This Row],[Net Profit]]&gt;0,"Profit","Loss")</f>
        <v>Profit</v>
      </c>
    </row>
    <row r="645" spans="1:27" x14ac:dyDescent="0.25">
      <c r="A645" t="s">
        <v>894</v>
      </c>
      <c r="B645" s="1">
        <v>40589</v>
      </c>
      <c r="C645" s="1">
        <v>40594</v>
      </c>
      <c r="D645" t="s">
        <v>18</v>
      </c>
      <c r="E645" t="s">
        <v>789</v>
      </c>
      <c r="F645" t="s">
        <v>3</v>
      </c>
      <c r="G645" t="s">
        <v>125</v>
      </c>
      <c r="H645" t="s">
        <v>126</v>
      </c>
      <c r="I645" t="s">
        <v>127</v>
      </c>
      <c r="J645" t="s">
        <v>76</v>
      </c>
      <c r="K645" t="s">
        <v>7</v>
      </c>
      <c r="L645" t="s">
        <v>31</v>
      </c>
      <c r="M645">
        <v>16</v>
      </c>
      <c r="N645">
        <v>3</v>
      </c>
      <c r="O645">
        <v>0.2</v>
      </c>
      <c r="P645">
        <v>6.0659999999999998</v>
      </c>
      <c r="Q645">
        <v>1.27</v>
      </c>
      <c r="R645" t="s">
        <v>23</v>
      </c>
      <c r="S645">
        <f>Sheet1[[#This Row],[Ship_date]]-Sheet1[[#This Row],[Order_date]]</f>
        <v>5</v>
      </c>
      <c r="T645">
        <f>Sheet1[[#This Row],[Quantity]]*Sheet1[[#This Row],[Sales]]</f>
        <v>48</v>
      </c>
      <c r="U645">
        <f>Sheet1[[#This Row],[Total Sales]]*Sheet1[[#This Row],[Discount]]</f>
        <v>9.6000000000000014</v>
      </c>
      <c r="V645" s="4">
        <f>Sheet1[[#This Row],[Total Sales]]-Sheet1[[#This Row],[Total Sales]]*Sheet1[[#This Row],[Discount]]</f>
        <v>38.4</v>
      </c>
      <c r="W645" s="4">
        <f>Sheet1[[#This Row],[Quantity]]*Sheet1[[#This Row],[Profit]]</f>
        <v>18.198</v>
      </c>
      <c r="X645" s="5">
        <f>Sheet1[[#This Row],[Total Profit]]/Sheet1[[#This Row],[Sales After Discount]]</f>
        <v>0.47390625000000003</v>
      </c>
      <c r="Y645" s="4">
        <f>Sheet1[[#This Row],[Shipping_cost]]*Sheet1[[#This Row],[Quantity]]</f>
        <v>3.81</v>
      </c>
      <c r="Z645" s="4">
        <f>Sheet1[[#This Row],[Total Profit]]-Sheet1[[#This Row],[Total Shipping Cost]]</f>
        <v>14.388</v>
      </c>
      <c r="AA645" s="4" t="str">
        <f>IF(Sheet1[[#This Row],[Net Profit]]&gt;0,"Profit","Loss")</f>
        <v>Profit</v>
      </c>
    </row>
    <row r="646" spans="1:27" x14ac:dyDescent="0.25">
      <c r="A646" t="s">
        <v>890</v>
      </c>
      <c r="B646" s="1">
        <v>40589</v>
      </c>
      <c r="C646" s="1">
        <v>40594</v>
      </c>
      <c r="D646" t="s">
        <v>1</v>
      </c>
      <c r="E646" t="s">
        <v>891</v>
      </c>
      <c r="F646" t="s">
        <v>3</v>
      </c>
      <c r="G646" t="s">
        <v>892</v>
      </c>
      <c r="H646" t="s">
        <v>893</v>
      </c>
      <c r="I646" t="s">
        <v>6</v>
      </c>
      <c r="J646" t="s">
        <v>6</v>
      </c>
      <c r="K646" t="s">
        <v>7</v>
      </c>
      <c r="L646" t="s">
        <v>97</v>
      </c>
      <c r="M646">
        <v>30</v>
      </c>
      <c r="N646">
        <v>2</v>
      </c>
      <c r="O646">
        <v>0</v>
      </c>
      <c r="P646">
        <v>12</v>
      </c>
      <c r="Q646">
        <v>0.95</v>
      </c>
      <c r="R646" t="s">
        <v>9</v>
      </c>
      <c r="S646">
        <f>Sheet1[[#This Row],[Ship_date]]-Sheet1[[#This Row],[Order_date]]</f>
        <v>5</v>
      </c>
      <c r="T646">
        <f>Sheet1[[#This Row],[Quantity]]*Sheet1[[#This Row],[Sales]]</f>
        <v>60</v>
      </c>
      <c r="U646">
        <f>Sheet1[[#This Row],[Total Sales]]*Sheet1[[#This Row],[Discount]]</f>
        <v>0</v>
      </c>
      <c r="V646" s="4">
        <f>Sheet1[[#This Row],[Total Sales]]-Sheet1[[#This Row],[Total Sales]]*Sheet1[[#This Row],[Discount]]</f>
        <v>60</v>
      </c>
      <c r="W646" s="4">
        <f>Sheet1[[#This Row],[Quantity]]*Sheet1[[#This Row],[Profit]]</f>
        <v>24</v>
      </c>
      <c r="X646" s="5">
        <f>Sheet1[[#This Row],[Total Profit]]/Sheet1[[#This Row],[Sales After Discount]]</f>
        <v>0.4</v>
      </c>
      <c r="Y646" s="4">
        <f>Sheet1[[#This Row],[Shipping_cost]]*Sheet1[[#This Row],[Quantity]]</f>
        <v>1.9</v>
      </c>
      <c r="Z646" s="4">
        <f>Sheet1[[#This Row],[Total Profit]]-Sheet1[[#This Row],[Total Shipping Cost]]</f>
        <v>22.1</v>
      </c>
      <c r="AA646" s="4" t="str">
        <f>IF(Sheet1[[#This Row],[Net Profit]]&gt;0,"Profit","Loss")</f>
        <v>Profit</v>
      </c>
    </row>
    <row r="647" spans="1:27" x14ac:dyDescent="0.25">
      <c r="A647" t="s">
        <v>895</v>
      </c>
      <c r="B647" s="1">
        <v>40590</v>
      </c>
      <c r="C647" s="1">
        <v>40593</v>
      </c>
      <c r="D647" t="s">
        <v>18</v>
      </c>
      <c r="E647" t="s">
        <v>896</v>
      </c>
      <c r="F647" t="s">
        <v>43</v>
      </c>
      <c r="G647" t="s">
        <v>215</v>
      </c>
      <c r="H647" t="s">
        <v>115</v>
      </c>
      <c r="I647" t="s">
        <v>29</v>
      </c>
      <c r="J647" t="s">
        <v>76</v>
      </c>
      <c r="K647" t="s">
        <v>32</v>
      </c>
      <c r="L647" t="s">
        <v>56</v>
      </c>
      <c r="M647">
        <v>4544</v>
      </c>
      <c r="N647">
        <v>11</v>
      </c>
      <c r="O647">
        <v>0.1</v>
      </c>
      <c r="P647">
        <v>1868.13</v>
      </c>
      <c r="Q647">
        <v>506.27</v>
      </c>
      <c r="R647" t="s">
        <v>9</v>
      </c>
      <c r="S647">
        <f>Sheet1[[#This Row],[Ship_date]]-Sheet1[[#This Row],[Order_date]]</f>
        <v>3</v>
      </c>
      <c r="T647">
        <f>Sheet1[[#This Row],[Quantity]]*Sheet1[[#This Row],[Sales]]</f>
        <v>49984</v>
      </c>
      <c r="U647">
        <f>Sheet1[[#This Row],[Total Sales]]*Sheet1[[#This Row],[Discount]]</f>
        <v>4998.4000000000005</v>
      </c>
      <c r="V647" s="4">
        <f>Sheet1[[#This Row],[Total Sales]]-Sheet1[[#This Row],[Total Sales]]*Sheet1[[#This Row],[Discount]]</f>
        <v>44985.599999999999</v>
      </c>
      <c r="W647" s="4">
        <f>Sheet1[[#This Row],[Quantity]]*Sheet1[[#This Row],[Profit]]</f>
        <v>20549.43</v>
      </c>
      <c r="X647" s="5">
        <f>Sheet1[[#This Row],[Total Profit]]/Sheet1[[#This Row],[Sales After Discount]]</f>
        <v>0.45680017605633805</v>
      </c>
      <c r="Y647" s="4">
        <f>Sheet1[[#This Row],[Shipping_cost]]*Sheet1[[#This Row],[Quantity]]</f>
        <v>5568.9699999999993</v>
      </c>
      <c r="Z647" s="4">
        <f>Sheet1[[#This Row],[Total Profit]]-Sheet1[[#This Row],[Total Shipping Cost]]</f>
        <v>14980.460000000001</v>
      </c>
      <c r="AA647" s="4" t="str">
        <f>IF(Sheet1[[#This Row],[Net Profit]]&gt;0,"Profit","Loss")</f>
        <v>Profit</v>
      </c>
    </row>
    <row r="648" spans="1:27" x14ac:dyDescent="0.25">
      <c r="A648" t="s">
        <v>897</v>
      </c>
      <c r="B648" s="1">
        <v>40590</v>
      </c>
      <c r="C648" s="1">
        <v>40595</v>
      </c>
      <c r="D648" t="s">
        <v>1</v>
      </c>
      <c r="E648" t="s">
        <v>898</v>
      </c>
      <c r="F648" t="s">
        <v>26</v>
      </c>
      <c r="G648" t="s">
        <v>899</v>
      </c>
      <c r="H648" t="s">
        <v>280</v>
      </c>
      <c r="I648" t="s">
        <v>14</v>
      </c>
      <c r="J648" t="s">
        <v>281</v>
      </c>
      <c r="K648" t="s">
        <v>38</v>
      </c>
      <c r="L648" t="s">
        <v>39</v>
      </c>
      <c r="M648">
        <v>1211</v>
      </c>
      <c r="N648">
        <v>7</v>
      </c>
      <c r="O648">
        <v>0</v>
      </c>
      <c r="P648">
        <v>423.78</v>
      </c>
      <c r="Q648">
        <v>113.03</v>
      </c>
      <c r="R648" t="s">
        <v>9</v>
      </c>
      <c r="S648">
        <f>Sheet1[[#This Row],[Ship_date]]-Sheet1[[#This Row],[Order_date]]</f>
        <v>5</v>
      </c>
      <c r="T648">
        <f>Sheet1[[#This Row],[Quantity]]*Sheet1[[#This Row],[Sales]]</f>
        <v>8477</v>
      </c>
      <c r="U648">
        <f>Sheet1[[#This Row],[Total Sales]]*Sheet1[[#This Row],[Discount]]</f>
        <v>0</v>
      </c>
      <c r="V648" s="4">
        <f>Sheet1[[#This Row],[Total Sales]]-Sheet1[[#This Row],[Total Sales]]*Sheet1[[#This Row],[Discount]]</f>
        <v>8477</v>
      </c>
      <c r="W648" s="4">
        <f>Sheet1[[#This Row],[Quantity]]*Sheet1[[#This Row],[Profit]]</f>
        <v>2966.46</v>
      </c>
      <c r="X648" s="5">
        <f>Sheet1[[#This Row],[Total Profit]]/Sheet1[[#This Row],[Sales After Discount]]</f>
        <v>0.34994219653179193</v>
      </c>
      <c r="Y648" s="4">
        <f>Sheet1[[#This Row],[Shipping_cost]]*Sheet1[[#This Row],[Quantity]]</f>
        <v>791.21</v>
      </c>
      <c r="Z648" s="4">
        <f>Sheet1[[#This Row],[Total Profit]]-Sheet1[[#This Row],[Total Shipping Cost]]</f>
        <v>2175.25</v>
      </c>
      <c r="AA648" s="4" t="str">
        <f>IF(Sheet1[[#This Row],[Net Profit]]&gt;0,"Profit","Loss")</f>
        <v>Profit</v>
      </c>
    </row>
    <row r="649" spans="1:27" x14ac:dyDescent="0.25">
      <c r="A649" t="s">
        <v>900</v>
      </c>
      <c r="B649" s="1">
        <v>40590</v>
      </c>
      <c r="C649" s="1">
        <v>40594</v>
      </c>
      <c r="D649" t="s">
        <v>1</v>
      </c>
      <c r="E649" t="s">
        <v>901</v>
      </c>
      <c r="F649" t="s">
        <v>43</v>
      </c>
      <c r="G649" t="s">
        <v>567</v>
      </c>
      <c r="H649" t="s">
        <v>110</v>
      </c>
      <c r="I649" t="s">
        <v>75</v>
      </c>
      <c r="J649" t="s">
        <v>111</v>
      </c>
      <c r="K649" t="s">
        <v>38</v>
      </c>
      <c r="L649" t="s">
        <v>82</v>
      </c>
      <c r="M649">
        <v>517</v>
      </c>
      <c r="N649">
        <v>3</v>
      </c>
      <c r="O649">
        <v>0</v>
      </c>
      <c r="P649">
        <v>180.96</v>
      </c>
      <c r="Q649">
        <v>48.23</v>
      </c>
      <c r="R649" t="s">
        <v>9</v>
      </c>
      <c r="S649">
        <f>Sheet1[[#This Row],[Ship_date]]-Sheet1[[#This Row],[Order_date]]</f>
        <v>4</v>
      </c>
      <c r="T649">
        <f>Sheet1[[#This Row],[Quantity]]*Sheet1[[#This Row],[Sales]]</f>
        <v>1551</v>
      </c>
      <c r="U649">
        <f>Sheet1[[#This Row],[Total Sales]]*Sheet1[[#This Row],[Discount]]</f>
        <v>0</v>
      </c>
      <c r="V649" s="4">
        <f>Sheet1[[#This Row],[Total Sales]]-Sheet1[[#This Row],[Total Sales]]*Sheet1[[#This Row],[Discount]]</f>
        <v>1551</v>
      </c>
      <c r="W649" s="4">
        <f>Sheet1[[#This Row],[Quantity]]*Sheet1[[#This Row],[Profit]]</f>
        <v>542.88</v>
      </c>
      <c r="X649" s="5">
        <f>Sheet1[[#This Row],[Total Profit]]/Sheet1[[#This Row],[Sales After Discount]]</f>
        <v>0.35001934235976789</v>
      </c>
      <c r="Y649" s="4">
        <f>Sheet1[[#This Row],[Shipping_cost]]*Sheet1[[#This Row],[Quantity]]</f>
        <v>144.69</v>
      </c>
      <c r="Z649" s="4">
        <f>Sheet1[[#This Row],[Total Profit]]-Sheet1[[#This Row],[Total Shipping Cost]]</f>
        <v>398.19</v>
      </c>
      <c r="AA649" s="4" t="str">
        <f>IF(Sheet1[[#This Row],[Net Profit]]&gt;0,"Profit","Loss")</f>
        <v>Profit</v>
      </c>
    </row>
    <row r="650" spans="1:27" x14ac:dyDescent="0.25">
      <c r="A650" t="s">
        <v>895</v>
      </c>
      <c r="B650" s="1">
        <v>40590</v>
      </c>
      <c r="C650" s="1">
        <v>40593</v>
      </c>
      <c r="D650" t="s">
        <v>18</v>
      </c>
      <c r="E650" t="s">
        <v>896</v>
      </c>
      <c r="F650" t="s">
        <v>43</v>
      </c>
      <c r="G650" t="s">
        <v>215</v>
      </c>
      <c r="H650" t="s">
        <v>115</v>
      </c>
      <c r="I650" t="s">
        <v>29</v>
      </c>
      <c r="J650" t="s">
        <v>76</v>
      </c>
      <c r="K650" t="s">
        <v>7</v>
      </c>
      <c r="L650" t="s">
        <v>44</v>
      </c>
      <c r="M650">
        <v>277</v>
      </c>
      <c r="N650">
        <v>1</v>
      </c>
      <c r="O650">
        <v>0.1</v>
      </c>
      <c r="P650">
        <v>-2.7E-2</v>
      </c>
      <c r="Q650">
        <v>27.94</v>
      </c>
      <c r="R650" t="s">
        <v>9</v>
      </c>
      <c r="S650">
        <f>Sheet1[[#This Row],[Ship_date]]-Sheet1[[#This Row],[Order_date]]</f>
        <v>3</v>
      </c>
      <c r="T650">
        <f>Sheet1[[#This Row],[Quantity]]*Sheet1[[#This Row],[Sales]]</f>
        <v>277</v>
      </c>
      <c r="U650">
        <f>Sheet1[[#This Row],[Total Sales]]*Sheet1[[#This Row],[Discount]]</f>
        <v>27.700000000000003</v>
      </c>
      <c r="V650" s="4">
        <f>Sheet1[[#This Row],[Total Sales]]-Sheet1[[#This Row],[Total Sales]]*Sheet1[[#This Row],[Discount]]</f>
        <v>249.3</v>
      </c>
      <c r="W650" s="4">
        <f>Sheet1[[#This Row],[Quantity]]*Sheet1[[#This Row],[Profit]]</f>
        <v>-2.7E-2</v>
      </c>
      <c r="X650" s="5">
        <f>Sheet1[[#This Row],[Total Profit]]/Sheet1[[#This Row],[Sales After Discount]]</f>
        <v>-1.0830324909747292E-4</v>
      </c>
      <c r="Y650" s="4">
        <f>Sheet1[[#This Row],[Shipping_cost]]*Sheet1[[#This Row],[Quantity]]</f>
        <v>27.94</v>
      </c>
      <c r="Z650" s="4">
        <f>Sheet1[[#This Row],[Total Profit]]-Sheet1[[#This Row],[Total Shipping Cost]]</f>
        <v>-27.967000000000002</v>
      </c>
      <c r="AA650" s="4" t="str">
        <f>IF(Sheet1[[#This Row],[Net Profit]]&gt;0,"Profit","Loss")</f>
        <v>Loss</v>
      </c>
    </row>
    <row r="651" spans="1:27" x14ac:dyDescent="0.25">
      <c r="A651" t="s">
        <v>902</v>
      </c>
      <c r="B651" s="1">
        <v>40590</v>
      </c>
      <c r="C651" s="1">
        <v>40595</v>
      </c>
      <c r="D651" t="s">
        <v>1</v>
      </c>
      <c r="E651" t="s">
        <v>903</v>
      </c>
      <c r="F651" t="s">
        <v>43</v>
      </c>
      <c r="G651" t="s">
        <v>332</v>
      </c>
      <c r="H651" t="s">
        <v>13</v>
      </c>
      <c r="I651" t="s">
        <v>14</v>
      </c>
      <c r="J651" t="s">
        <v>15</v>
      </c>
      <c r="K651" t="s">
        <v>38</v>
      </c>
      <c r="L651" t="s">
        <v>39</v>
      </c>
      <c r="M651">
        <v>480</v>
      </c>
      <c r="N651">
        <v>2</v>
      </c>
      <c r="O651">
        <v>0.1</v>
      </c>
      <c r="P651">
        <v>58.637999999999998</v>
      </c>
      <c r="Q651">
        <v>26.73</v>
      </c>
      <c r="R651" t="s">
        <v>9</v>
      </c>
      <c r="S651">
        <f>Sheet1[[#This Row],[Ship_date]]-Sheet1[[#This Row],[Order_date]]</f>
        <v>5</v>
      </c>
      <c r="T651">
        <f>Sheet1[[#This Row],[Quantity]]*Sheet1[[#This Row],[Sales]]</f>
        <v>960</v>
      </c>
      <c r="U651">
        <f>Sheet1[[#This Row],[Total Sales]]*Sheet1[[#This Row],[Discount]]</f>
        <v>96</v>
      </c>
      <c r="V651" s="4">
        <f>Sheet1[[#This Row],[Total Sales]]-Sheet1[[#This Row],[Total Sales]]*Sheet1[[#This Row],[Discount]]</f>
        <v>864</v>
      </c>
      <c r="W651" s="4">
        <f>Sheet1[[#This Row],[Quantity]]*Sheet1[[#This Row],[Profit]]</f>
        <v>117.276</v>
      </c>
      <c r="X651" s="5">
        <f>Sheet1[[#This Row],[Total Profit]]/Sheet1[[#This Row],[Sales After Discount]]</f>
        <v>0.13573611111111111</v>
      </c>
      <c r="Y651" s="4">
        <f>Sheet1[[#This Row],[Shipping_cost]]*Sheet1[[#This Row],[Quantity]]</f>
        <v>53.46</v>
      </c>
      <c r="Z651" s="4">
        <f>Sheet1[[#This Row],[Total Profit]]-Sheet1[[#This Row],[Total Shipping Cost]]</f>
        <v>63.815999999999995</v>
      </c>
      <c r="AA651" s="4" t="str">
        <f>IF(Sheet1[[#This Row],[Net Profit]]&gt;0,"Profit","Loss")</f>
        <v>Profit</v>
      </c>
    </row>
    <row r="652" spans="1:27" x14ac:dyDescent="0.25">
      <c r="A652" t="s">
        <v>902</v>
      </c>
      <c r="B652" s="1">
        <v>40590</v>
      </c>
      <c r="C652" s="1">
        <v>40595</v>
      </c>
      <c r="D652" t="s">
        <v>1</v>
      </c>
      <c r="E652" t="s">
        <v>903</v>
      </c>
      <c r="F652" t="s">
        <v>43</v>
      </c>
      <c r="G652" t="s">
        <v>332</v>
      </c>
      <c r="H652" t="s">
        <v>13</v>
      </c>
      <c r="I652" t="s">
        <v>14</v>
      </c>
      <c r="J652" t="s">
        <v>15</v>
      </c>
      <c r="K652" t="s">
        <v>32</v>
      </c>
      <c r="L652" t="s">
        <v>56</v>
      </c>
      <c r="M652">
        <v>476</v>
      </c>
      <c r="N652">
        <v>3</v>
      </c>
      <c r="O652">
        <v>0.1</v>
      </c>
      <c r="P652">
        <v>15.831</v>
      </c>
      <c r="Q652">
        <v>25.88</v>
      </c>
      <c r="R652" t="s">
        <v>9</v>
      </c>
      <c r="S652">
        <f>Sheet1[[#This Row],[Ship_date]]-Sheet1[[#This Row],[Order_date]]</f>
        <v>5</v>
      </c>
      <c r="T652">
        <f>Sheet1[[#This Row],[Quantity]]*Sheet1[[#This Row],[Sales]]</f>
        <v>1428</v>
      </c>
      <c r="U652">
        <f>Sheet1[[#This Row],[Total Sales]]*Sheet1[[#This Row],[Discount]]</f>
        <v>142.80000000000001</v>
      </c>
      <c r="V652" s="4">
        <f>Sheet1[[#This Row],[Total Sales]]-Sheet1[[#This Row],[Total Sales]]*Sheet1[[#This Row],[Discount]]</f>
        <v>1285.2</v>
      </c>
      <c r="W652" s="4">
        <f>Sheet1[[#This Row],[Quantity]]*Sheet1[[#This Row],[Profit]]</f>
        <v>47.492999999999995</v>
      </c>
      <c r="X652" s="5">
        <f>Sheet1[[#This Row],[Total Profit]]/Sheet1[[#This Row],[Sales After Discount]]</f>
        <v>3.695378151260504E-2</v>
      </c>
      <c r="Y652" s="4">
        <f>Sheet1[[#This Row],[Shipping_cost]]*Sheet1[[#This Row],[Quantity]]</f>
        <v>77.64</v>
      </c>
      <c r="Z652" s="4">
        <f>Sheet1[[#This Row],[Total Profit]]-Sheet1[[#This Row],[Total Shipping Cost]]</f>
        <v>-30.147000000000006</v>
      </c>
      <c r="AA652" s="4" t="str">
        <f>IF(Sheet1[[#This Row],[Net Profit]]&gt;0,"Profit","Loss")</f>
        <v>Loss</v>
      </c>
    </row>
    <row r="653" spans="1:27" x14ac:dyDescent="0.25">
      <c r="A653" t="s">
        <v>895</v>
      </c>
      <c r="B653" s="1">
        <v>40590</v>
      </c>
      <c r="C653" s="1">
        <v>40593</v>
      </c>
      <c r="D653" t="s">
        <v>18</v>
      </c>
      <c r="E653" t="s">
        <v>896</v>
      </c>
      <c r="F653" t="s">
        <v>43</v>
      </c>
      <c r="G653" t="s">
        <v>215</v>
      </c>
      <c r="H653" t="s">
        <v>115</v>
      </c>
      <c r="I653" t="s">
        <v>29</v>
      </c>
      <c r="J653" t="s">
        <v>76</v>
      </c>
      <c r="K653" t="s">
        <v>38</v>
      </c>
      <c r="L653" t="s">
        <v>77</v>
      </c>
      <c r="M653">
        <v>284</v>
      </c>
      <c r="N653">
        <v>2</v>
      </c>
      <c r="O653">
        <v>0.15</v>
      </c>
      <c r="P653">
        <v>43.371000000000002</v>
      </c>
      <c r="Q653">
        <v>23.67</v>
      </c>
      <c r="R653" t="s">
        <v>9</v>
      </c>
      <c r="S653">
        <f>Sheet1[[#This Row],[Ship_date]]-Sheet1[[#This Row],[Order_date]]</f>
        <v>3</v>
      </c>
      <c r="T653">
        <f>Sheet1[[#This Row],[Quantity]]*Sheet1[[#This Row],[Sales]]</f>
        <v>568</v>
      </c>
      <c r="U653">
        <f>Sheet1[[#This Row],[Total Sales]]*Sheet1[[#This Row],[Discount]]</f>
        <v>85.2</v>
      </c>
      <c r="V653" s="4">
        <f>Sheet1[[#This Row],[Total Sales]]-Sheet1[[#This Row],[Total Sales]]*Sheet1[[#This Row],[Discount]]</f>
        <v>482.8</v>
      </c>
      <c r="W653" s="4">
        <f>Sheet1[[#This Row],[Quantity]]*Sheet1[[#This Row],[Profit]]</f>
        <v>86.742000000000004</v>
      </c>
      <c r="X653" s="5">
        <f>Sheet1[[#This Row],[Total Profit]]/Sheet1[[#This Row],[Sales After Discount]]</f>
        <v>0.17966445733222866</v>
      </c>
      <c r="Y653" s="4">
        <f>Sheet1[[#This Row],[Shipping_cost]]*Sheet1[[#This Row],[Quantity]]</f>
        <v>47.34</v>
      </c>
      <c r="Z653" s="4">
        <f>Sheet1[[#This Row],[Total Profit]]-Sheet1[[#This Row],[Total Shipping Cost]]</f>
        <v>39.402000000000001</v>
      </c>
      <c r="AA653" s="4" t="str">
        <f>IF(Sheet1[[#This Row],[Net Profit]]&gt;0,"Profit","Loss")</f>
        <v>Profit</v>
      </c>
    </row>
    <row r="654" spans="1:27" x14ac:dyDescent="0.25">
      <c r="A654" t="s">
        <v>902</v>
      </c>
      <c r="B654" s="1">
        <v>40590</v>
      </c>
      <c r="C654" s="1">
        <v>40595</v>
      </c>
      <c r="D654" t="s">
        <v>1</v>
      </c>
      <c r="E654" t="s">
        <v>903</v>
      </c>
      <c r="F654" t="s">
        <v>43</v>
      </c>
      <c r="G654" t="s">
        <v>332</v>
      </c>
      <c r="H654" t="s">
        <v>13</v>
      </c>
      <c r="I654" t="s">
        <v>14</v>
      </c>
      <c r="J654" t="s">
        <v>15</v>
      </c>
      <c r="K654" t="s">
        <v>32</v>
      </c>
      <c r="L654" t="s">
        <v>56</v>
      </c>
      <c r="M654">
        <v>292</v>
      </c>
      <c r="N654">
        <v>2</v>
      </c>
      <c r="O654">
        <v>0.1</v>
      </c>
      <c r="P654">
        <v>38.874000000000002</v>
      </c>
      <c r="Q654">
        <v>12.64</v>
      </c>
      <c r="R654" t="s">
        <v>9</v>
      </c>
      <c r="S654">
        <f>Sheet1[[#This Row],[Ship_date]]-Sheet1[[#This Row],[Order_date]]</f>
        <v>5</v>
      </c>
      <c r="T654">
        <f>Sheet1[[#This Row],[Quantity]]*Sheet1[[#This Row],[Sales]]</f>
        <v>584</v>
      </c>
      <c r="U654">
        <f>Sheet1[[#This Row],[Total Sales]]*Sheet1[[#This Row],[Discount]]</f>
        <v>58.400000000000006</v>
      </c>
      <c r="V654" s="4">
        <f>Sheet1[[#This Row],[Total Sales]]-Sheet1[[#This Row],[Total Sales]]*Sheet1[[#This Row],[Discount]]</f>
        <v>525.6</v>
      </c>
      <c r="W654" s="4">
        <f>Sheet1[[#This Row],[Quantity]]*Sheet1[[#This Row],[Profit]]</f>
        <v>77.748000000000005</v>
      </c>
      <c r="X654" s="5">
        <f>Sheet1[[#This Row],[Total Profit]]/Sheet1[[#This Row],[Sales After Discount]]</f>
        <v>0.14792237442922374</v>
      </c>
      <c r="Y654" s="4">
        <f>Sheet1[[#This Row],[Shipping_cost]]*Sheet1[[#This Row],[Quantity]]</f>
        <v>25.28</v>
      </c>
      <c r="Z654" s="4">
        <f>Sheet1[[#This Row],[Total Profit]]-Sheet1[[#This Row],[Total Shipping Cost]]</f>
        <v>52.468000000000004</v>
      </c>
      <c r="AA654" s="4" t="str">
        <f>IF(Sheet1[[#This Row],[Net Profit]]&gt;0,"Profit","Loss")</f>
        <v>Profit</v>
      </c>
    </row>
    <row r="655" spans="1:27" x14ac:dyDescent="0.25">
      <c r="A655" t="s">
        <v>900</v>
      </c>
      <c r="B655" s="1">
        <v>40590</v>
      </c>
      <c r="C655" s="1">
        <v>40594</v>
      </c>
      <c r="D655" t="s">
        <v>1</v>
      </c>
      <c r="E655" t="s">
        <v>901</v>
      </c>
      <c r="F655" t="s">
        <v>43</v>
      </c>
      <c r="G655" t="s">
        <v>567</v>
      </c>
      <c r="H655" t="s">
        <v>110</v>
      </c>
      <c r="I655" t="s">
        <v>75</v>
      </c>
      <c r="J655" t="s">
        <v>111</v>
      </c>
      <c r="K655" t="s">
        <v>7</v>
      </c>
      <c r="L655" t="s">
        <v>44</v>
      </c>
      <c r="M655">
        <v>239</v>
      </c>
      <c r="N655">
        <v>5</v>
      </c>
      <c r="O655">
        <v>0</v>
      </c>
      <c r="P655">
        <v>31.1</v>
      </c>
      <c r="Q655">
        <v>12.28</v>
      </c>
      <c r="R655" t="s">
        <v>9</v>
      </c>
      <c r="S655">
        <f>Sheet1[[#This Row],[Ship_date]]-Sheet1[[#This Row],[Order_date]]</f>
        <v>4</v>
      </c>
      <c r="T655">
        <f>Sheet1[[#This Row],[Quantity]]*Sheet1[[#This Row],[Sales]]</f>
        <v>1195</v>
      </c>
      <c r="U655">
        <f>Sheet1[[#This Row],[Total Sales]]*Sheet1[[#This Row],[Discount]]</f>
        <v>0</v>
      </c>
      <c r="V655" s="4">
        <f>Sheet1[[#This Row],[Total Sales]]-Sheet1[[#This Row],[Total Sales]]*Sheet1[[#This Row],[Discount]]</f>
        <v>1195</v>
      </c>
      <c r="W655" s="4">
        <f>Sheet1[[#This Row],[Quantity]]*Sheet1[[#This Row],[Profit]]</f>
        <v>155.5</v>
      </c>
      <c r="X655" s="5">
        <f>Sheet1[[#This Row],[Total Profit]]/Sheet1[[#This Row],[Sales After Discount]]</f>
        <v>0.13012552301255231</v>
      </c>
      <c r="Y655" s="4">
        <f>Sheet1[[#This Row],[Shipping_cost]]*Sheet1[[#This Row],[Quantity]]</f>
        <v>61.4</v>
      </c>
      <c r="Z655" s="4">
        <f>Sheet1[[#This Row],[Total Profit]]-Sheet1[[#This Row],[Total Shipping Cost]]</f>
        <v>94.1</v>
      </c>
      <c r="AA655" s="4" t="str">
        <f>IF(Sheet1[[#This Row],[Net Profit]]&gt;0,"Profit","Loss")</f>
        <v>Profit</v>
      </c>
    </row>
    <row r="656" spans="1:27" x14ac:dyDescent="0.25">
      <c r="A656" t="s">
        <v>897</v>
      </c>
      <c r="B656" s="1">
        <v>40590</v>
      </c>
      <c r="C656" s="1">
        <v>40595</v>
      </c>
      <c r="D656" t="s">
        <v>1</v>
      </c>
      <c r="E656" t="s">
        <v>898</v>
      </c>
      <c r="F656" t="s">
        <v>26</v>
      </c>
      <c r="G656" t="s">
        <v>899</v>
      </c>
      <c r="H656" t="s">
        <v>280</v>
      </c>
      <c r="I656" t="s">
        <v>14</v>
      </c>
      <c r="J656" t="s">
        <v>281</v>
      </c>
      <c r="K656" t="s">
        <v>32</v>
      </c>
      <c r="L656" t="s">
        <v>33</v>
      </c>
      <c r="M656">
        <v>150</v>
      </c>
      <c r="N656">
        <v>3</v>
      </c>
      <c r="O656">
        <v>0</v>
      </c>
      <c r="P656">
        <v>58.5</v>
      </c>
      <c r="Q656">
        <v>8.48</v>
      </c>
      <c r="R656" t="s">
        <v>9</v>
      </c>
      <c r="S656">
        <f>Sheet1[[#This Row],[Ship_date]]-Sheet1[[#This Row],[Order_date]]</f>
        <v>5</v>
      </c>
      <c r="T656">
        <f>Sheet1[[#This Row],[Quantity]]*Sheet1[[#This Row],[Sales]]</f>
        <v>450</v>
      </c>
      <c r="U656">
        <f>Sheet1[[#This Row],[Total Sales]]*Sheet1[[#This Row],[Discount]]</f>
        <v>0</v>
      </c>
      <c r="V656" s="4">
        <f>Sheet1[[#This Row],[Total Sales]]-Sheet1[[#This Row],[Total Sales]]*Sheet1[[#This Row],[Discount]]</f>
        <v>450</v>
      </c>
      <c r="W656" s="4">
        <f>Sheet1[[#This Row],[Quantity]]*Sheet1[[#This Row],[Profit]]</f>
        <v>175.5</v>
      </c>
      <c r="X656" s="5">
        <f>Sheet1[[#This Row],[Total Profit]]/Sheet1[[#This Row],[Sales After Discount]]</f>
        <v>0.39</v>
      </c>
      <c r="Y656" s="4">
        <f>Sheet1[[#This Row],[Shipping_cost]]*Sheet1[[#This Row],[Quantity]]</f>
        <v>25.44</v>
      </c>
      <c r="Z656" s="4">
        <f>Sheet1[[#This Row],[Total Profit]]-Sheet1[[#This Row],[Total Shipping Cost]]</f>
        <v>150.06</v>
      </c>
      <c r="AA656" s="4" t="str">
        <f>IF(Sheet1[[#This Row],[Net Profit]]&gt;0,"Profit","Loss")</f>
        <v>Profit</v>
      </c>
    </row>
    <row r="657" spans="1:27" x14ac:dyDescent="0.25">
      <c r="A657" t="s">
        <v>900</v>
      </c>
      <c r="B657" s="1">
        <v>40590</v>
      </c>
      <c r="C657" s="1">
        <v>40594</v>
      </c>
      <c r="D657" t="s">
        <v>1</v>
      </c>
      <c r="E657" t="s">
        <v>901</v>
      </c>
      <c r="F657" t="s">
        <v>43</v>
      </c>
      <c r="G657" t="s">
        <v>567</v>
      </c>
      <c r="H657" t="s">
        <v>110</v>
      </c>
      <c r="I657" t="s">
        <v>75</v>
      </c>
      <c r="J657" t="s">
        <v>111</v>
      </c>
      <c r="K657" t="s">
        <v>38</v>
      </c>
      <c r="L657" t="s">
        <v>50</v>
      </c>
      <c r="M657">
        <v>294</v>
      </c>
      <c r="N657">
        <v>3</v>
      </c>
      <c r="O657">
        <v>2E-3</v>
      </c>
      <c r="P657">
        <v>49.450800000000001</v>
      </c>
      <c r="Q657">
        <v>7.47</v>
      </c>
      <c r="R657" t="s">
        <v>9</v>
      </c>
      <c r="S657">
        <f>Sheet1[[#This Row],[Ship_date]]-Sheet1[[#This Row],[Order_date]]</f>
        <v>4</v>
      </c>
      <c r="T657">
        <f>Sheet1[[#This Row],[Quantity]]*Sheet1[[#This Row],[Sales]]</f>
        <v>882</v>
      </c>
      <c r="U657">
        <f>Sheet1[[#This Row],[Total Sales]]*Sheet1[[#This Row],[Discount]]</f>
        <v>1.764</v>
      </c>
      <c r="V657" s="4">
        <f>Sheet1[[#This Row],[Total Sales]]-Sheet1[[#This Row],[Total Sales]]*Sheet1[[#This Row],[Discount]]</f>
        <v>880.23599999999999</v>
      </c>
      <c r="W657" s="4">
        <f>Sheet1[[#This Row],[Quantity]]*Sheet1[[#This Row],[Profit]]</f>
        <v>148.35239999999999</v>
      </c>
      <c r="X657" s="5">
        <f>Sheet1[[#This Row],[Total Profit]]/Sheet1[[#This Row],[Sales After Discount]]</f>
        <v>0.16853707414829658</v>
      </c>
      <c r="Y657" s="4">
        <f>Sheet1[[#This Row],[Shipping_cost]]*Sheet1[[#This Row],[Quantity]]</f>
        <v>22.41</v>
      </c>
      <c r="Z657" s="4">
        <f>Sheet1[[#This Row],[Total Profit]]-Sheet1[[#This Row],[Total Shipping Cost]]</f>
        <v>125.94239999999999</v>
      </c>
      <c r="AA657" s="4" t="str">
        <f>IF(Sheet1[[#This Row],[Net Profit]]&gt;0,"Profit","Loss")</f>
        <v>Profit</v>
      </c>
    </row>
    <row r="658" spans="1:27" x14ac:dyDescent="0.25">
      <c r="A658" t="s">
        <v>895</v>
      </c>
      <c r="B658" s="1">
        <v>40590</v>
      </c>
      <c r="C658" s="1">
        <v>40593</v>
      </c>
      <c r="D658" t="s">
        <v>18</v>
      </c>
      <c r="E658" t="s">
        <v>896</v>
      </c>
      <c r="F658" t="s">
        <v>43</v>
      </c>
      <c r="G658" t="s">
        <v>215</v>
      </c>
      <c r="H658" t="s">
        <v>115</v>
      </c>
      <c r="I658" t="s">
        <v>29</v>
      </c>
      <c r="J658" t="s">
        <v>76</v>
      </c>
      <c r="K658" t="s">
        <v>7</v>
      </c>
      <c r="L658" t="s">
        <v>91</v>
      </c>
      <c r="M658">
        <v>90</v>
      </c>
      <c r="N658">
        <v>6</v>
      </c>
      <c r="O658">
        <v>0</v>
      </c>
      <c r="P658">
        <v>32.22</v>
      </c>
      <c r="Q658">
        <v>6.89</v>
      </c>
      <c r="R658" t="s">
        <v>9</v>
      </c>
      <c r="S658">
        <f>Sheet1[[#This Row],[Ship_date]]-Sheet1[[#This Row],[Order_date]]</f>
        <v>3</v>
      </c>
      <c r="T658">
        <f>Sheet1[[#This Row],[Quantity]]*Sheet1[[#This Row],[Sales]]</f>
        <v>540</v>
      </c>
      <c r="U658">
        <f>Sheet1[[#This Row],[Total Sales]]*Sheet1[[#This Row],[Discount]]</f>
        <v>0</v>
      </c>
      <c r="V658" s="4">
        <f>Sheet1[[#This Row],[Total Sales]]-Sheet1[[#This Row],[Total Sales]]*Sheet1[[#This Row],[Discount]]</f>
        <v>540</v>
      </c>
      <c r="W658" s="4">
        <f>Sheet1[[#This Row],[Quantity]]*Sheet1[[#This Row],[Profit]]</f>
        <v>193.32</v>
      </c>
      <c r="X658" s="5">
        <f>Sheet1[[#This Row],[Total Profit]]/Sheet1[[#This Row],[Sales After Discount]]</f>
        <v>0.35799999999999998</v>
      </c>
      <c r="Y658" s="4">
        <f>Sheet1[[#This Row],[Shipping_cost]]*Sheet1[[#This Row],[Quantity]]</f>
        <v>41.339999999999996</v>
      </c>
      <c r="Z658" s="4">
        <f>Sheet1[[#This Row],[Total Profit]]-Sheet1[[#This Row],[Total Shipping Cost]]</f>
        <v>151.97999999999999</v>
      </c>
      <c r="AA658" s="4" t="str">
        <f>IF(Sheet1[[#This Row],[Net Profit]]&gt;0,"Profit","Loss")</f>
        <v>Profit</v>
      </c>
    </row>
    <row r="659" spans="1:27" x14ac:dyDescent="0.25">
      <c r="A659" t="s">
        <v>584</v>
      </c>
      <c r="B659" s="1">
        <v>40590</v>
      </c>
      <c r="C659" s="1">
        <v>40594</v>
      </c>
      <c r="D659" t="s">
        <v>1</v>
      </c>
      <c r="E659" t="s">
        <v>904</v>
      </c>
      <c r="F659" t="s">
        <v>43</v>
      </c>
      <c r="G659" t="s">
        <v>596</v>
      </c>
      <c r="H659" t="s">
        <v>115</v>
      </c>
      <c r="I659" t="s">
        <v>29</v>
      </c>
      <c r="J659" t="s">
        <v>76</v>
      </c>
      <c r="K659" t="s">
        <v>38</v>
      </c>
      <c r="L659" t="s">
        <v>77</v>
      </c>
      <c r="M659">
        <v>105</v>
      </c>
      <c r="N659">
        <v>1</v>
      </c>
      <c r="O659">
        <v>0.15</v>
      </c>
      <c r="P659">
        <v>30.8415</v>
      </c>
      <c r="Q659">
        <v>5.83</v>
      </c>
      <c r="R659" t="s">
        <v>9</v>
      </c>
      <c r="S659">
        <f>Sheet1[[#This Row],[Ship_date]]-Sheet1[[#This Row],[Order_date]]</f>
        <v>4</v>
      </c>
      <c r="T659">
        <f>Sheet1[[#This Row],[Quantity]]*Sheet1[[#This Row],[Sales]]</f>
        <v>105</v>
      </c>
      <c r="U659">
        <f>Sheet1[[#This Row],[Total Sales]]*Sheet1[[#This Row],[Discount]]</f>
        <v>15.75</v>
      </c>
      <c r="V659" s="4">
        <f>Sheet1[[#This Row],[Total Sales]]-Sheet1[[#This Row],[Total Sales]]*Sheet1[[#This Row],[Discount]]</f>
        <v>89.25</v>
      </c>
      <c r="W659" s="4">
        <f>Sheet1[[#This Row],[Quantity]]*Sheet1[[#This Row],[Profit]]</f>
        <v>30.8415</v>
      </c>
      <c r="X659" s="5">
        <f>Sheet1[[#This Row],[Total Profit]]/Sheet1[[#This Row],[Sales After Discount]]</f>
        <v>0.34556302521008403</v>
      </c>
      <c r="Y659" s="4">
        <f>Sheet1[[#This Row],[Shipping_cost]]*Sheet1[[#This Row],[Quantity]]</f>
        <v>5.83</v>
      </c>
      <c r="Z659" s="4">
        <f>Sheet1[[#This Row],[Total Profit]]-Sheet1[[#This Row],[Total Shipping Cost]]</f>
        <v>25.011499999999998</v>
      </c>
      <c r="AA659" s="4" t="str">
        <f>IF(Sheet1[[#This Row],[Net Profit]]&gt;0,"Profit","Loss")</f>
        <v>Profit</v>
      </c>
    </row>
    <row r="660" spans="1:27" x14ac:dyDescent="0.25">
      <c r="A660" t="s">
        <v>905</v>
      </c>
      <c r="B660" s="1">
        <v>40590</v>
      </c>
      <c r="C660" s="1">
        <v>40594</v>
      </c>
      <c r="D660" t="s">
        <v>18</v>
      </c>
      <c r="E660" t="s">
        <v>906</v>
      </c>
      <c r="F660" t="s">
        <v>3</v>
      </c>
      <c r="G660" t="s">
        <v>459</v>
      </c>
      <c r="H660" t="s">
        <v>345</v>
      </c>
      <c r="I660" t="s">
        <v>75</v>
      </c>
      <c r="J660" t="s">
        <v>76</v>
      </c>
      <c r="K660" t="s">
        <v>32</v>
      </c>
      <c r="L660" t="s">
        <v>33</v>
      </c>
      <c r="M660">
        <v>80</v>
      </c>
      <c r="N660">
        <v>5</v>
      </c>
      <c r="O660">
        <v>0</v>
      </c>
      <c r="P660">
        <v>1.5</v>
      </c>
      <c r="Q660">
        <v>4.3899999999999997</v>
      </c>
      <c r="R660" t="s">
        <v>9</v>
      </c>
      <c r="S660">
        <f>Sheet1[[#This Row],[Ship_date]]-Sheet1[[#This Row],[Order_date]]</f>
        <v>4</v>
      </c>
      <c r="T660">
        <f>Sheet1[[#This Row],[Quantity]]*Sheet1[[#This Row],[Sales]]</f>
        <v>400</v>
      </c>
      <c r="U660">
        <f>Sheet1[[#This Row],[Total Sales]]*Sheet1[[#This Row],[Discount]]</f>
        <v>0</v>
      </c>
      <c r="V660" s="4">
        <f>Sheet1[[#This Row],[Total Sales]]-Sheet1[[#This Row],[Total Sales]]*Sheet1[[#This Row],[Discount]]</f>
        <v>400</v>
      </c>
      <c r="W660" s="4">
        <f>Sheet1[[#This Row],[Quantity]]*Sheet1[[#This Row],[Profit]]</f>
        <v>7.5</v>
      </c>
      <c r="X660" s="5">
        <f>Sheet1[[#This Row],[Total Profit]]/Sheet1[[#This Row],[Sales After Discount]]</f>
        <v>1.8749999999999999E-2</v>
      </c>
      <c r="Y660" s="4">
        <f>Sheet1[[#This Row],[Shipping_cost]]*Sheet1[[#This Row],[Quantity]]</f>
        <v>21.95</v>
      </c>
      <c r="Z660" s="4">
        <f>Sheet1[[#This Row],[Total Profit]]-Sheet1[[#This Row],[Total Shipping Cost]]</f>
        <v>-14.45</v>
      </c>
      <c r="AA660" s="4" t="str">
        <f>IF(Sheet1[[#This Row],[Net Profit]]&gt;0,"Profit","Loss")</f>
        <v>Loss</v>
      </c>
    </row>
    <row r="661" spans="1:27" x14ac:dyDescent="0.25">
      <c r="A661" t="s">
        <v>584</v>
      </c>
      <c r="B661" s="1">
        <v>40590</v>
      </c>
      <c r="C661" s="1">
        <v>40594</v>
      </c>
      <c r="D661" t="s">
        <v>1</v>
      </c>
      <c r="E661" t="s">
        <v>904</v>
      </c>
      <c r="F661" t="s">
        <v>43</v>
      </c>
      <c r="G661" t="s">
        <v>596</v>
      </c>
      <c r="H661" t="s">
        <v>115</v>
      </c>
      <c r="I661" t="s">
        <v>29</v>
      </c>
      <c r="J661" t="s">
        <v>76</v>
      </c>
      <c r="K661" t="s">
        <v>7</v>
      </c>
      <c r="L661" t="s">
        <v>31</v>
      </c>
      <c r="M661">
        <v>62</v>
      </c>
      <c r="N661">
        <v>4</v>
      </c>
      <c r="O661">
        <v>0</v>
      </c>
      <c r="P661">
        <v>0</v>
      </c>
      <c r="Q661">
        <v>3.13</v>
      </c>
      <c r="R661" t="s">
        <v>9</v>
      </c>
      <c r="S661">
        <f>Sheet1[[#This Row],[Ship_date]]-Sheet1[[#This Row],[Order_date]]</f>
        <v>4</v>
      </c>
      <c r="T661">
        <f>Sheet1[[#This Row],[Quantity]]*Sheet1[[#This Row],[Sales]]</f>
        <v>248</v>
      </c>
      <c r="U661">
        <f>Sheet1[[#This Row],[Total Sales]]*Sheet1[[#This Row],[Discount]]</f>
        <v>0</v>
      </c>
      <c r="V661" s="4">
        <f>Sheet1[[#This Row],[Total Sales]]-Sheet1[[#This Row],[Total Sales]]*Sheet1[[#This Row],[Discount]]</f>
        <v>248</v>
      </c>
      <c r="W661" s="4">
        <f>Sheet1[[#This Row],[Quantity]]*Sheet1[[#This Row],[Profit]]</f>
        <v>0</v>
      </c>
      <c r="X661" s="5">
        <f>Sheet1[[#This Row],[Total Profit]]/Sheet1[[#This Row],[Sales After Discount]]</f>
        <v>0</v>
      </c>
      <c r="Y661" s="4">
        <f>Sheet1[[#This Row],[Shipping_cost]]*Sheet1[[#This Row],[Quantity]]</f>
        <v>12.52</v>
      </c>
      <c r="Z661" s="4">
        <f>Sheet1[[#This Row],[Total Profit]]-Sheet1[[#This Row],[Total Shipping Cost]]</f>
        <v>-12.52</v>
      </c>
      <c r="AA661" s="4" t="str">
        <f>IF(Sheet1[[#This Row],[Net Profit]]&gt;0,"Profit","Loss")</f>
        <v>Loss</v>
      </c>
    </row>
    <row r="662" spans="1:27" x14ac:dyDescent="0.25">
      <c r="A662" t="s">
        <v>907</v>
      </c>
      <c r="B662" s="1">
        <v>40590</v>
      </c>
      <c r="C662" s="1">
        <v>40594</v>
      </c>
      <c r="D662" t="s">
        <v>1</v>
      </c>
      <c r="E662" t="s">
        <v>908</v>
      </c>
      <c r="F662" t="s">
        <v>43</v>
      </c>
      <c r="G662" t="s">
        <v>740</v>
      </c>
      <c r="H662" t="s">
        <v>126</v>
      </c>
      <c r="I662" t="s">
        <v>127</v>
      </c>
      <c r="J662" t="s">
        <v>192</v>
      </c>
      <c r="K662" t="s">
        <v>7</v>
      </c>
      <c r="L662" t="s">
        <v>137</v>
      </c>
      <c r="M662">
        <v>21</v>
      </c>
      <c r="N662">
        <v>5</v>
      </c>
      <c r="O662">
        <v>0.2</v>
      </c>
      <c r="P662">
        <v>7.2089999999999996</v>
      </c>
      <c r="Q662">
        <v>2.41</v>
      </c>
      <c r="R662" t="s">
        <v>9</v>
      </c>
      <c r="S662">
        <f>Sheet1[[#This Row],[Ship_date]]-Sheet1[[#This Row],[Order_date]]</f>
        <v>4</v>
      </c>
      <c r="T662">
        <f>Sheet1[[#This Row],[Quantity]]*Sheet1[[#This Row],[Sales]]</f>
        <v>105</v>
      </c>
      <c r="U662">
        <f>Sheet1[[#This Row],[Total Sales]]*Sheet1[[#This Row],[Discount]]</f>
        <v>21</v>
      </c>
      <c r="V662" s="4">
        <f>Sheet1[[#This Row],[Total Sales]]-Sheet1[[#This Row],[Total Sales]]*Sheet1[[#This Row],[Discount]]</f>
        <v>84</v>
      </c>
      <c r="W662" s="4">
        <f>Sheet1[[#This Row],[Quantity]]*Sheet1[[#This Row],[Profit]]</f>
        <v>36.045000000000002</v>
      </c>
      <c r="X662" s="5">
        <f>Sheet1[[#This Row],[Total Profit]]/Sheet1[[#This Row],[Sales After Discount]]</f>
        <v>0.42910714285714285</v>
      </c>
      <c r="Y662" s="4">
        <f>Sheet1[[#This Row],[Shipping_cost]]*Sheet1[[#This Row],[Quantity]]</f>
        <v>12.05</v>
      </c>
      <c r="Z662" s="4">
        <f>Sheet1[[#This Row],[Total Profit]]-Sheet1[[#This Row],[Total Shipping Cost]]</f>
        <v>23.995000000000001</v>
      </c>
      <c r="AA662" s="4" t="str">
        <f>IF(Sheet1[[#This Row],[Net Profit]]&gt;0,"Profit","Loss")</f>
        <v>Profit</v>
      </c>
    </row>
    <row r="663" spans="1:27" x14ac:dyDescent="0.25">
      <c r="A663" t="s">
        <v>897</v>
      </c>
      <c r="B663" s="1">
        <v>40590</v>
      </c>
      <c r="C663" s="1">
        <v>40595</v>
      </c>
      <c r="D663" t="s">
        <v>1</v>
      </c>
      <c r="E663" t="s">
        <v>898</v>
      </c>
      <c r="F663" t="s">
        <v>26</v>
      </c>
      <c r="G663" t="s">
        <v>899</v>
      </c>
      <c r="H663" t="s">
        <v>280</v>
      </c>
      <c r="I663" t="s">
        <v>14</v>
      </c>
      <c r="J663" t="s">
        <v>281</v>
      </c>
      <c r="K663" t="s">
        <v>7</v>
      </c>
      <c r="L663" t="s">
        <v>87</v>
      </c>
      <c r="M663">
        <v>40</v>
      </c>
      <c r="N663">
        <v>3</v>
      </c>
      <c r="O663">
        <v>0</v>
      </c>
      <c r="P663">
        <v>8.73</v>
      </c>
      <c r="Q663">
        <v>2.35</v>
      </c>
      <c r="R663" t="s">
        <v>9</v>
      </c>
      <c r="S663">
        <f>Sheet1[[#This Row],[Ship_date]]-Sheet1[[#This Row],[Order_date]]</f>
        <v>5</v>
      </c>
      <c r="T663">
        <f>Sheet1[[#This Row],[Quantity]]*Sheet1[[#This Row],[Sales]]</f>
        <v>120</v>
      </c>
      <c r="U663">
        <f>Sheet1[[#This Row],[Total Sales]]*Sheet1[[#This Row],[Discount]]</f>
        <v>0</v>
      </c>
      <c r="V663" s="4">
        <f>Sheet1[[#This Row],[Total Sales]]-Sheet1[[#This Row],[Total Sales]]*Sheet1[[#This Row],[Discount]]</f>
        <v>120</v>
      </c>
      <c r="W663" s="4">
        <f>Sheet1[[#This Row],[Quantity]]*Sheet1[[#This Row],[Profit]]</f>
        <v>26.19</v>
      </c>
      <c r="X663" s="5">
        <f>Sheet1[[#This Row],[Total Profit]]/Sheet1[[#This Row],[Sales After Discount]]</f>
        <v>0.21825</v>
      </c>
      <c r="Y663" s="4">
        <f>Sheet1[[#This Row],[Shipping_cost]]*Sheet1[[#This Row],[Quantity]]</f>
        <v>7.0500000000000007</v>
      </c>
      <c r="Z663" s="4">
        <f>Sheet1[[#This Row],[Total Profit]]-Sheet1[[#This Row],[Total Shipping Cost]]</f>
        <v>19.14</v>
      </c>
      <c r="AA663" s="4" t="str">
        <f>IF(Sheet1[[#This Row],[Net Profit]]&gt;0,"Profit","Loss")</f>
        <v>Profit</v>
      </c>
    </row>
    <row r="664" spans="1:27" x14ac:dyDescent="0.25">
      <c r="A664" t="s">
        <v>897</v>
      </c>
      <c r="B664" s="1">
        <v>40590</v>
      </c>
      <c r="C664" s="1">
        <v>40595</v>
      </c>
      <c r="D664" t="s">
        <v>1</v>
      </c>
      <c r="E664" t="s">
        <v>898</v>
      </c>
      <c r="F664" t="s">
        <v>26</v>
      </c>
      <c r="G664" t="s">
        <v>899</v>
      </c>
      <c r="H664" t="s">
        <v>280</v>
      </c>
      <c r="I664" t="s">
        <v>14</v>
      </c>
      <c r="J664" t="s">
        <v>281</v>
      </c>
      <c r="K664" t="s">
        <v>32</v>
      </c>
      <c r="L664" t="s">
        <v>67</v>
      </c>
      <c r="M664">
        <v>123</v>
      </c>
      <c r="N664">
        <v>1</v>
      </c>
      <c r="O664">
        <v>0</v>
      </c>
      <c r="P664">
        <v>50.61</v>
      </c>
      <c r="Q664">
        <v>1.34</v>
      </c>
      <c r="R664" t="s">
        <v>9</v>
      </c>
      <c r="S664">
        <f>Sheet1[[#This Row],[Ship_date]]-Sheet1[[#This Row],[Order_date]]</f>
        <v>5</v>
      </c>
      <c r="T664">
        <f>Sheet1[[#This Row],[Quantity]]*Sheet1[[#This Row],[Sales]]</f>
        <v>123</v>
      </c>
      <c r="U664">
        <f>Sheet1[[#This Row],[Total Sales]]*Sheet1[[#This Row],[Discount]]</f>
        <v>0</v>
      </c>
      <c r="V664" s="4">
        <f>Sheet1[[#This Row],[Total Sales]]-Sheet1[[#This Row],[Total Sales]]*Sheet1[[#This Row],[Discount]]</f>
        <v>123</v>
      </c>
      <c r="W664" s="4">
        <f>Sheet1[[#This Row],[Quantity]]*Sheet1[[#This Row],[Profit]]</f>
        <v>50.61</v>
      </c>
      <c r="X664" s="5">
        <f>Sheet1[[#This Row],[Total Profit]]/Sheet1[[#This Row],[Sales After Discount]]</f>
        <v>0.41146341463414632</v>
      </c>
      <c r="Y664" s="4">
        <f>Sheet1[[#This Row],[Shipping_cost]]*Sheet1[[#This Row],[Quantity]]</f>
        <v>1.34</v>
      </c>
      <c r="Z664" s="4">
        <f>Sheet1[[#This Row],[Total Profit]]-Sheet1[[#This Row],[Total Shipping Cost]]</f>
        <v>49.269999999999996</v>
      </c>
      <c r="AA664" s="4" t="str">
        <f>IF(Sheet1[[#This Row],[Net Profit]]&gt;0,"Profit","Loss")</f>
        <v>Profit</v>
      </c>
    </row>
    <row r="665" spans="1:27" x14ac:dyDescent="0.25">
      <c r="A665" t="s">
        <v>584</v>
      </c>
      <c r="B665" s="1">
        <v>40590</v>
      </c>
      <c r="C665" s="1">
        <v>40594</v>
      </c>
      <c r="D665" t="s">
        <v>1</v>
      </c>
      <c r="E665" t="s">
        <v>904</v>
      </c>
      <c r="F665" t="s">
        <v>43</v>
      </c>
      <c r="G665" t="s">
        <v>596</v>
      </c>
      <c r="H665" t="s">
        <v>115</v>
      </c>
      <c r="I665" t="s">
        <v>29</v>
      </c>
      <c r="J665" t="s">
        <v>76</v>
      </c>
      <c r="K665" t="s">
        <v>7</v>
      </c>
      <c r="L665" t="s">
        <v>91</v>
      </c>
      <c r="M665">
        <v>38</v>
      </c>
      <c r="N665">
        <v>2</v>
      </c>
      <c r="O665">
        <v>0</v>
      </c>
      <c r="P665">
        <v>8.4</v>
      </c>
      <c r="Q665">
        <v>1.32</v>
      </c>
      <c r="R665" t="s">
        <v>9</v>
      </c>
      <c r="S665">
        <f>Sheet1[[#This Row],[Ship_date]]-Sheet1[[#This Row],[Order_date]]</f>
        <v>4</v>
      </c>
      <c r="T665">
        <f>Sheet1[[#This Row],[Quantity]]*Sheet1[[#This Row],[Sales]]</f>
        <v>76</v>
      </c>
      <c r="U665">
        <f>Sheet1[[#This Row],[Total Sales]]*Sheet1[[#This Row],[Discount]]</f>
        <v>0</v>
      </c>
      <c r="V665" s="4">
        <f>Sheet1[[#This Row],[Total Sales]]-Sheet1[[#This Row],[Total Sales]]*Sheet1[[#This Row],[Discount]]</f>
        <v>76</v>
      </c>
      <c r="W665" s="4">
        <f>Sheet1[[#This Row],[Quantity]]*Sheet1[[#This Row],[Profit]]</f>
        <v>16.8</v>
      </c>
      <c r="X665" s="5">
        <f>Sheet1[[#This Row],[Total Profit]]/Sheet1[[#This Row],[Sales After Discount]]</f>
        <v>0.22105263157894739</v>
      </c>
      <c r="Y665" s="4">
        <f>Sheet1[[#This Row],[Shipping_cost]]*Sheet1[[#This Row],[Quantity]]</f>
        <v>2.64</v>
      </c>
      <c r="Z665" s="4">
        <f>Sheet1[[#This Row],[Total Profit]]-Sheet1[[#This Row],[Total Shipping Cost]]</f>
        <v>14.16</v>
      </c>
      <c r="AA665" s="4" t="str">
        <f>IF(Sheet1[[#This Row],[Net Profit]]&gt;0,"Profit","Loss")</f>
        <v>Profit</v>
      </c>
    </row>
    <row r="666" spans="1:27" x14ac:dyDescent="0.25">
      <c r="A666" t="s">
        <v>900</v>
      </c>
      <c r="B666" s="1">
        <v>40590</v>
      </c>
      <c r="C666" s="1">
        <v>40594</v>
      </c>
      <c r="D666" t="s">
        <v>1</v>
      </c>
      <c r="E666" t="s">
        <v>901</v>
      </c>
      <c r="F666" t="s">
        <v>43</v>
      </c>
      <c r="G666" t="s">
        <v>567</v>
      </c>
      <c r="H666" t="s">
        <v>110</v>
      </c>
      <c r="I666" t="s">
        <v>75</v>
      </c>
      <c r="J666" t="s">
        <v>111</v>
      </c>
      <c r="K666" t="s">
        <v>7</v>
      </c>
      <c r="L666" t="s">
        <v>137</v>
      </c>
      <c r="M666">
        <v>11</v>
      </c>
      <c r="N666">
        <v>2</v>
      </c>
      <c r="O666">
        <v>0</v>
      </c>
      <c r="P666">
        <v>4.4800000000000004</v>
      </c>
      <c r="Q666">
        <v>0.7</v>
      </c>
      <c r="R666" t="s">
        <v>9</v>
      </c>
      <c r="S666">
        <f>Sheet1[[#This Row],[Ship_date]]-Sheet1[[#This Row],[Order_date]]</f>
        <v>4</v>
      </c>
      <c r="T666">
        <f>Sheet1[[#This Row],[Quantity]]*Sheet1[[#This Row],[Sales]]</f>
        <v>22</v>
      </c>
      <c r="U666">
        <f>Sheet1[[#This Row],[Total Sales]]*Sheet1[[#This Row],[Discount]]</f>
        <v>0</v>
      </c>
      <c r="V666" s="4">
        <f>Sheet1[[#This Row],[Total Sales]]-Sheet1[[#This Row],[Total Sales]]*Sheet1[[#This Row],[Discount]]</f>
        <v>22</v>
      </c>
      <c r="W666" s="4">
        <f>Sheet1[[#This Row],[Quantity]]*Sheet1[[#This Row],[Profit]]</f>
        <v>8.9600000000000009</v>
      </c>
      <c r="X666" s="5">
        <f>Sheet1[[#This Row],[Total Profit]]/Sheet1[[#This Row],[Sales After Discount]]</f>
        <v>0.40727272727272729</v>
      </c>
      <c r="Y666" s="4">
        <f>Sheet1[[#This Row],[Shipping_cost]]*Sheet1[[#This Row],[Quantity]]</f>
        <v>1.4</v>
      </c>
      <c r="Z666" s="4">
        <f>Sheet1[[#This Row],[Total Profit]]-Sheet1[[#This Row],[Total Shipping Cost]]</f>
        <v>7.5600000000000005</v>
      </c>
      <c r="AA666" s="4" t="str">
        <f>IF(Sheet1[[#This Row],[Net Profit]]&gt;0,"Profit","Loss")</f>
        <v>Profit</v>
      </c>
    </row>
    <row r="667" spans="1:27" x14ac:dyDescent="0.25">
      <c r="A667" t="s">
        <v>909</v>
      </c>
      <c r="B667" s="1">
        <v>40591</v>
      </c>
      <c r="C667" s="1">
        <v>40596</v>
      </c>
      <c r="D667" t="s">
        <v>1</v>
      </c>
      <c r="E667" t="s">
        <v>910</v>
      </c>
      <c r="F667" t="s">
        <v>26</v>
      </c>
      <c r="G667" t="s">
        <v>74</v>
      </c>
      <c r="H667" t="s">
        <v>74</v>
      </c>
      <c r="I667" t="s">
        <v>75</v>
      </c>
      <c r="J667" t="s">
        <v>76</v>
      </c>
      <c r="K667" t="s">
        <v>38</v>
      </c>
      <c r="L667" t="s">
        <v>77</v>
      </c>
      <c r="M667">
        <v>309</v>
      </c>
      <c r="N667">
        <v>3</v>
      </c>
      <c r="O667">
        <v>0</v>
      </c>
      <c r="P667">
        <v>102.06</v>
      </c>
      <c r="Q667">
        <v>26.54</v>
      </c>
      <c r="R667" t="s">
        <v>23</v>
      </c>
      <c r="S667">
        <f>Sheet1[[#This Row],[Ship_date]]-Sheet1[[#This Row],[Order_date]]</f>
        <v>5</v>
      </c>
      <c r="T667">
        <f>Sheet1[[#This Row],[Quantity]]*Sheet1[[#This Row],[Sales]]</f>
        <v>927</v>
      </c>
      <c r="U667">
        <f>Sheet1[[#This Row],[Total Sales]]*Sheet1[[#This Row],[Discount]]</f>
        <v>0</v>
      </c>
      <c r="V667" s="4">
        <f>Sheet1[[#This Row],[Total Sales]]-Sheet1[[#This Row],[Total Sales]]*Sheet1[[#This Row],[Discount]]</f>
        <v>927</v>
      </c>
      <c r="W667" s="4">
        <f>Sheet1[[#This Row],[Quantity]]*Sheet1[[#This Row],[Profit]]</f>
        <v>306.18</v>
      </c>
      <c r="X667" s="5">
        <f>Sheet1[[#This Row],[Total Profit]]/Sheet1[[#This Row],[Sales After Discount]]</f>
        <v>0.33029126213592236</v>
      </c>
      <c r="Y667" s="4">
        <f>Sheet1[[#This Row],[Shipping_cost]]*Sheet1[[#This Row],[Quantity]]</f>
        <v>79.62</v>
      </c>
      <c r="Z667" s="4">
        <f>Sheet1[[#This Row],[Total Profit]]-Sheet1[[#This Row],[Total Shipping Cost]]</f>
        <v>226.56</v>
      </c>
      <c r="AA667" s="4" t="str">
        <f>IF(Sheet1[[#This Row],[Net Profit]]&gt;0,"Profit","Loss")</f>
        <v>Profit</v>
      </c>
    </row>
    <row r="668" spans="1:27" x14ac:dyDescent="0.25">
      <c r="A668" t="s">
        <v>909</v>
      </c>
      <c r="B668" s="1">
        <v>40591</v>
      </c>
      <c r="C668" s="1">
        <v>40596</v>
      </c>
      <c r="D668" t="s">
        <v>1</v>
      </c>
      <c r="E668" t="s">
        <v>910</v>
      </c>
      <c r="F668" t="s">
        <v>26</v>
      </c>
      <c r="G668" t="s">
        <v>74</v>
      </c>
      <c r="H668" t="s">
        <v>74</v>
      </c>
      <c r="I668" t="s">
        <v>75</v>
      </c>
      <c r="J668" t="s">
        <v>76</v>
      </c>
      <c r="K668" t="s">
        <v>32</v>
      </c>
      <c r="L668" t="s">
        <v>33</v>
      </c>
      <c r="M668">
        <v>67</v>
      </c>
      <c r="N668">
        <v>5</v>
      </c>
      <c r="O668">
        <v>0</v>
      </c>
      <c r="P668">
        <v>2.6</v>
      </c>
      <c r="Q668">
        <v>11.37</v>
      </c>
      <c r="R668" t="s">
        <v>23</v>
      </c>
      <c r="S668">
        <f>Sheet1[[#This Row],[Ship_date]]-Sheet1[[#This Row],[Order_date]]</f>
        <v>5</v>
      </c>
      <c r="T668">
        <f>Sheet1[[#This Row],[Quantity]]*Sheet1[[#This Row],[Sales]]</f>
        <v>335</v>
      </c>
      <c r="U668">
        <f>Sheet1[[#This Row],[Total Sales]]*Sheet1[[#This Row],[Discount]]</f>
        <v>0</v>
      </c>
      <c r="V668" s="4">
        <f>Sheet1[[#This Row],[Total Sales]]-Sheet1[[#This Row],[Total Sales]]*Sheet1[[#This Row],[Discount]]</f>
        <v>335</v>
      </c>
      <c r="W668" s="4">
        <f>Sheet1[[#This Row],[Quantity]]*Sheet1[[#This Row],[Profit]]</f>
        <v>13</v>
      </c>
      <c r="X668" s="5">
        <f>Sheet1[[#This Row],[Total Profit]]/Sheet1[[#This Row],[Sales After Discount]]</f>
        <v>3.880597014925373E-2</v>
      </c>
      <c r="Y668" s="4">
        <f>Sheet1[[#This Row],[Shipping_cost]]*Sheet1[[#This Row],[Quantity]]</f>
        <v>56.849999999999994</v>
      </c>
      <c r="Z668" s="4">
        <f>Sheet1[[#This Row],[Total Profit]]-Sheet1[[#This Row],[Total Shipping Cost]]</f>
        <v>-43.849999999999994</v>
      </c>
      <c r="AA668" s="4" t="str">
        <f>IF(Sheet1[[#This Row],[Net Profit]]&gt;0,"Profit","Loss")</f>
        <v>Loss</v>
      </c>
    </row>
    <row r="669" spans="1:27" x14ac:dyDescent="0.25">
      <c r="A669" t="s">
        <v>911</v>
      </c>
      <c r="B669" s="1">
        <v>40591</v>
      </c>
      <c r="C669" s="1">
        <v>40593</v>
      </c>
      <c r="D669" t="s">
        <v>142</v>
      </c>
      <c r="E669" t="s">
        <v>912</v>
      </c>
      <c r="F669" t="s">
        <v>43</v>
      </c>
      <c r="G669" t="s">
        <v>913</v>
      </c>
      <c r="H669" t="s">
        <v>169</v>
      </c>
      <c r="I669" t="s">
        <v>14</v>
      </c>
      <c r="J669" t="s">
        <v>132</v>
      </c>
      <c r="K669" t="s">
        <v>7</v>
      </c>
      <c r="L669" t="s">
        <v>97</v>
      </c>
      <c r="M669">
        <v>70</v>
      </c>
      <c r="N669">
        <v>5</v>
      </c>
      <c r="O669">
        <v>0</v>
      </c>
      <c r="P669">
        <v>29.4</v>
      </c>
      <c r="Q669">
        <v>10.97</v>
      </c>
      <c r="R669" t="s">
        <v>45</v>
      </c>
      <c r="S669">
        <f>Sheet1[[#This Row],[Ship_date]]-Sheet1[[#This Row],[Order_date]]</f>
        <v>2</v>
      </c>
      <c r="T669">
        <f>Sheet1[[#This Row],[Quantity]]*Sheet1[[#This Row],[Sales]]</f>
        <v>350</v>
      </c>
      <c r="U669">
        <f>Sheet1[[#This Row],[Total Sales]]*Sheet1[[#This Row],[Discount]]</f>
        <v>0</v>
      </c>
      <c r="V669" s="4">
        <f>Sheet1[[#This Row],[Total Sales]]-Sheet1[[#This Row],[Total Sales]]*Sheet1[[#This Row],[Discount]]</f>
        <v>350</v>
      </c>
      <c r="W669" s="4">
        <f>Sheet1[[#This Row],[Quantity]]*Sheet1[[#This Row],[Profit]]</f>
        <v>147</v>
      </c>
      <c r="X669" s="5">
        <f>Sheet1[[#This Row],[Total Profit]]/Sheet1[[#This Row],[Sales After Discount]]</f>
        <v>0.42</v>
      </c>
      <c r="Y669" s="4">
        <f>Sheet1[[#This Row],[Shipping_cost]]*Sheet1[[#This Row],[Quantity]]</f>
        <v>54.85</v>
      </c>
      <c r="Z669" s="4">
        <f>Sheet1[[#This Row],[Total Profit]]-Sheet1[[#This Row],[Total Shipping Cost]]</f>
        <v>92.15</v>
      </c>
      <c r="AA669" s="4" t="str">
        <f>IF(Sheet1[[#This Row],[Net Profit]]&gt;0,"Profit","Loss")</f>
        <v>Profit</v>
      </c>
    </row>
    <row r="670" spans="1:27" x14ac:dyDescent="0.25">
      <c r="A670" t="s">
        <v>914</v>
      </c>
      <c r="B670" s="1">
        <v>40591</v>
      </c>
      <c r="C670" s="1">
        <v>40596</v>
      </c>
      <c r="D670" t="s">
        <v>1</v>
      </c>
      <c r="E670" t="s">
        <v>863</v>
      </c>
      <c r="F670" t="s">
        <v>26</v>
      </c>
      <c r="G670" t="s">
        <v>264</v>
      </c>
      <c r="H670" t="s">
        <v>86</v>
      </c>
      <c r="I670" t="s">
        <v>14</v>
      </c>
      <c r="J670" t="s">
        <v>61</v>
      </c>
      <c r="K670" t="s">
        <v>7</v>
      </c>
      <c r="L670" t="s">
        <v>137</v>
      </c>
      <c r="M670">
        <v>127</v>
      </c>
      <c r="N670">
        <v>3</v>
      </c>
      <c r="O670">
        <v>0.17</v>
      </c>
      <c r="P670">
        <v>-25.948799999999999</v>
      </c>
      <c r="Q670">
        <v>7.69</v>
      </c>
      <c r="R670" t="s">
        <v>9</v>
      </c>
      <c r="S670">
        <f>Sheet1[[#This Row],[Ship_date]]-Sheet1[[#This Row],[Order_date]]</f>
        <v>5</v>
      </c>
      <c r="T670">
        <f>Sheet1[[#This Row],[Quantity]]*Sheet1[[#This Row],[Sales]]</f>
        <v>381</v>
      </c>
      <c r="U670">
        <f>Sheet1[[#This Row],[Total Sales]]*Sheet1[[#This Row],[Discount]]</f>
        <v>64.77000000000001</v>
      </c>
      <c r="V670" s="4">
        <f>Sheet1[[#This Row],[Total Sales]]-Sheet1[[#This Row],[Total Sales]]*Sheet1[[#This Row],[Discount]]</f>
        <v>316.23</v>
      </c>
      <c r="W670" s="4">
        <f>Sheet1[[#This Row],[Quantity]]*Sheet1[[#This Row],[Profit]]</f>
        <v>-77.846399999999988</v>
      </c>
      <c r="X670" s="5">
        <f>Sheet1[[#This Row],[Total Profit]]/Sheet1[[#This Row],[Sales After Discount]]</f>
        <v>-0.24617019258134898</v>
      </c>
      <c r="Y670" s="4">
        <f>Sheet1[[#This Row],[Shipping_cost]]*Sheet1[[#This Row],[Quantity]]</f>
        <v>23.07</v>
      </c>
      <c r="Z670" s="4">
        <f>Sheet1[[#This Row],[Total Profit]]-Sheet1[[#This Row],[Total Shipping Cost]]</f>
        <v>-100.91639999999998</v>
      </c>
      <c r="AA670" s="4" t="str">
        <f>IF(Sheet1[[#This Row],[Net Profit]]&gt;0,"Profit","Loss")</f>
        <v>Loss</v>
      </c>
    </row>
    <row r="671" spans="1:27" x14ac:dyDescent="0.25">
      <c r="A671" t="s">
        <v>909</v>
      </c>
      <c r="B671" s="1">
        <v>40591</v>
      </c>
      <c r="C671" s="1">
        <v>40596</v>
      </c>
      <c r="D671" t="s">
        <v>1</v>
      </c>
      <c r="E671" t="s">
        <v>910</v>
      </c>
      <c r="F671" t="s">
        <v>26</v>
      </c>
      <c r="G671" t="s">
        <v>74</v>
      </c>
      <c r="H671" t="s">
        <v>74</v>
      </c>
      <c r="I671" t="s">
        <v>75</v>
      </c>
      <c r="J671" t="s">
        <v>76</v>
      </c>
      <c r="K671" t="s">
        <v>7</v>
      </c>
      <c r="L671" t="s">
        <v>96</v>
      </c>
      <c r="M671">
        <v>29</v>
      </c>
      <c r="N671">
        <v>2</v>
      </c>
      <c r="O671">
        <v>0</v>
      </c>
      <c r="P671">
        <v>13.96</v>
      </c>
      <c r="Q671">
        <v>2.5299999999999998</v>
      </c>
      <c r="R671" t="s">
        <v>23</v>
      </c>
      <c r="S671">
        <f>Sheet1[[#This Row],[Ship_date]]-Sheet1[[#This Row],[Order_date]]</f>
        <v>5</v>
      </c>
      <c r="T671">
        <f>Sheet1[[#This Row],[Quantity]]*Sheet1[[#This Row],[Sales]]</f>
        <v>58</v>
      </c>
      <c r="U671">
        <f>Sheet1[[#This Row],[Total Sales]]*Sheet1[[#This Row],[Discount]]</f>
        <v>0</v>
      </c>
      <c r="V671" s="4">
        <f>Sheet1[[#This Row],[Total Sales]]-Sheet1[[#This Row],[Total Sales]]*Sheet1[[#This Row],[Discount]]</f>
        <v>58</v>
      </c>
      <c r="W671" s="4">
        <f>Sheet1[[#This Row],[Quantity]]*Sheet1[[#This Row],[Profit]]</f>
        <v>27.92</v>
      </c>
      <c r="X671" s="5">
        <f>Sheet1[[#This Row],[Total Profit]]/Sheet1[[#This Row],[Sales After Discount]]</f>
        <v>0.48137931034482762</v>
      </c>
      <c r="Y671" s="4">
        <f>Sheet1[[#This Row],[Shipping_cost]]*Sheet1[[#This Row],[Quantity]]</f>
        <v>5.0599999999999996</v>
      </c>
      <c r="Z671" s="4">
        <f>Sheet1[[#This Row],[Total Profit]]-Sheet1[[#This Row],[Total Shipping Cost]]</f>
        <v>22.860000000000003</v>
      </c>
      <c r="AA671" s="4" t="str">
        <f>IF(Sheet1[[#This Row],[Net Profit]]&gt;0,"Profit","Loss")</f>
        <v>Profit</v>
      </c>
    </row>
    <row r="672" spans="1:27" x14ac:dyDescent="0.25">
      <c r="A672" t="s">
        <v>915</v>
      </c>
      <c r="B672" s="1">
        <v>40591</v>
      </c>
      <c r="C672" s="1">
        <v>40593</v>
      </c>
      <c r="D672" t="s">
        <v>142</v>
      </c>
      <c r="E672" t="s">
        <v>916</v>
      </c>
      <c r="F672" t="s">
        <v>3</v>
      </c>
      <c r="G672" t="s">
        <v>917</v>
      </c>
      <c r="H672" t="s">
        <v>837</v>
      </c>
      <c r="I672" t="s">
        <v>6</v>
      </c>
      <c r="J672" t="s">
        <v>6</v>
      </c>
      <c r="K672" t="s">
        <v>7</v>
      </c>
      <c r="L672" t="s">
        <v>91</v>
      </c>
      <c r="M672">
        <v>8</v>
      </c>
      <c r="N672">
        <v>1</v>
      </c>
      <c r="O672">
        <v>0.7</v>
      </c>
      <c r="P672">
        <v>-14.468999999999999</v>
      </c>
      <c r="Q672">
        <v>2.38</v>
      </c>
      <c r="R672" t="s">
        <v>9</v>
      </c>
      <c r="S672">
        <f>Sheet1[[#This Row],[Ship_date]]-Sheet1[[#This Row],[Order_date]]</f>
        <v>2</v>
      </c>
      <c r="T672">
        <f>Sheet1[[#This Row],[Quantity]]*Sheet1[[#This Row],[Sales]]</f>
        <v>8</v>
      </c>
      <c r="U672">
        <f>Sheet1[[#This Row],[Total Sales]]*Sheet1[[#This Row],[Discount]]</f>
        <v>5.6</v>
      </c>
      <c r="V672" s="4">
        <f>Sheet1[[#This Row],[Total Sales]]-Sheet1[[#This Row],[Total Sales]]*Sheet1[[#This Row],[Discount]]</f>
        <v>2.4000000000000004</v>
      </c>
      <c r="W672" s="4">
        <f>Sheet1[[#This Row],[Quantity]]*Sheet1[[#This Row],[Profit]]</f>
        <v>-14.468999999999999</v>
      </c>
      <c r="X672" s="5">
        <f>Sheet1[[#This Row],[Total Profit]]/Sheet1[[#This Row],[Sales After Discount]]</f>
        <v>-6.0287499999999987</v>
      </c>
      <c r="Y672" s="4">
        <f>Sheet1[[#This Row],[Shipping_cost]]*Sheet1[[#This Row],[Quantity]]</f>
        <v>2.38</v>
      </c>
      <c r="Z672" s="4">
        <f>Sheet1[[#This Row],[Total Profit]]-Sheet1[[#This Row],[Total Shipping Cost]]</f>
        <v>-16.849</v>
      </c>
      <c r="AA672" s="4" t="str">
        <f>IF(Sheet1[[#This Row],[Net Profit]]&gt;0,"Profit","Loss")</f>
        <v>Loss</v>
      </c>
    </row>
    <row r="673" spans="1:27" x14ac:dyDescent="0.25">
      <c r="A673" t="s">
        <v>918</v>
      </c>
      <c r="B673" s="1">
        <v>40591</v>
      </c>
      <c r="C673" s="1">
        <v>40596</v>
      </c>
      <c r="D673" t="s">
        <v>1</v>
      </c>
      <c r="E673" t="s">
        <v>919</v>
      </c>
      <c r="F673" t="s">
        <v>3</v>
      </c>
      <c r="G673" t="s">
        <v>125</v>
      </c>
      <c r="H673" t="s">
        <v>126</v>
      </c>
      <c r="I673" t="s">
        <v>127</v>
      </c>
      <c r="J673" t="s">
        <v>76</v>
      </c>
      <c r="K673" t="s">
        <v>7</v>
      </c>
      <c r="L673" t="s">
        <v>44</v>
      </c>
      <c r="M673">
        <v>8</v>
      </c>
      <c r="N673">
        <v>2</v>
      </c>
      <c r="O673">
        <v>0.8</v>
      </c>
      <c r="P673">
        <v>-13.93</v>
      </c>
      <c r="Q673">
        <v>0.92</v>
      </c>
      <c r="R673" t="s">
        <v>23</v>
      </c>
      <c r="S673">
        <f>Sheet1[[#This Row],[Ship_date]]-Sheet1[[#This Row],[Order_date]]</f>
        <v>5</v>
      </c>
      <c r="T673">
        <f>Sheet1[[#This Row],[Quantity]]*Sheet1[[#This Row],[Sales]]</f>
        <v>16</v>
      </c>
      <c r="U673">
        <f>Sheet1[[#This Row],[Total Sales]]*Sheet1[[#This Row],[Discount]]</f>
        <v>12.8</v>
      </c>
      <c r="V673" s="4">
        <f>Sheet1[[#This Row],[Total Sales]]-Sheet1[[#This Row],[Total Sales]]*Sheet1[[#This Row],[Discount]]</f>
        <v>3.1999999999999993</v>
      </c>
      <c r="W673" s="4">
        <f>Sheet1[[#This Row],[Quantity]]*Sheet1[[#This Row],[Profit]]</f>
        <v>-27.86</v>
      </c>
      <c r="X673" s="5">
        <f>Sheet1[[#This Row],[Total Profit]]/Sheet1[[#This Row],[Sales After Discount]]</f>
        <v>-8.7062500000000025</v>
      </c>
      <c r="Y673" s="4">
        <f>Sheet1[[#This Row],[Shipping_cost]]*Sheet1[[#This Row],[Quantity]]</f>
        <v>1.84</v>
      </c>
      <c r="Z673" s="4">
        <f>Sheet1[[#This Row],[Total Profit]]-Sheet1[[#This Row],[Total Shipping Cost]]</f>
        <v>-29.7</v>
      </c>
      <c r="AA673" s="4" t="str">
        <f>IF(Sheet1[[#This Row],[Net Profit]]&gt;0,"Profit","Loss")</f>
        <v>Loss</v>
      </c>
    </row>
    <row r="674" spans="1:27" x14ac:dyDescent="0.25">
      <c r="A674" t="s">
        <v>920</v>
      </c>
      <c r="B674" s="1">
        <v>40591</v>
      </c>
      <c r="C674" s="1">
        <v>40596</v>
      </c>
      <c r="D674" t="s">
        <v>1</v>
      </c>
      <c r="E674" t="s">
        <v>316</v>
      </c>
      <c r="F674" t="s">
        <v>3</v>
      </c>
      <c r="G674" t="s">
        <v>222</v>
      </c>
      <c r="H674" t="s">
        <v>223</v>
      </c>
      <c r="I674" t="s">
        <v>6</v>
      </c>
      <c r="J674" t="s">
        <v>6</v>
      </c>
      <c r="K674" t="s">
        <v>7</v>
      </c>
      <c r="L674" t="s">
        <v>87</v>
      </c>
      <c r="M674">
        <v>6</v>
      </c>
      <c r="N674">
        <v>2</v>
      </c>
      <c r="O674">
        <v>0.7</v>
      </c>
      <c r="P674">
        <v>-7.05</v>
      </c>
      <c r="Q674">
        <v>0.56000000000000005</v>
      </c>
      <c r="R674" t="s">
        <v>9</v>
      </c>
      <c r="S674">
        <f>Sheet1[[#This Row],[Ship_date]]-Sheet1[[#This Row],[Order_date]]</f>
        <v>5</v>
      </c>
      <c r="T674">
        <f>Sheet1[[#This Row],[Quantity]]*Sheet1[[#This Row],[Sales]]</f>
        <v>12</v>
      </c>
      <c r="U674">
        <f>Sheet1[[#This Row],[Total Sales]]*Sheet1[[#This Row],[Discount]]</f>
        <v>8.3999999999999986</v>
      </c>
      <c r="V674" s="4">
        <f>Sheet1[[#This Row],[Total Sales]]-Sheet1[[#This Row],[Total Sales]]*Sheet1[[#This Row],[Discount]]</f>
        <v>3.6000000000000014</v>
      </c>
      <c r="W674" s="4">
        <f>Sheet1[[#This Row],[Quantity]]*Sheet1[[#This Row],[Profit]]</f>
        <v>-14.1</v>
      </c>
      <c r="X674" s="5">
        <f>Sheet1[[#This Row],[Total Profit]]/Sheet1[[#This Row],[Sales After Discount]]</f>
        <v>-3.9166666666666652</v>
      </c>
      <c r="Y674" s="4">
        <f>Sheet1[[#This Row],[Shipping_cost]]*Sheet1[[#This Row],[Quantity]]</f>
        <v>1.1200000000000001</v>
      </c>
      <c r="Z674" s="4">
        <f>Sheet1[[#This Row],[Total Profit]]-Sheet1[[#This Row],[Total Shipping Cost]]</f>
        <v>-15.219999999999999</v>
      </c>
      <c r="AA674" s="4" t="str">
        <f>IF(Sheet1[[#This Row],[Net Profit]]&gt;0,"Profit","Loss")</f>
        <v>Loss</v>
      </c>
    </row>
    <row r="675" spans="1:27" x14ac:dyDescent="0.25">
      <c r="A675" t="s">
        <v>915</v>
      </c>
      <c r="B675" s="1">
        <v>40591</v>
      </c>
      <c r="C675" s="1">
        <v>40593</v>
      </c>
      <c r="D675" t="s">
        <v>142</v>
      </c>
      <c r="E675" t="s">
        <v>916</v>
      </c>
      <c r="F675" t="s">
        <v>3</v>
      </c>
      <c r="G675" t="s">
        <v>917</v>
      </c>
      <c r="H675" t="s">
        <v>837</v>
      </c>
      <c r="I675" t="s">
        <v>6</v>
      </c>
      <c r="J675" t="s">
        <v>6</v>
      </c>
      <c r="K675" t="s">
        <v>7</v>
      </c>
      <c r="L675" t="s">
        <v>91</v>
      </c>
      <c r="M675">
        <v>6</v>
      </c>
      <c r="N675">
        <v>1</v>
      </c>
      <c r="O675">
        <v>0.7</v>
      </c>
      <c r="P675">
        <v>-6.4409999999999998</v>
      </c>
      <c r="Q675">
        <v>0.4</v>
      </c>
      <c r="R675" t="s">
        <v>9</v>
      </c>
      <c r="S675">
        <f>Sheet1[[#This Row],[Ship_date]]-Sheet1[[#This Row],[Order_date]]</f>
        <v>2</v>
      </c>
      <c r="T675">
        <f>Sheet1[[#This Row],[Quantity]]*Sheet1[[#This Row],[Sales]]</f>
        <v>6</v>
      </c>
      <c r="U675">
        <f>Sheet1[[#This Row],[Total Sales]]*Sheet1[[#This Row],[Discount]]</f>
        <v>4.1999999999999993</v>
      </c>
      <c r="V675" s="4">
        <f>Sheet1[[#This Row],[Total Sales]]-Sheet1[[#This Row],[Total Sales]]*Sheet1[[#This Row],[Discount]]</f>
        <v>1.8000000000000007</v>
      </c>
      <c r="W675" s="4">
        <f>Sheet1[[#This Row],[Quantity]]*Sheet1[[#This Row],[Profit]]</f>
        <v>-6.4409999999999998</v>
      </c>
      <c r="X675" s="5">
        <f>Sheet1[[#This Row],[Total Profit]]/Sheet1[[#This Row],[Sales After Discount]]</f>
        <v>-3.5783333333333318</v>
      </c>
      <c r="Y675" s="4">
        <f>Sheet1[[#This Row],[Shipping_cost]]*Sheet1[[#This Row],[Quantity]]</f>
        <v>0.4</v>
      </c>
      <c r="Z675" s="4">
        <f>Sheet1[[#This Row],[Total Profit]]-Sheet1[[#This Row],[Total Shipping Cost]]</f>
        <v>-6.8410000000000002</v>
      </c>
      <c r="AA675" s="4" t="str">
        <f>IF(Sheet1[[#This Row],[Net Profit]]&gt;0,"Profit","Loss")</f>
        <v>Loss</v>
      </c>
    </row>
    <row r="676" spans="1:27" x14ac:dyDescent="0.25">
      <c r="A676" t="s">
        <v>918</v>
      </c>
      <c r="B676" s="1">
        <v>40591</v>
      </c>
      <c r="C676" s="1">
        <v>40596</v>
      </c>
      <c r="D676" t="s">
        <v>1</v>
      </c>
      <c r="E676" t="s">
        <v>919</v>
      </c>
      <c r="F676" t="s">
        <v>3</v>
      </c>
      <c r="G676" t="s">
        <v>125</v>
      </c>
      <c r="H676" t="s">
        <v>126</v>
      </c>
      <c r="I676" t="s">
        <v>127</v>
      </c>
      <c r="J676" t="s">
        <v>76</v>
      </c>
      <c r="K676" t="s">
        <v>7</v>
      </c>
      <c r="L676" t="s">
        <v>137</v>
      </c>
      <c r="M676">
        <v>1</v>
      </c>
      <c r="N676">
        <v>3</v>
      </c>
      <c r="O676">
        <v>0.8</v>
      </c>
      <c r="P676">
        <v>-1.728</v>
      </c>
      <c r="Q676">
        <v>0.11</v>
      </c>
      <c r="R676" t="s">
        <v>23</v>
      </c>
      <c r="S676">
        <f>Sheet1[[#This Row],[Ship_date]]-Sheet1[[#This Row],[Order_date]]</f>
        <v>5</v>
      </c>
      <c r="T676">
        <f>Sheet1[[#This Row],[Quantity]]*Sheet1[[#This Row],[Sales]]</f>
        <v>3</v>
      </c>
      <c r="U676">
        <f>Sheet1[[#This Row],[Total Sales]]*Sheet1[[#This Row],[Discount]]</f>
        <v>2.4000000000000004</v>
      </c>
      <c r="V676" s="4">
        <f>Sheet1[[#This Row],[Total Sales]]-Sheet1[[#This Row],[Total Sales]]*Sheet1[[#This Row],[Discount]]</f>
        <v>0.59999999999999964</v>
      </c>
      <c r="W676" s="4">
        <f>Sheet1[[#This Row],[Quantity]]*Sheet1[[#This Row],[Profit]]</f>
        <v>-5.1840000000000002</v>
      </c>
      <c r="X676" s="5">
        <f>Sheet1[[#This Row],[Total Profit]]/Sheet1[[#This Row],[Sales After Discount]]</f>
        <v>-8.6400000000000059</v>
      </c>
      <c r="Y676" s="4">
        <f>Sheet1[[#This Row],[Shipping_cost]]*Sheet1[[#This Row],[Quantity]]</f>
        <v>0.33</v>
      </c>
      <c r="Z676" s="4">
        <f>Sheet1[[#This Row],[Total Profit]]-Sheet1[[#This Row],[Total Shipping Cost]]</f>
        <v>-5.5140000000000002</v>
      </c>
      <c r="AA676" s="4" t="str">
        <f>IF(Sheet1[[#This Row],[Net Profit]]&gt;0,"Profit","Loss")</f>
        <v>Loss</v>
      </c>
    </row>
    <row r="677" spans="1:27" x14ac:dyDescent="0.25">
      <c r="A677" t="s">
        <v>921</v>
      </c>
      <c r="B677" s="1">
        <v>40592</v>
      </c>
      <c r="C677" s="1">
        <v>40595</v>
      </c>
      <c r="D677" t="s">
        <v>18</v>
      </c>
      <c r="E677" t="s">
        <v>922</v>
      </c>
      <c r="F677" t="s">
        <v>43</v>
      </c>
      <c r="G677" t="s">
        <v>235</v>
      </c>
      <c r="H677" t="s">
        <v>13</v>
      </c>
      <c r="I677" t="s">
        <v>14</v>
      </c>
      <c r="J677" t="s">
        <v>15</v>
      </c>
      <c r="K677" t="s">
        <v>38</v>
      </c>
      <c r="L677" t="s">
        <v>77</v>
      </c>
      <c r="M677">
        <v>825</v>
      </c>
      <c r="N677">
        <v>5</v>
      </c>
      <c r="O677">
        <v>0.1</v>
      </c>
      <c r="P677">
        <v>54.87</v>
      </c>
      <c r="Q677">
        <v>161.63</v>
      </c>
      <c r="R677" t="s">
        <v>23</v>
      </c>
      <c r="S677">
        <f>Sheet1[[#This Row],[Ship_date]]-Sheet1[[#This Row],[Order_date]]</f>
        <v>3</v>
      </c>
      <c r="T677">
        <f>Sheet1[[#This Row],[Quantity]]*Sheet1[[#This Row],[Sales]]</f>
        <v>4125</v>
      </c>
      <c r="U677">
        <f>Sheet1[[#This Row],[Total Sales]]*Sheet1[[#This Row],[Discount]]</f>
        <v>412.5</v>
      </c>
      <c r="V677" s="4">
        <f>Sheet1[[#This Row],[Total Sales]]-Sheet1[[#This Row],[Total Sales]]*Sheet1[[#This Row],[Discount]]</f>
        <v>3712.5</v>
      </c>
      <c r="W677" s="4">
        <f>Sheet1[[#This Row],[Quantity]]*Sheet1[[#This Row],[Profit]]</f>
        <v>274.34999999999997</v>
      </c>
      <c r="X677" s="5">
        <f>Sheet1[[#This Row],[Total Profit]]/Sheet1[[#This Row],[Sales After Discount]]</f>
        <v>7.3898989898989895E-2</v>
      </c>
      <c r="Y677" s="4">
        <f>Sheet1[[#This Row],[Shipping_cost]]*Sheet1[[#This Row],[Quantity]]</f>
        <v>808.15</v>
      </c>
      <c r="Z677" s="4">
        <f>Sheet1[[#This Row],[Total Profit]]-Sheet1[[#This Row],[Total Shipping Cost]]</f>
        <v>-533.79999999999995</v>
      </c>
      <c r="AA677" s="4" t="str">
        <f>IF(Sheet1[[#This Row],[Net Profit]]&gt;0,"Profit","Loss")</f>
        <v>Loss</v>
      </c>
    </row>
    <row r="678" spans="1:27" x14ac:dyDescent="0.25">
      <c r="A678" t="s">
        <v>923</v>
      </c>
      <c r="B678" s="1">
        <v>40592</v>
      </c>
      <c r="C678" s="1">
        <v>40594</v>
      </c>
      <c r="D678" t="s">
        <v>142</v>
      </c>
      <c r="E678" t="s">
        <v>924</v>
      </c>
      <c r="F678" t="s">
        <v>26</v>
      </c>
      <c r="G678" t="s">
        <v>36</v>
      </c>
      <c r="H678" t="s">
        <v>37</v>
      </c>
      <c r="I678" t="s">
        <v>37</v>
      </c>
      <c r="J678" t="s">
        <v>37</v>
      </c>
      <c r="K678" t="s">
        <v>7</v>
      </c>
      <c r="L678" t="s">
        <v>44</v>
      </c>
      <c r="M678">
        <v>277</v>
      </c>
      <c r="N678">
        <v>1</v>
      </c>
      <c r="O678">
        <v>0</v>
      </c>
      <c r="P678">
        <v>30.42</v>
      </c>
      <c r="Q678">
        <v>46.69</v>
      </c>
      <c r="R678" t="s">
        <v>23</v>
      </c>
      <c r="S678">
        <f>Sheet1[[#This Row],[Ship_date]]-Sheet1[[#This Row],[Order_date]]</f>
        <v>2</v>
      </c>
      <c r="T678">
        <f>Sheet1[[#This Row],[Quantity]]*Sheet1[[#This Row],[Sales]]</f>
        <v>277</v>
      </c>
      <c r="U678">
        <f>Sheet1[[#This Row],[Total Sales]]*Sheet1[[#This Row],[Discount]]</f>
        <v>0</v>
      </c>
      <c r="V678" s="4">
        <f>Sheet1[[#This Row],[Total Sales]]-Sheet1[[#This Row],[Total Sales]]*Sheet1[[#This Row],[Discount]]</f>
        <v>277</v>
      </c>
      <c r="W678" s="4">
        <f>Sheet1[[#This Row],[Quantity]]*Sheet1[[#This Row],[Profit]]</f>
        <v>30.42</v>
      </c>
      <c r="X678" s="5">
        <f>Sheet1[[#This Row],[Total Profit]]/Sheet1[[#This Row],[Sales After Discount]]</f>
        <v>0.10981949458483756</v>
      </c>
      <c r="Y678" s="4">
        <f>Sheet1[[#This Row],[Shipping_cost]]*Sheet1[[#This Row],[Quantity]]</f>
        <v>46.69</v>
      </c>
      <c r="Z678" s="4">
        <f>Sheet1[[#This Row],[Total Profit]]-Sheet1[[#This Row],[Total Shipping Cost]]</f>
        <v>-16.269999999999996</v>
      </c>
      <c r="AA678" s="4" t="str">
        <f>IF(Sheet1[[#This Row],[Net Profit]]&gt;0,"Profit","Loss")</f>
        <v>Loss</v>
      </c>
    </row>
    <row r="679" spans="1:27" x14ac:dyDescent="0.25">
      <c r="A679" t="s">
        <v>925</v>
      </c>
      <c r="B679" s="1">
        <v>40592</v>
      </c>
      <c r="C679" s="1">
        <v>40594</v>
      </c>
      <c r="D679" t="s">
        <v>142</v>
      </c>
      <c r="E679" t="s">
        <v>667</v>
      </c>
      <c r="F679" t="s">
        <v>3</v>
      </c>
      <c r="G679" t="s">
        <v>926</v>
      </c>
      <c r="H679" t="s">
        <v>801</v>
      </c>
      <c r="I679" t="s">
        <v>14</v>
      </c>
      <c r="J679" t="s">
        <v>132</v>
      </c>
      <c r="K679" t="s">
        <v>38</v>
      </c>
      <c r="L679" t="s">
        <v>82</v>
      </c>
      <c r="M679">
        <v>258</v>
      </c>
      <c r="N679">
        <v>2</v>
      </c>
      <c r="O679">
        <v>0.5</v>
      </c>
      <c r="P679">
        <v>-165.03</v>
      </c>
      <c r="Q679">
        <v>29.12</v>
      </c>
      <c r="R679" t="s">
        <v>9</v>
      </c>
      <c r="S679">
        <f>Sheet1[[#This Row],[Ship_date]]-Sheet1[[#This Row],[Order_date]]</f>
        <v>2</v>
      </c>
      <c r="T679">
        <f>Sheet1[[#This Row],[Quantity]]*Sheet1[[#This Row],[Sales]]</f>
        <v>516</v>
      </c>
      <c r="U679">
        <f>Sheet1[[#This Row],[Total Sales]]*Sheet1[[#This Row],[Discount]]</f>
        <v>258</v>
      </c>
      <c r="V679" s="4">
        <f>Sheet1[[#This Row],[Total Sales]]-Sheet1[[#This Row],[Total Sales]]*Sheet1[[#This Row],[Discount]]</f>
        <v>258</v>
      </c>
      <c r="W679" s="4">
        <f>Sheet1[[#This Row],[Quantity]]*Sheet1[[#This Row],[Profit]]</f>
        <v>-330.06</v>
      </c>
      <c r="X679" s="5">
        <f>Sheet1[[#This Row],[Total Profit]]/Sheet1[[#This Row],[Sales After Discount]]</f>
        <v>-1.2793023255813953</v>
      </c>
      <c r="Y679" s="4">
        <f>Sheet1[[#This Row],[Shipping_cost]]*Sheet1[[#This Row],[Quantity]]</f>
        <v>58.24</v>
      </c>
      <c r="Z679" s="4">
        <f>Sheet1[[#This Row],[Total Profit]]-Sheet1[[#This Row],[Total Shipping Cost]]</f>
        <v>-388.3</v>
      </c>
      <c r="AA679" s="4" t="str">
        <f>IF(Sheet1[[#This Row],[Net Profit]]&gt;0,"Profit","Loss")</f>
        <v>Loss</v>
      </c>
    </row>
    <row r="680" spans="1:27" x14ac:dyDescent="0.25">
      <c r="A680" t="s">
        <v>927</v>
      </c>
      <c r="B680" s="1">
        <v>40592</v>
      </c>
      <c r="C680" s="1">
        <v>40597</v>
      </c>
      <c r="D680" t="s">
        <v>1</v>
      </c>
      <c r="E680" t="s">
        <v>928</v>
      </c>
      <c r="F680" t="s">
        <v>3</v>
      </c>
      <c r="G680" t="s">
        <v>153</v>
      </c>
      <c r="H680" t="s">
        <v>115</v>
      </c>
      <c r="I680" t="s">
        <v>29</v>
      </c>
      <c r="J680" t="s">
        <v>76</v>
      </c>
      <c r="K680" t="s">
        <v>38</v>
      </c>
      <c r="L680" t="s">
        <v>39</v>
      </c>
      <c r="M680">
        <v>129</v>
      </c>
      <c r="N680">
        <v>3</v>
      </c>
      <c r="O680">
        <v>0.15</v>
      </c>
      <c r="P680">
        <v>-1.53</v>
      </c>
      <c r="Q680">
        <v>13.21</v>
      </c>
      <c r="R680" t="s">
        <v>9</v>
      </c>
      <c r="S680">
        <f>Sheet1[[#This Row],[Ship_date]]-Sheet1[[#This Row],[Order_date]]</f>
        <v>5</v>
      </c>
      <c r="T680">
        <f>Sheet1[[#This Row],[Quantity]]*Sheet1[[#This Row],[Sales]]</f>
        <v>387</v>
      </c>
      <c r="U680">
        <f>Sheet1[[#This Row],[Total Sales]]*Sheet1[[#This Row],[Discount]]</f>
        <v>58.05</v>
      </c>
      <c r="V680" s="4">
        <f>Sheet1[[#This Row],[Total Sales]]-Sheet1[[#This Row],[Total Sales]]*Sheet1[[#This Row],[Discount]]</f>
        <v>328.95</v>
      </c>
      <c r="W680" s="4">
        <f>Sheet1[[#This Row],[Quantity]]*Sheet1[[#This Row],[Profit]]</f>
        <v>-4.59</v>
      </c>
      <c r="X680" s="5">
        <f>Sheet1[[#This Row],[Total Profit]]/Sheet1[[#This Row],[Sales After Discount]]</f>
        <v>-1.3953488372093023E-2</v>
      </c>
      <c r="Y680" s="4">
        <f>Sheet1[[#This Row],[Shipping_cost]]*Sheet1[[#This Row],[Quantity]]</f>
        <v>39.630000000000003</v>
      </c>
      <c r="Z680" s="4">
        <f>Sheet1[[#This Row],[Total Profit]]-Sheet1[[#This Row],[Total Shipping Cost]]</f>
        <v>-44.22</v>
      </c>
      <c r="AA680" s="4" t="str">
        <f>IF(Sheet1[[#This Row],[Net Profit]]&gt;0,"Profit","Loss")</f>
        <v>Loss</v>
      </c>
    </row>
    <row r="681" spans="1:27" x14ac:dyDescent="0.25">
      <c r="A681" t="s">
        <v>929</v>
      </c>
      <c r="B681" s="1">
        <v>40592</v>
      </c>
      <c r="C681" s="1">
        <v>40597</v>
      </c>
      <c r="D681" t="s">
        <v>1</v>
      </c>
      <c r="E681" t="s">
        <v>452</v>
      </c>
      <c r="F681" t="s">
        <v>3</v>
      </c>
      <c r="G681" t="s">
        <v>930</v>
      </c>
      <c r="H681" t="s">
        <v>280</v>
      </c>
      <c r="I681" t="s">
        <v>14</v>
      </c>
      <c r="J681" t="s">
        <v>281</v>
      </c>
      <c r="K681" t="s">
        <v>32</v>
      </c>
      <c r="L681" t="s">
        <v>56</v>
      </c>
      <c r="M681">
        <v>300</v>
      </c>
      <c r="N681">
        <v>3</v>
      </c>
      <c r="O681">
        <v>0</v>
      </c>
      <c r="P681">
        <v>18</v>
      </c>
      <c r="Q681">
        <v>12.23</v>
      </c>
      <c r="R681" t="s">
        <v>9</v>
      </c>
      <c r="S681">
        <f>Sheet1[[#This Row],[Ship_date]]-Sheet1[[#This Row],[Order_date]]</f>
        <v>5</v>
      </c>
      <c r="T681">
        <f>Sheet1[[#This Row],[Quantity]]*Sheet1[[#This Row],[Sales]]</f>
        <v>900</v>
      </c>
      <c r="U681">
        <f>Sheet1[[#This Row],[Total Sales]]*Sheet1[[#This Row],[Discount]]</f>
        <v>0</v>
      </c>
      <c r="V681" s="4">
        <f>Sheet1[[#This Row],[Total Sales]]-Sheet1[[#This Row],[Total Sales]]*Sheet1[[#This Row],[Discount]]</f>
        <v>900</v>
      </c>
      <c r="W681" s="4">
        <f>Sheet1[[#This Row],[Quantity]]*Sheet1[[#This Row],[Profit]]</f>
        <v>54</v>
      </c>
      <c r="X681" s="5">
        <f>Sheet1[[#This Row],[Total Profit]]/Sheet1[[#This Row],[Sales After Discount]]</f>
        <v>0.06</v>
      </c>
      <c r="Y681" s="4">
        <f>Sheet1[[#This Row],[Shipping_cost]]*Sheet1[[#This Row],[Quantity]]</f>
        <v>36.69</v>
      </c>
      <c r="Z681" s="4">
        <f>Sheet1[[#This Row],[Total Profit]]-Sheet1[[#This Row],[Total Shipping Cost]]</f>
        <v>17.310000000000002</v>
      </c>
      <c r="AA681" s="4" t="str">
        <f>IF(Sheet1[[#This Row],[Net Profit]]&gt;0,"Profit","Loss")</f>
        <v>Profit</v>
      </c>
    </row>
    <row r="682" spans="1:27" x14ac:dyDescent="0.25">
      <c r="A682" t="s">
        <v>931</v>
      </c>
      <c r="B682" s="1">
        <v>40592</v>
      </c>
      <c r="C682" s="1">
        <v>40598</v>
      </c>
      <c r="D682" t="s">
        <v>1</v>
      </c>
      <c r="E682" t="s">
        <v>932</v>
      </c>
      <c r="F682" t="s">
        <v>3</v>
      </c>
      <c r="G682" t="s">
        <v>660</v>
      </c>
      <c r="H682" t="s">
        <v>13</v>
      </c>
      <c r="I682" t="s">
        <v>14</v>
      </c>
      <c r="J682" t="s">
        <v>15</v>
      </c>
      <c r="K682" t="s">
        <v>7</v>
      </c>
      <c r="L682" t="s">
        <v>31</v>
      </c>
      <c r="M682">
        <v>82</v>
      </c>
      <c r="N682">
        <v>5</v>
      </c>
      <c r="O682">
        <v>0.1</v>
      </c>
      <c r="P682">
        <v>24.39</v>
      </c>
      <c r="Q682">
        <v>7.44</v>
      </c>
      <c r="R682" t="s">
        <v>9</v>
      </c>
      <c r="S682">
        <f>Sheet1[[#This Row],[Ship_date]]-Sheet1[[#This Row],[Order_date]]</f>
        <v>6</v>
      </c>
      <c r="T682">
        <f>Sheet1[[#This Row],[Quantity]]*Sheet1[[#This Row],[Sales]]</f>
        <v>410</v>
      </c>
      <c r="U682">
        <f>Sheet1[[#This Row],[Total Sales]]*Sheet1[[#This Row],[Discount]]</f>
        <v>41</v>
      </c>
      <c r="V682" s="4">
        <f>Sheet1[[#This Row],[Total Sales]]-Sheet1[[#This Row],[Total Sales]]*Sheet1[[#This Row],[Discount]]</f>
        <v>369</v>
      </c>
      <c r="W682" s="4">
        <f>Sheet1[[#This Row],[Quantity]]*Sheet1[[#This Row],[Profit]]</f>
        <v>121.95</v>
      </c>
      <c r="X682" s="5">
        <f>Sheet1[[#This Row],[Total Profit]]/Sheet1[[#This Row],[Sales After Discount]]</f>
        <v>0.3304878048780488</v>
      </c>
      <c r="Y682" s="4">
        <f>Sheet1[[#This Row],[Shipping_cost]]*Sheet1[[#This Row],[Quantity]]</f>
        <v>37.200000000000003</v>
      </c>
      <c r="Z682" s="4">
        <f>Sheet1[[#This Row],[Total Profit]]-Sheet1[[#This Row],[Total Shipping Cost]]</f>
        <v>84.75</v>
      </c>
      <c r="AA682" s="4" t="str">
        <f>IF(Sheet1[[#This Row],[Net Profit]]&gt;0,"Profit","Loss")</f>
        <v>Profit</v>
      </c>
    </row>
    <row r="683" spans="1:27" x14ac:dyDescent="0.25">
      <c r="A683" t="s">
        <v>923</v>
      </c>
      <c r="B683" s="1">
        <v>40592</v>
      </c>
      <c r="C683" s="1">
        <v>40594</v>
      </c>
      <c r="D683" t="s">
        <v>142</v>
      </c>
      <c r="E683" t="s">
        <v>924</v>
      </c>
      <c r="F683" t="s">
        <v>26</v>
      </c>
      <c r="G683" t="s">
        <v>36</v>
      </c>
      <c r="H683" t="s">
        <v>37</v>
      </c>
      <c r="I683" t="s">
        <v>37</v>
      </c>
      <c r="J683" t="s">
        <v>37</v>
      </c>
      <c r="K683" t="s">
        <v>7</v>
      </c>
      <c r="L683" t="s">
        <v>16</v>
      </c>
      <c r="M683">
        <v>37</v>
      </c>
      <c r="N683">
        <v>1</v>
      </c>
      <c r="O683">
        <v>0</v>
      </c>
      <c r="P683">
        <v>13.02</v>
      </c>
      <c r="Q683">
        <v>7.41</v>
      </c>
      <c r="R683" t="s">
        <v>23</v>
      </c>
      <c r="S683">
        <f>Sheet1[[#This Row],[Ship_date]]-Sheet1[[#This Row],[Order_date]]</f>
        <v>2</v>
      </c>
      <c r="T683">
        <f>Sheet1[[#This Row],[Quantity]]*Sheet1[[#This Row],[Sales]]</f>
        <v>37</v>
      </c>
      <c r="U683">
        <f>Sheet1[[#This Row],[Total Sales]]*Sheet1[[#This Row],[Discount]]</f>
        <v>0</v>
      </c>
      <c r="V683" s="4">
        <f>Sheet1[[#This Row],[Total Sales]]-Sheet1[[#This Row],[Total Sales]]*Sheet1[[#This Row],[Discount]]</f>
        <v>37</v>
      </c>
      <c r="W683" s="4">
        <f>Sheet1[[#This Row],[Quantity]]*Sheet1[[#This Row],[Profit]]</f>
        <v>13.02</v>
      </c>
      <c r="X683" s="5">
        <f>Sheet1[[#This Row],[Total Profit]]/Sheet1[[#This Row],[Sales After Discount]]</f>
        <v>0.35189189189189191</v>
      </c>
      <c r="Y683" s="4">
        <f>Sheet1[[#This Row],[Shipping_cost]]*Sheet1[[#This Row],[Quantity]]</f>
        <v>7.41</v>
      </c>
      <c r="Z683" s="4">
        <f>Sheet1[[#This Row],[Total Profit]]-Sheet1[[#This Row],[Total Shipping Cost]]</f>
        <v>5.6099999999999994</v>
      </c>
      <c r="AA683" s="4" t="str">
        <f>IF(Sheet1[[#This Row],[Net Profit]]&gt;0,"Profit","Loss")</f>
        <v>Profit</v>
      </c>
    </row>
    <row r="684" spans="1:27" x14ac:dyDescent="0.25">
      <c r="A684" t="s">
        <v>933</v>
      </c>
      <c r="B684" s="1">
        <v>40592</v>
      </c>
      <c r="C684" s="1">
        <v>40596</v>
      </c>
      <c r="D684" t="s">
        <v>18</v>
      </c>
      <c r="E684" t="s">
        <v>934</v>
      </c>
      <c r="F684" t="s">
        <v>3</v>
      </c>
      <c r="G684" t="s">
        <v>471</v>
      </c>
      <c r="H684" t="s">
        <v>305</v>
      </c>
      <c r="I684" t="s">
        <v>29</v>
      </c>
      <c r="J684" t="s">
        <v>76</v>
      </c>
      <c r="K684" t="s">
        <v>7</v>
      </c>
      <c r="L684" t="s">
        <v>97</v>
      </c>
      <c r="M684">
        <v>62</v>
      </c>
      <c r="N684">
        <v>7</v>
      </c>
      <c r="O684">
        <v>0</v>
      </c>
      <c r="P684">
        <v>23.31</v>
      </c>
      <c r="Q684">
        <v>7.12</v>
      </c>
      <c r="R684" t="s">
        <v>9</v>
      </c>
      <c r="S684">
        <f>Sheet1[[#This Row],[Ship_date]]-Sheet1[[#This Row],[Order_date]]</f>
        <v>4</v>
      </c>
      <c r="T684">
        <f>Sheet1[[#This Row],[Quantity]]*Sheet1[[#This Row],[Sales]]</f>
        <v>434</v>
      </c>
      <c r="U684">
        <f>Sheet1[[#This Row],[Total Sales]]*Sheet1[[#This Row],[Discount]]</f>
        <v>0</v>
      </c>
      <c r="V684" s="4">
        <f>Sheet1[[#This Row],[Total Sales]]-Sheet1[[#This Row],[Total Sales]]*Sheet1[[#This Row],[Discount]]</f>
        <v>434</v>
      </c>
      <c r="W684" s="4">
        <f>Sheet1[[#This Row],[Quantity]]*Sheet1[[#This Row],[Profit]]</f>
        <v>163.16999999999999</v>
      </c>
      <c r="X684" s="5">
        <f>Sheet1[[#This Row],[Total Profit]]/Sheet1[[#This Row],[Sales After Discount]]</f>
        <v>0.37596774193548382</v>
      </c>
      <c r="Y684" s="4">
        <f>Sheet1[[#This Row],[Shipping_cost]]*Sheet1[[#This Row],[Quantity]]</f>
        <v>49.84</v>
      </c>
      <c r="Z684" s="4">
        <f>Sheet1[[#This Row],[Total Profit]]-Sheet1[[#This Row],[Total Shipping Cost]]</f>
        <v>113.32999999999998</v>
      </c>
      <c r="AA684" s="4" t="str">
        <f>IF(Sheet1[[#This Row],[Net Profit]]&gt;0,"Profit","Loss")</f>
        <v>Profit</v>
      </c>
    </row>
    <row r="685" spans="1:27" x14ac:dyDescent="0.25">
      <c r="A685" t="s">
        <v>923</v>
      </c>
      <c r="B685" s="1">
        <v>40592</v>
      </c>
      <c r="C685" s="1">
        <v>40594</v>
      </c>
      <c r="D685" t="s">
        <v>142</v>
      </c>
      <c r="E685" t="s">
        <v>924</v>
      </c>
      <c r="F685" t="s">
        <v>26</v>
      </c>
      <c r="G685" t="s">
        <v>36</v>
      </c>
      <c r="H685" t="s">
        <v>37</v>
      </c>
      <c r="I685" t="s">
        <v>37</v>
      </c>
      <c r="J685" t="s">
        <v>37</v>
      </c>
      <c r="K685" t="s">
        <v>7</v>
      </c>
      <c r="L685" t="s">
        <v>44</v>
      </c>
      <c r="M685">
        <v>97</v>
      </c>
      <c r="N685">
        <v>1</v>
      </c>
      <c r="O685">
        <v>0</v>
      </c>
      <c r="P685">
        <v>36.840000000000003</v>
      </c>
      <c r="Q685">
        <v>6.88</v>
      </c>
      <c r="R685" t="s">
        <v>23</v>
      </c>
      <c r="S685">
        <f>Sheet1[[#This Row],[Ship_date]]-Sheet1[[#This Row],[Order_date]]</f>
        <v>2</v>
      </c>
      <c r="T685">
        <f>Sheet1[[#This Row],[Quantity]]*Sheet1[[#This Row],[Sales]]</f>
        <v>97</v>
      </c>
      <c r="U685">
        <f>Sheet1[[#This Row],[Total Sales]]*Sheet1[[#This Row],[Discount]]</f>
        <v>0</v>
      </c>
      <c r="V685" s="4">
        <f>Sheet1[[#This Row],[Total Sales]]-Sheet1[[#This Row],[Total Sales]]*Sheet1[[#This Row],[Discount]]</f>
        <v>97</v>
      </c>
      <c r="W685" s="4">
        <f>Sheet1[[#This Row],[Quantity]]*Sheet1[[#This Row],[Profit]]</f>
        <v>36.840000000000003</v>
      </c>
      <c r="X685" s="5">
        <f>Sheet1[[#This Row],[Total Profit]]/Sheet1[[#This Row],[Sales After Discount]]</f>
        <v>0.37979381443298971</v>
      </c>
      <c r="Y685" s="4">
        <f>Sheet1[[#This Row],[Shipping_cost]]*Sheet1[[#This Row],[Quantity]]</f>
        <v>6.88</v>
      </c>
      <c r="Z685" s="4">
        <f>Sheet1[[#This Row],[Total Profit]]-Sheet1[[#This Row],[Total Shipping Cost]]</f>
        <v>29.960000000000004</v>
      </c>
      <c r="AA685" s="4" t="str">
        <f>IF(Sheet1[[#This Row],[Net Profit]]&gt;0,"Profit","Loss")</f>
        <v>Profit</v>
      </c>
    </row>
    <row r="686" spans="1:27" x14ac:dyDescent="0.25">
      <c r="A686" t="s">
        <v>921</v>
      </c>
      <c r="B686" s="1">
        <v>40592</v>
      </c>
      <c r="C686" s="1">
        <v>40595</v>
      </c>
      <c r="D686" t="s">
        <v>18</v>
      </c>
      <c r="E686" t="s">
        <v>922</v>
      </c>
      <c r="F686" t="s">
        <v>43</v>
      </c>
      <c r="G686" t="s">
        <v>235</v>
      </c>
      <c r="H686" t="s">
        <v>13</v>
      </c>
      <c r="I686" t="s">
        <v>14</v>
      </c>
      <c r="J686" t="s">
        <v>15</v>
      </c>
      <c r="K686" t="s">
        <v>7</v>
      </c>
      <c r="L686" t="s">
        <v>16</v>
      </c>
      <c r="M686">
        <v>24</v>
      </c>
      <c r="N686">
        <v>1</v>
      </c>
      <c r="O686">
        <v>0.1</v>
      </c>
      <c r="P686">
        <v>10.41</v>
      </c>
      <c r="Q686">
        <v>5.13</v>
      </c>
      <c r="R686" t="s">
        <v>23</v>
      </c>
      <c r="S686">
        <f>Sheet1[[#This Row],[Ship_date]]-Sheet1[[#This Row],[Order_date]]</f>
        <v>3</v>
      </c>
      <c r="T686">
        <f>Sheet1[[#This Row],[Quantity]]*Sheet1[[#This Row],[Sales]]</f>
        <v>24</v>
      </c>
      <c r="U686">
        <f>Sheet1[[#This Row],[Total Sales]]*Sheet1[[#This Row],[Discount]]</f>
        <v>2.4000000000000004</v>
      </c>
      <c r="V686" s="4">
        <f>Sheet1[[#This Row],[Total Sales]]-Sheet1[[#This Row],[Total Sales]]*Sheet1[[#This Row],[Discount]]</f>
        <v>21.6</v>
      </c>
      <c r="W686" s="4">
        <f>Sheet1[[#This Row],[Quantity]]*Sheet1[[#This Row],[Profit]]</f>
        <v>10.41</v>
      </c>
      <c r="X686" s="5">
        <f>Sheet1[[#This Row],[Total Profit]]/Sheet1[[#This Row],[Sales After Discount]]</f>
        <v>0.4819444444444444</v>
      </c>
      <c r="Y686" s="4">
        <f>Sheet1[[#This Row],[Shipping_cost]]*Sheet1[[#This Row],[Quantity]]</f>
        <v>5.13</v>
      </c>
      <c r="Z686" s="4">
        <f>Sheet1[[#This Row],[Total Profit]]-Sheet1[[#This Row],[Total Shipping Cost]]</f>
        <v>5.28</v>
      </c>
      <c r="AA686" s="4" t="str">
        <f>IF(Sheet1[[#This Row],[Net Profit]]&gt;0,"Profit","Loss")</f>
        <v>Profit</v>
      </c>
    </row>
    <row r="687" spans="1:27" x14ac:dyDescent="0.25">
      <c r="A687" t="s">
        <v>935</v>
      </c>
      <c r="B687" s="1">
        <v>40592</v>
      </c>
      <c r="C687" s="1">
        <v>40599</v>
      </c>
      <c r="D687" t="s">
        <v>1</v>
      </c>
      <c r="E687" t="s">
        <v>385</v>
      </c>
      <c r="F687" t="s">
        <v>3</v>
      </c>
      <c r="G687" t="s">
        <v>146</v>
      </c>
      <c r="H687" t="s">
        <v>126</v>
      </c>
      <c r="I687" t="s">
        <v>127</v>
      </c>
      <c r="J687" t="s">
        <v>76</v>
      </c>
      <c r="K687" t="s">
        <v>7</v>
      </c>
      <c r="L687" t="s">
        <v>91</v>
      </c>
      <c r="M687">
        <v>54</v>
      </c>
      <c r="N687">
        <v>14</v>
      </c>
      <c r="O687">
        <v>0.2</v>
      </c>
      <c r="P687">
        <v>8.8087999999999997</v>
      </c>
      <c r="Q687">
        <v>4.1100000000000003</v>
      </c>
      <c r="R687" t="s">
        <v>51</v>
      </c>
      <c r="S687">
        <f>Sheet1[[#This Row],[Ship_date]]-Sheet1[[#This Row],[Order_date]]</f>
        <v>7</v>
      </c>
      <c r="T687">
        <f>Sheet1[[#This Row],[Quantity]]*Sheet1[[#This Row],[Sales]]</f>
        <v>756</v>
      </c>
      <c r="U687">
        <f>Sheet1[[#This Row],[Total Sales]]*Sheet1[[#This Row],[Discount]]</f>
        <v>151.20000000000002</v>
      </c>
      <c r="V687" s="4">
        <f>Sheet1[[#This Row],[Total Sales]]-Sheet1[[#This Row],[Total Sales]]*Sheet1[[#This Row],[Discount]]</f>
        <v>604.79999999999995</v>
      </c>
      <c r="W687" s="4">
        <f>Sheet1[[#This Row],[Quantity]]*Sheet1[[#This Row],[Profit]]</f>
        <v>123.3232</v>
      </c>
      <c r="X687" s="5">
        <f>Sheet1[[#This Row],[Total Profit]]/Sheet1[[#This Row],[Sales After Discount]]</f>
        <v>0.20390740740740743</v>
      </c>
      <c r="Y687" s="4">
        <f>Sheet1[[#This Row],[Shipping_cost]]*Sheet1[[#This Row],[Quantity]]</f>
        <v>57.540000000000006</v>
      </c>
      <c r="Z687" s="4">
        <f>Sheet1[[#This Row],[Total Profit]]-Sheet1[[#This Row],[Total Shipping Cost]]</f>
        <v>65.783199999999994</v>
      </c>
      <c r="AA687" s="4" t="str">
        <f>IF(Sheet1[[#This Row],[Net Profit]]&gt;0,"Profit","Loss")</f>
        <v>Profit</v>
      </c>
    </row>
    <row r="688" spans="1:27" x14ac:dyDescent="0.25">
      <c r="A688" t="s">
        <v>923</v>
      </c>
      <c r="B688" s="1">
        <v>40592</v>
      </c>
      <c r="C688" s="1">
        <v>40594</v>
      </c>
      <c r="D688" t="s">
        <v>142</v>
      </c>
      <c r="E688" t="s">
        <v>924</v>
      </c>
      <c r="F688" t="s">
        <v>26</v>
      </c>
      <c r="G688" t="s">
        <v>36</v>
      </c>
      <c r="H688" t="s">
        <v>37</v>
      </c>
      <c r="I688" t="s">
        <v>37</v>
      </c>
      <c r="J688" t="s">
        <v>37</v>
      </c>
      <c r="K688" t="s">
        <v>7</v>
      </c>
      <c r="L688" t="s">
        <v>31</v>
      </c>
      <c r="M688">
        <v>30</v>
      </c>
      <c r="N688">
        <v>1</v>
      </c>
      <c r="O688">
        <v>0</v>
      </c>
      <c r="P688">
        <v>7.71</v>
      </c>
      <c r="Q688">
        <v>3.92</v>
      </c>
      <c r="R688" t="s">
        <v>23</v>
      </c>
      <c r="S688">
        <f>Sheet1[[#This Row],[Ship_date]]-Sheet1[[#This Row],[Order_date]]</f>
        <v>2</v>
      </c>
      <c r="T688">
        <f>Sheet1[[#This Row],[Quantity]]*Sheet1[[#This Row],[Sales]]</f>
        <v>30</v>
      </c>
      <c r="U688">
        <f>Sheet1[[#This Row],[Total Sales]]*Sheet1[[#This Row],[Discount]]</f>
        <v>0</v>
      </c>
      <c r="V688" s="4">
        <f>Sheet1[[#This Row],[Total Sales]]-Sheet1[[#This Row],[Total Sales]]*Sheet1[[#This Row],[Discount]]</f>
        <v>30</v>
      </c>
      <c r="W688" s="4">
        <f>Sheet1[[#This Row],[Quantity]]*Sheet1[[#This Row],[Profit]]</f>
        <v>7.71</v>
      </c>
      <c r="X688" s="5">
        <f>Sheet1[[#This Row],[Total Profit]]/Sheet1[[#This Row],[Sales After Discount]]</f>
        <v>0.25700000000000001</v>
      </c>
      <c r="Y688" s="4">
        <f>Sheet1[[#This Row],[Shipping_cost]]*Sheet1[[#This Row],[Quantity]]</f>
        <v>3.92</v>
      </c>
      <c r="Z688" s="4">
        <f>Sheet1[[#This Row],[Total Profit]]-Sheet1[[#This Row],[Total Shipping Cost]]</f>
        <v>3.79</v>
      </c>
      <c r="AA688" s="4" t="str">
        <f>IF(Sheet1[[#This Row],[Net Profit]]&gt;0,"Profit","Loss")</f>
        <v>Profit</v>
      </c>
    </row>
    <row r="689" spans="1:27" x14ac:dyDescent="0.25">
      <c r="A689" t="s">
        <v>936</v>
      </c>
      <c r="B689" s="1">
        <v>40592</v>
      </c>
      <c r="C689" s="1">
        <v>40598</v>
      </c>
      <c r="D689" t="s">
        <v>1</v>
      </c>
      <c r="E689" t="s">
        <v>700</v>
      </c>
      <c r="F689" t="s">
        <v>43</v>
      </c>
      <c r="G689" t="s">
        <v>937</v>
      </c>
      <c r="H689" t="s">
        <v>115</v>
      </c>
      <c r="I689" t="s">
        <v>29</v>
      </c>
      <c r="J689" t="s">
        <v>76</v>
      </c>
      <c r="K689" t="s">
        <v>7</v>
      </c>
      <c r="L689" t="s">
        <v>97</v>
      </c>
      <c r="M689">
        <v>35</v>
      </c>
      <c r="N689">
        <v>3</v>
      </c>
      <c r="O689">
        <v>0</v>
      </c>
      <c r="P689">
        <v>13.77</v>
      </c>
      <c r="Q689">
        <v>3.5</v>
      </c>
      <c r="R689" t="s">
        <v>9</v>
      </c>
      <c r="S689">
        <f>Sheet1[[#This Row],[Ship_date]]-Sheet1[[#This Row],[Order_date]]</f>
        <v>6</v>
      </c>
      <c r="T689">
        <f>Sheet1[[#This Row],[Quantity]]*Sheet1[[#This Row],[Sales]]</f>
        <v>105</v>
      </c>
      <c r="U689">
        <f>Sheet1[[#This Row],[Total Sales]]*Sheet1[[#This Row],[Discount]]</f>
        <v>0</v>
      </c>
      <c r="V689" s="4">
        <f>Sheet1[[#This Row],[Total Sales]]-Sheet1[[#This Row],[Total Sales]]*Sheet1[[#This Row],[Discount]]</f>
        <v>105</v>
      </c>
      <c r="W689" s="4">
        <f>Sheet1[[#This Row],[Quantity]]*Sheet1[[#This Row],[Profit]]</f>
        <v>41.31</v>
      </c>
      <c r="X689" s="5">
        <f>Sheet1[[#This Row],[Total Profit]]/Sheet1[[#This Row],[Sales After Discount]]</f>
        <v>0.39342857142857146</v>
      </c>
      <c r="Y689" s="4">
        <f>Sheet1[[#This Row],[Shipping_cost]]*Sheet1[[#This Row],[Quantity]]</f>
        <v>10.5</v>
      </c>
      <c r="Z689" s="4">
        <f>Sheet1[[#This Row],[Total Profit]]-Sheet1[[#This Row],[Total Shipping Cost]]</f>
        <v>30.810000000000002</v>
      </c>
      <c r="AA689" s="4" t="str">
        <f>IF(Sheet1[[#This Row],[Net Profit]]&gt;0,"Profit","Loss")</f>
        <v>Profit</v>
      </c>
    </row>
    <row r="690" spans="1:27" x14ac:dyDescent="0.25">
      <c r="A690" t="s">
        <v>927</v>
      </c>
      <c r="B690" s="1">
        <v>40592</v>
      </c>
      <c r="C690" s="1">
        <v>40597</v>
      </c>
      <c r="D690" t="s">
        <v>1</v>
      </c>
      <c r="E690" t="s">
        <v>928</v>
      </c>
      <c r="F690" t="s">
        <v>3</v>
      </c>
      <c r="G690" t="s">
        <v>153</v>
      </c>
      <c r="H690" t="s">
        <v>115</v>
      </c>
      <c r="I690" t="s">
        <v>29</v>
      </c>
      <c r="J690" t="s">
        <v>76</v>
      </c>
      <c r="K690" t="s">
        <v>7</v>
      </c>
      <c r="L690" t="s">
        <v>137</v>
      </c>
      <c r="M690">
        <v>24</v>
      </c>
      <c r="N690">
        <v>4</v>
      </c>
      <c r="O690">
        <v>0</v>
      </c>
      <c r="P690">
        <v>8.4</v>
      </c>
      <c r="Q690">
        <v>2.77</v>
      </c>
      <c r="R690" t="s">
        <v>9</v>
      </c>
      <c r="S690">
        <f>Sheet1[[#This Row],[Ship_date]]-Sheet1[[#This Row],[Order_date]]</f>
        <v>5</v>
      </c>
      <c r="T690">
        <f>Sheet1[[#This Row],[Quantity]]*Sheet1[[#This Row],[Sales]]</f>
        <v>96</v>
      </c>
      <c r="U690">
        <f>Sheet1[[#This Row],[Total Sales]]*Sheet1[[#This Row],[Discount]]</f>
        <v>0</v>
      </c>
      <c r="V690" s="4">
        <f>Sheet1[[#This Row],[Total Sales]]-Sheet1[[#This Row],[Total Sales]]*Sheet1[[#This Row],[Discount]]</f>
        <v>96</v>
      </c>
      <c r="W690" s="4">
        <f>Sheet1[[#This Row],[Quantity]]*Sheet1[[#This Row],[Profit]]</f>
        <v>33.6</v>
      </c>
      <c r="X690" s="5">
        <f>Sheet1[[#This Row],[Total Profit]]/Sheet1[[#This Row],[Sales After Discount]]</f>
        <v>0.35000000000000003</v>
      </c>
      <c r="Y690" s="4">
        <f>Sheet1[[#This Row],[Shipping_cost]]*Sheet1[[#This Row],[Quantity]]</f>
        <v>11.08</v>
      </c>
      <c r="Z690" s="4">
        <f>Sheet1[[#This Row],[Total Profit]]-Sheet1[[#This Row],[Total Shipping Cost]]</f>
        <v>22.520000000000003</v>
      </c>
      <c r="AA690" s="4" t="str">
        <f>IF(Sheet1[[#This Row],[Net Profit]]&gt;0,"Profit","Loss")</f>
        <v>Profit</v>
      </c>
    </row>
    <row r="691" spans="1:27" x14ac:dyDescent="0.25">
      <c r="A691" t="s">
        <v>921</v>
      </c>
      <c r="B691" s="1">
        <v>40592</v>
      </c>
      <c r="C691" s="1">
        <v>40595</v>
      </c>
      <c r="D691" t="s">
        <v>18</v>
      </c>
      <c r="E691" t="s">
        <v>922</v>
      </c>
      <c r="F691" t="s">
        <v>43</v>
      </c>
      <c r="G691" t="s">
        <v>235</v>
      </c>
      <c r="H691" t="s">
        <v>13</v>
      </c>
      <c r="I691" t="s">
        <v>14</v>
      </c>
      <c r="J691" t="s">
        <v>15</v>
      </c>
      <c r="K691" t="s">
        <v>7</v>
      </c>
      <c r="L691" t="s">
        <v>87</v>
      </c>
      <c r="M691">
        <v>14</v>
      </c>
      <c r="N691">
        <v>2</v>
      </c>
      <c r="O691">
        <v>0.1</v>
      </c>
      <c r="P691">
        <v>1.6859999999999999</v>
      </c>
      <c r="Q691">
        <v>1.37</v>
      </c>
      <c r="R691" t="s">
        <v>23</v>
      </c>
      <c r="S691">
        <f>Sheet1[[#This Row],[Ship_date]]-Sheet1[[#This Row],[Order_date]]</f>
        <v>3</v>
      </c>
      <c r="T691">
        <f>Sheet1[[#This Row],[Quantity]]*Sheet1[[#This Row],[Sales]]</f>
        <v>28</v>
      </c>
      <c r="U691">
        <f>Sheet1[[#This Row],[Total Sales]]*Sheet1[[#This Row],[Discount]]</f>
        <v>2.8000000000000003</v>
      </c>
      <c r="V691" s="4">
        <f>Sheet1[[#This Row],[Total Sales]]-Sheet1[[#This Row],[Total Sales]]*Sheet1[[#This Row],[Discount]]</f>
        <v>25.2</v>
      </c>
      <c r="W691" s="4">
        <f>Sheet1[[#This Row],[Quantity]]*Sheet1[[#This Row],[Profit]]</f>
        <v>3.3719999999999999</v>
      </c>
      <c r="X691" s="5">
        <f>Sheet1[[#This Row],[Total Profit]]/Sheet1[[#This Row],[Sales After Discount]]</f>
        <v>0.13380952380952382</v>
      </c>
      <c r="Y691" s="4">
        <f>Sheet1[[#This Row],[Shipping_cost]]*Sheet1[[#This Row],[Quantity]]</f>
        <v>2.74</v>
      </c>
      <c r="Z691" s="4">
        <f>Sheet1[[#This Row],[Total Profit]]-Sheet1[[#This Row],[Total Shipping Cost]]</f>
        <v>0.63199999999999967</v>
      </c>
      <c r="AA691" s="4" t="str">
        <f>IF(Sheet1[[#This Row],[Net Profit]]&gt;0,"Profit","Loss")</f>
        <v>Profit</v>
      </c>
    </row>
    <row r="692" spans="1:27" x14ac:dyDescent="0.25">
      <c r="A692" t="s">
        <v>933</v>
      </c>
      <c r="B692" s="1">
        <v>40592</v>
      </c>
      <c r="C692" s="1">
        <v>40596</v>
      </c>
      <c r="D692" t="s">
        <v>18</v>
      </c>
      <c r="E692" t="s">
        <v>934</v>
      </c>
      <c r="F692" t="s">
        <v>3</v>
      </c>
      <c r="G692" t="s">
        <v>471</v>
      </c>
      <c r="H692" t="s">
        <v>305</v>
      </c>
      <c r="I692" t="s">
        <v>29</v>
      </c>
      <c r="J692" t="s">
        <v>76</v>
      </c>
      <c r="K692" t="s">
        <v>7</v>
      </c>
      <c r="L692" t="s">
        <v>97</v>
      </c>
      <c r="M692">
        <v>55</v>
      </c>
      <c r="N692">
        <v>5</v>
      </c>
      <c r="O692">
        <v>0</v>
      </c>
      <c r="P692">
        <v>8.25</v>
      </c>
      <c r="Q692">
        <v>1.27</v>
      </c>
      <c r="R692" t="s">
        <v>9</v>
      </c>
      <c r="S692">
        <f>Sheet1[[#This Row],[Ship_date]]-Sheet1[[#This Row],[Order_date]]</f>
        <v>4</v>
      </c>
      <c r="T692">
        <f>Sheet1[[#This Row],[Quantity]]*Sheet1[[#This Row],[Sales]]</f>
        <v>275</v>
      </c>
      <c r="U692">
        <f>Sheet1[[#This Row],[Total Sales]]*Sheet1[[#This Row],[Discount]]</f>
        <v>0</v>
      </c>
      <c r="V692" s="4">
        <f>Sheet1[[#This Row],[Total Sales]]-Sheet1[[#This Row],[Total Sales]]*Sheet1[[#This Row],[Discount]]</f>
        <v>275</v>
      </c>
      <c r="W692" s="4">
        <f>Sheet1[[#This Row],[Quantity]]*Sheet1[[#This Row],[Profit]]</f>
        <v>41.25</v>
      </c>
      <c r="X692" s="5">
        <f>Sheet1[[#This Row],[Total Profit]]/Sheet1[[#This Row],[Sales After Discount]]</f>
        <v>0.15</v>
      </c>
      <c r="Y692" s="4">
        <f>Sheet1[[#This Row],[Shipping_cost]]*Sheet1[[#This Row],[Quantity]]</f>
        <v>6.35</v>
      </c>
      <c r="Z692" s="4">
        <f>Sheet1[[#This Row],[Total Profit]]-Sheet1[[#This Row],[Total Shipping Cost]]</f>
        <v>34.9</v>
      </c>
      <c r="AA692" s="4" t="str">
        <f>IF(Sheet1[[#This Row],[Net Profit]]&gt;0,"Profit","Loss")</f>
        <v>Profit</v>
      </c>
    </row>
    <row r="693" spans="1:27" x14ac:dyDescent="0.25">
      <c r="A693" t="s">
        <v>938</v>
      </c>
      <c r="B693" s="1">
        <v>40593</v>
      </c>
      <c r="C693" s="1">
        <v>40595</v>
      </c>
      <c r="D693" t="s">
        <v>18</v>
      </c>
      <c r="E693" t="s">
        <v>509</v>
      </c>
      <c r="F693" t="s">
        <v>3</v>
      </c>
      <c r="G693" t="s">
        <v>591</v>
      </c>
      <c r="H693" t="s">
        <v>280</v>
      </c>
      <c r="I693" t="s">
        <v>14</v>
      </c>
      <c r="J693" t="s">
        <v>281</v>
      </c>
      <c r="K693" t="s">
        <v>7</v>
      </c>
      <c r="L693" t="s">
        <v>16</v>
      </c>
      <c r="M693">
        <v>118</v>
      </c>
      <c r="N693">
        <v>3</v>
      </c>
      <c r="O693">
        <v>0</v>
      </c>
      <c r="P693">
        <v>36.630000000000003</v>
      </c>
      <c r="Q693">
        <v>9.8699999999999992</v>
      </c>
      <c r="R693" t="s">
        <v>23</v>
      </c>
      <c r="S693">
        <f>Sheet1[[#This Row],[Ship_date]]-Sheet1[[#This Row],[Order_date]]</f>
        <v>2</v>
      </c>
      <c r="T693">
        <f>Sheet1[[#This Row],[Quantity]]*Sheet1[[#This Row],[Sales]]</f>
        <v>354</v>
      </c>
      <c r="U693">
        <f>Sheet1[[#This Row],[Total Sales]]*Sheet1[[#This Row],[Discount]]</f>
        <v>0</v>
      </c>
      <c r="V693" s="4">
        <f>Sheet1[[#This Row],[Total Sales]]-Sheet1[[#This Row],[Total Sales]]*Sheet1[[#This Row],[Discount]]</f>
        <v>354</v>
      </c>
      <c r="W693" s="4">
        <f>Sheet1[[#This Row],[Quantity]]*Sheet1[[#This Row],[Profit]]</f>
        <v>109.89000000000001</v>
      </c>
      <c r="X693" s="5">
        <f>Sheet1[[#This Row],[Total Profit]]/Sheet1[[#This Row],[Sales After Discount]]</f>
        <v>0.31042372881355934</v>
      </c>
      <c r="Y693" s="4">
        <f>Sheet1[[#This Row],[Shipping_cost]]*Sheet1[[#This Row],[Quantity]]</f>
        <v>29.61</v>
      </c>
      <c r="Z693" s="4">
        <f>Sheet1[[#This Row],[Total Profit]]-Sheet1[[#This Row],[Total Shipping Cost]]</f>
        <v>80.280000000000015</v>
      </c>
      <c r="AA693" s="4" t="str">
        <f>IF(Sheet1[[#This Row],[Net Profit]]&gt;0,"Profit","Loss")</f>
        <v>Profit</v>
      </c>
    </row>
    <row r="694" spans="1:27" x14ac:dyDescent="0.25">
      <c r="A694" t="s">
        <v>939</v>
      </c>
      <c r="B694" s="1">
        <v>40593</v>
      </c>
      <c r="C694" s="1">
        <v>40593</v>
      </c>
      <c r="D694" t="s">
        <v>41</v>
      </c>
      <c r="E694" t="s">
        <v>940</v>
      </c>
      <c r="F694" t="s">
        <v>3</v>
      </c>
      <c r="G694" t="s">
        <v>125</v>
      </c>
      <c r="H694" t="s">
        <v>126</v>
      </c>
      <c r="I694" t="s">
        <v>127</v>
      </c>
      <c r="J694" t="s">
        <v>76</v>
      </c>
      <c r="K694" t="s">
        <v>32</v>
      </c>
      <c r="L694" t="s">
        <v>33</v>
      </c>
      <c r="M694">
        <v>25</v>
      </c>
      <c r="N694">
        <v>5</v>
      </c>
      <c r="O694">
        <v>0.6</v>
      </c>
      <c r="P694">
        <v>-11.321999999999999</v>
      </c>
      <c r="Q694">
        <v>1.39</v>
      </c>
      <c r="R694" t="s">
        <v>23</v>
      </c>
      <c r="S694">
        <f>Sheet1[[#This Row],[Ship_date]]-Sheet1[[#This Row],[Order_date]]</f>
        <v>0</v>
      </c>
      <c r="T694">
        <f>Sheet1[[#This Row],[Quantity]]*Sheet1[[#This Row],[Sales]]</f>
        <v>125</v>
      </c>
      <c r="U694">
        <f>Sheet1[[#This Row],[Total Sales]]*Sheet1[[#This Row],[Discount]]</f>
        <v>75</v>
      </c>
      <c r="V694" s="4">
        <f>Sheet1[[#This Row],[Total Sales]]-Sheet1[[#This Row],[Total Sales]]*Sheet1[[#This Row],[Discount]]</f>
        <v>50</v>
      </c>
      <c r="W694" s="4">
        <f>Sheet1[[#This Row],[Quantity]]*Sheet1[[#This Row],[Profit]]</f>
        <v>-56.61</v>
      </c>
      <c r="X694" s="5">
        <f>Sheet1[[#This Row],[Total Profit]]/Sheet1[[#This Row],[Sales After Discount]]</f>
        <v>-1.1322000000000001</v>
      </c>
      <c r="Y694" s="4">
        <f>Sheet1[[#This Row],[Shipping_cost]]*Sheet1[[#This Row],[Quantity]]</f>
        <v>6.9499999999999993</v>
      </c>
      <c r="Z694" s="4">
        <f>Sheet1[[#This Row],[Total Profit]]-Sheet1[[#This Row],[Total Shipping Cost]]</f>
        <v>-63.56</v>
      </c>
      <c r="AA694" s="4" t="str">
        <f>IF(Sheet1[[#This Row],[Net Profit]]&gt;0,"Profit","Loss")</f>
        <v>Loss</v>
      </c>
    </row>
    <row r="695" spans="1:27" x14ac:dyDescent="0.25">
      <c r="A695" t="s">
        <v>941</v>
      </c>
      <c r="B695" s="1">
        <v>40593</v>
      </c>
      <c r="C695" s="1">
        <v>40599</v>
      </c>
      <c r="D695" t="s">
        <v>1</v>
      </c>
      <c r="E695" t="s">
        <v>942</v>
      </c>
      <c r="F695" t="s">
        <v>3</v>
      </c>
      <c r="G695" t="s">
        <v>125</v>
      </c>
      <c r="H695" t="s">
        <v>126</v>
      </c>
      <c r="I695" t="s">
        <v>127</v>
      </c>
      <c r="J695" t="s">
        <v>76</v>
      </c>
      <c r="K695" t="s">
        <v>7</v>
      </c>
      <c r="L695" t="s">
        <v>8</v>
      </c>
      <c r="M695">
        <v>13</v>
      </c>
      <c r="N695">
        <v>2</v>
      </c>
      <c r="O695">
        <v>0.2</v>
      </c>
      <c r="P695">
        <v>-2.5247999999999999</v>
      </c>
      <c r="Q695">
        <v>0.97</v>
      </c>
      <c r="R695" t="s">
        <v>51</v>
      </c>
      <c r="S695">
        <f>Sheet1[[#This Row],[Ship_date]]-Sheet1[[#This Row],[Order_date]]</f>
        <v>6</v>
      </c>
      <c r="T695">
        <f>Sheet1[[#This Row],[Quantity]]*Sheet1[[#This Row],[Sales]]</f>
        <v>26</v>
      </c>
      <c r="U695">
        <f>Sheet1[[#This Row],[Total Sales]]*Sheet1[[#This Row],[Discount]]</f>
        <v>5.2</v>
      </c>
      <c r="V695" s="4">
        <f>Sheet1[[#This Row],[Total Sales]]-Sheet1[[#This Row],[Total Sales]]*Sheet1[[#This Row],[Discount]]</f>
        <v>20.8</v>
      </c>
      <c r="W695" s="4">
        <f>Sheet1[[#This Row],[Quantity]]*Sheet1[[#This Row],[Profit]]</f>
        <v>-5.0495999999999999</v>
      </c>
      <c r="X695" s="5">
        <f>Sheet1[[#This Row],[Total Profit]]/Sheet1[[#This Row],[Sales After Discount]]</f>
        <v>-0.24276923076923076</v>
      </c>
      <c r="Y695" s="4">
        <f>Sheet1[[#This Row],[Shipping_cost]]*Sheet1[[#This Row],[Quantity]]</f>
        <v>1.94</v>
      </c>
      <c r="Z695" s="4">
        <f>Sheet1[[#This Row],[Total Profit]]-Sheet1[[#This Row],[Total Shipping Cost]]</f>
        <v>-6.9895999999999994</v>
      </c>
      <c r="AA695" s="4" t="str">
        <f>IF(Sheet1[[#This Row],[Net Profit]]&gt;0,"Profit","Loss")</f>
        <v>Loss</v>
      </c>
    </row>
    <row r="696" spans="1:27" x14ac:dyDescent="0.25">
      <c r="A696" t="s">
        <v>943</v>
      </c>
      <c r="B696" s="1">
        <v>40595</v>
      </c>
      <c r="C696" s="1">
        <v>40599</v>
      </c>
      <c r="D696" t="s">
        <v>1</v>
      </c>
      <c r="E696" t="s">
        <v>944</v>
      </c>
      <c r="F696" t="s">
        <v>3</v>
      </c>
      <c r="G696" t="s">
        <v>945</v>
      </c>
      <c r="H696" t="s">
        <v>131</v>
      </c>
      <c r="I696" t="s">
        <v>14</v>
      </c>
      <c r="J696" t="s">
        <v>132</v>
      </c>
      <c r="K696" t="s">
        <v>38</v>
      </c>
      <c r="L696" t="s">
        <v>39</v>
      </c>
      <c r="M696">
        <v>803</v>
      </c>
      <c r="N696">
        <v>5</v>
      </c>
      <c r="O696">
        <v>0</v>
      </c>
      <c r="P696">
        <v>224.85</v>
      </c>
      <c r="Q696">
        <v>78.45</v>
      </c>
      <c r="R696" t="s">
        <v>9</v>
      </c>
      <c r="S696">
        <f>Sheet1[[#This Row],[Ship_date]]-Sheet1[[#This Row],[Order_date]]</f>
        <v>4</v>
      </c>
      <c r="T696">
        <f>Sheet1[[#This Row],[Quantity]]*Sheet1[[#This Row],[Sales]]</f>
        <v>4015</v>
      </c>
      <c r="U696">
        <f>Sheet1[[#This Row],[Total Sales]]*Sheet1[[#This Row],[Discount]]</f>
        <v>0</v>
      </c>
      <c r="V696" s="4">
        <f>Sheet1[[#This Row],[Total Sales]]-Sheet1[[#This Row],[Total Sales]]*Sheet1[[#This Row],[Discount]]</f>
        <v>4015</v>
      </c>
      <c r="W696" s="4">
        <f>Sheet1[[#This Row],[Quantity]]*Sheet1[[#This Row],[Profit]]</f>
        <v>1124.25</v>
      </c>
      <c r="X696" s="5">
        <f>Sheet1[[#This Row],[Total Profit]]/Sheet1[[#This Row],[Sales After Discount]]</f>
        <v>0.28001245330012453</v>
      </c>
      <c r="Y696" s="4">
        <f>Sheet1[[#This Row],[Shipping_cost]]*Sheet1[[#This Row],[Quantity]]</f>
        <v>392.25</v>
      </c>
      <c r="Z696" s="4">
        <f>Sheet1[[#This Row],[Total Profit]]-Sheet1[[#This Row],[Total Shipping Cost]]</f>
        <v>732</v>
      </c>
      <c r="AA696" s="4" t="str">
        <f>IF(Sheet1[[#This Row],[Net Profit]]&gt;0,"Profit","Loss")</f>
        <v>Profit</v>
      </c>
    </row>
    <row r="697" spans="1:27" x14ac:dyDescent="0.25">
      <c r="A697" t="s">
        <v>946</v>
      </c>
      <c r="B697" s="1">
        <v>40595</v>
      </c>
      <c r="C697" s="1">
        <v>40600</v>
      </c>
      <c r="D697" t="s">
        <v>1</v>
      </c>
      <c r="E697" t="s">
        <v>947</v>
      </c>
      <c r="F697" t="s">
        <v>3</v>
      </c>
      <c r="G697" t="s">
        <v>429</v>
      </c>
      <c r="H697" t="s">
        <v>298</v>
      </c>
      <c r="I697" t="s">
        <v>29</v>
      </c>
      <c r="J697" t="s">
        <v>102</v>
      </c>
      <c r="K697" t="s">
        <v>32</v>
      </c>
      <c r="L697" t="s">
        <v>62</v>
      </c>
      <c r="M697">
        <v>1003</v>
      </c>
      <c r="N697">
        <v>4</v>
      </c>
      <c r="O697">
        <v>0.5</v>
      </c>
      <c r="P697">
        <v>-942.9</v>
      </c>
      <c r="Q697">
        <v>72.92</v>
      </c>
      <c r="R697" t="s">
        <v>9</v>
      </c>
      <c r="S697">
        <f>Sheet1[[#This Row],[Ship_date]]-Sheet1[[#This Row],[Order_date]]</f>
        <v>5</v>
      </c>
      <c r="T697">
        <f>Sheet1[[#This Row],[Quantity]]*Sheet1[[#This Row],[Sales]]</f>
        <v>4012</v>
      </c>
      <c r="U697">
        <f>Sheet1[[#This Row],[Total Sales]]*Sheet1[[#This Row],[Discount]]</f>
        <v>2006</v>
      </c>
      <c r="V697" s="4">
        <f>Sheet1[[#This Row],[Total Sales]]-Sheet1[[#This Row],[Total Sales]]*Sheet1[[#This Row],[Discount]]</f>
        <v>2006</v>
      </c>
      <c r="W697" s="4">
        <f>Sheet1[[#This Row],[Quantity]]*Sheet1[[#This Row],[Profit]]</f>
        <v>-3771.6</v>
      </c>
      <c r="X697" s="5">
        <f>Sheet1[[#This Row],[Total Profit]]/Sheet1[[#This Row],[Sales After Discount]]</f>
        <v>-1.880159521435693</v>
      </c>
      <c r="Y697" s="4">
        <f>Sheet1[[#This Row],[Shipping_cost]]*Sheet1[[#This Row],[Quantity]]</f>
        <v>291.68</v>
      </c>
      <c r="Z697" s="4">
        <f>Sheet1[[#This Row],[Total Profit]]-Sheet1[[#This Row],[Total Shipping Cost]]</f>
        <v>-4063.2799999999997</v>
      </c>
      <c r="AA697" s="4" t="str">
        <f>IF(Sheet1[[#This Row],[Net Profit]]&gt;0,"Profit","Loss")</f>
        <v>Loss</v>
      </c>
    </row>
    <row r="698" spans="1:27" x14ac:dyDescent="0.25">
      <c r="A698" t="s">
        <v>948</v>
      </c>
      <c r="B698" s="1">
        <v>40595</v>
      </c>
      <c r="C698" s="1">
        <v>40599</v>
      </c>
      <c r="D698" t="s">
        <v>1</v>
      </c>
      <c r="E698" t="s">
        <v>949</v>
      </c>
      <c r="F698" t="s">
        <v>3</v>
      </c>
      <c r="G698" t="s">
        <v>332</v>
      </c>
      <c r="H698" t="s">
        <v>13</v>
      </c>
      <c r="I698" t="s">
        <v>14</v>
      </c>
      <c r="J698" t="s">
        <v>15</v>
      </c>
      <c r="K698" t="s">
        <v>7</v>
      </c>
      <c r="L698" t="s">
        <v>8</v>
      </c>
      <c r="M698">
        <v>806</v>
      </c>
      <c r="N698">
        <v>7</v>
      </c>
      <c r="O698">
        <v>0.1</v>
      </c>
      <c r="P698">
        <v>-62.853000000000002</v>
      </c>
      <c r="Q698">
        <v>54.17</v>
      </c>
      <c r="R698" t="s">
        <v>9</v>
      </c>
      <c r="S698">
        <f>Sheet1[[#This Row],[Ship_date]]-Sheet1[[#This Row],[Order_date]]</f>
        <v>4</v>
      </c>
      <c r="T698">
        <f>Sheet1[[#This Row],[Quantity]]*Sheet1[[#This Row],[Sales]]</f>
        <v>5642</v>
      </c>
      <c r="U698">
        <f>Sheet1[[#This Row],[Total Sales]]*Sheet1[[#This Row],[Discount]]</f>
        <v>564.20000000000005</v>
      </c>
      <c r="V698" s="4">
        <f>Sheet1[[#This Row],[Total Sales]]-Sheet1[[#This Row],[Total Sales]]*Sheet1[[#This Row],[Discount]]</f>
        <v>5077.8</v>
      </c>
      <c r="W698" s="4">
        <f>Sheet1[[#This Row],[Quantity]]*Sheet1[[#This Row],[Profit]]</f>
        <v>-439.971</v>
      </c>
      <c r="X698" s="5">
        <f>Sheet1[[#This Row],[Total Profit]]/Sheet1[[#This Row],[Sales After Discount]]</f>
        <v>-8.6645988420181966E-2</v>
      </c>
      <c r="Y698" s="4">
        <f>Sheet1[[#This Row],[Shipping_cost]]*Sheet1[[#This Row],[Quantity]]</f>
        <v>379.19</v>
      </c>
      <c r="Z698" s="4">
        <f>Sheet1[[#This Row],[Total Profit]]-Sheet1[[#This Row],[Total Shipping Cost]]</f>
        <v>-819.16100000000006</v>
      </c>
      <c r="AA698" s="4" t="str">
        <f>IF(Sheet1[[#This Row],[Net Profit]]&gt;0,"Profit","Loss")</f>
        <v>Loss</v>
      </c>
    </row>
    <row r="699" spans="1:27" x14ac:dyDescent="0.25">
      <c r="A699" t="s">
        <v>950</v>
      </c>
      <c r="B699" s="1">
        <v>40595</v>
      </c>
      <c r="C699" s="1">
        <v>40602</v>
      </c>
      <c r="D699" t="s">
        <v>1</v>
      </c>
      <c r="E699" t="s">
        <v>951</v>
      </c>
      <c r="F699" t="s">
        <v>43</v>
      </c>
      <c r="G699" t="s">
        <v>952</v>
      </c>
      <c r="H699" t="s">
        <v>169</v>
      </c>
      <c r="I699" t="s">
        <v>14</v>
      </c>
      <c r="J699" t="s">
        <v>132</v>
      </c>
      <c r="K699" t="s">
        <v>38</v>
      </c>
      <c r="L699" t="s">
        <v>50</v>
      </c>
      <c r="M699">
        <v>297</v>
      </c>
      <c r="N699">
        <v>2</v>
      </c>
      <c r="O699">
        <v>0</v>
      </c>
      <c r="P699">
        <v>56.46</v>
      </c>
      <c r="Q699">
        <v>51.95</v>
      </c>
      <c r="R699" t="s">
        <v>51</v>
      </c>
      <c r="S699">
        <f>Sheet1[[#This Row],[Ship_date]]-Sheet1[[#This Row],[Order_date]]</f>
        <v>7</v>
      </c>
      <c r="T699">
        <f>Sheet1[[#This Row],[Quantity]]*Sheet1[[#This Row],[Sales]]</f>
        <v>594</v>
      </c>
      <c r="U699">
        <f>Sheet1[[#This Row],[Total Sales]]*Sheet1[[#This Row],[Discount]]</f>
        <v>0</v>
      </c>
      <c r="V699" s="4">
        <f>Sheet1[[#This Row],[Total Sales]]-Sheet1[[#This Row],[Total Sales]]*Sheet1[[#This Row],[Discount]]</f>
        <v>594</v>
      </c>
      <c r="W699" s="4">
        <f>Sheet1[[#This Row],[Quantity]]*Sheet1[[#This Row],[Profit]]</f>
        <v>112.92</v>
      </c>
      <c r="X699" s="5">
        <f>Sheet1[[#This Row],[Total Profit]]/Sheet1[[#This Row],[Sales After Discount]]</f>
        <v>0.1901010101010101</v>
      </c>
      <c r="Y699" s="4">
        <f>Sheet1[[#This Row],[Shipping_cost]]*Sheet1[[#This Row],[Quantity]]</f>
        <v>103.9</v>
      </c>
      <c r="Z699" s="4">
        <f>Sheet1[[#This Row],[Total Profit]]-Sheet1[[#This Row],[Total Shipping Cost]]</f>
        <v>9.019999999999996</v>
      </c>
      <c r="AA699" s="4" t="str">
        <f>IF(Sheet1[[#This Row],[Net Profit]]&gt;0,"Profit","Loss")</f>
        <v>Profit</v>
      </c>
    </row>
    <row r="700" spans="1:27" x14ac:dyDescent="0.25">
      <c r="A700" t="s">
        <v>953</v>
      </c>
      <c r="B700" s="1">
        <v>40595</v>
      </c>
      <c r="C700" s="1">
        <v>40595</v>
      </c>
      <c r="D700" t="s">
        <v>41</v>
      </c>
      <c r="E700" t="s">
        <v>954</v>
      </c>
      <c r="F700" t="s">
        <v>3</v>
      </c>
      <c r="G700" t="s">
        <v>59</v>
      </c>
      <c r="H700" t="s">
        <v>60</v>
      </c>
      <c r="I700" t="s">
        <v>14</v>
      </c>
      <c r="J700" t="s">
        <v>61</v>
      </c>
      <c r="K700" t="s">
        <v>7</v>
      </c>
      <c r="L700" t="s">
        <v>31</v>
      </c>
      <c r="M700">
        <v>173</v>
      </c>
      <c r="N700">
        <v>6</v>
      </c>
      <c r="O700">
        <v>0.45</v>
      </c>
      <c r="P700">
        <v>-104.03100000000001</v>
      </c>
      <c r="Q700">
        <v>37.06</v>
      </c>
      <c r="R700" t="s">
        <v>23</v>
      </c>
      <c r="S700">
        <f>Sheet1[[#This Row],[Ship_date]]-Sheet1[[#This Row],[Order_date]]</f>
        <v>0</v>
      </c>
      <c r="T700">
        <f>Sheet1[[#This Row],[Quantity]]*Sheet1[[#This Row],[Sales]]</f>
        <v>1038</v>
      </c>
      <c r="U700">
        <f>Sheet1[[#This Row],[Total Sales]]*Sheet1[[#This Row],[Discount]]</f>
        <v>467.1</v>
      </c>
      <c r="V700" s="4">
        <f>Sheet1[[#This Row],[Total Sales]]-Sheet1[[#This Row],[Total Sales]]*Sheet1[[#This Row],[Discount]]</f>
        <v>570.9</v>
      </c>
      <c r="W700" s="4">
        <f>Sheet1[[#This Row],[Quantity]]*Sheet1[[#This Row],[Profit]]</f>
        <v>-624.18600000000004</v>
      </c>
      <c r="X700" s="5">
        <f>Sheet1[[#This Row],[Total Profit]]/Sheet1[[#This Row],[Sales After Discount]]</f>
        <v>-1.093336836573831</v>
      </c>
      <c r="Y700" s="4">
        <f>Sheet1[[#This Row],[Shipping_cost]]*Sheet1[[#This Row],[Quantity]]</f>
        <v>222.36</v>
      </c>
      <c r="Z700" s="4">
        <f>Sheet1[[#This Row],[Total Profit]]-Sheet1[[#This Row],[Total Shipping Cost]]</f>
        <v>-846.54600000000005</v>
      </c>
      <c r="AA700" s="4" t="str">
        <f>IF(Sheet1[[#This Row],[Net Profit]]&gt;0,"Profit","Loss")</f>
        <v>Loss</v>
      </c>
    </row>
    <row r="701" spans="1:27" x14ac:dyDescent="0.25">
      <c r="A701" t="s">
        <v>955</v>
      </c>
      <c r="B701" s="1">
        <v>40595</v>
      </c>
      <c r="C701" s="1">
        <v>40599</v>
      </c>
      <c r="D701" t="s">
        <v>18</v>
      </c>
      <c r="E701" t="s">
        <v>956</v>
      </c>
      <c r="F701" t="s">
        <v>3</v>
      </c>
      <c r="G701" t="s">
        <v>873</v>
      </c>
      <c r="H701" t="s">
        <v>873</v>
      </c>
      <c r="I701" t="s">
        <v>14</v>
      </c>
      <c r="J701" t="s">
        <v>132</v>
      </c>
      <c r="K701" t="s">
        <v>32</v>
      </c>
      <c r="L701" t="s">
        <v>67</v>
      </c>
      <c r="M701">
        <v>346</v>
      </c>
      <c r="N701">
        <v>2</v>
      </c>
      <c r="O701">
        <v>0</v>
      </c>
      <c r="P701">
        <v>114.06</v>
      </c>
      <c r="Q701">
        <v>27.59</v>
      </c>
      <c r="R701" t="s">
        <v>9</v>
      </c>
      <c r="S701">
        <f>Sheet1[[#This Row],[Ship_date]]-Sheet1[[#This Row],[Order_date]]</f>
        <v>4</v>
      </c>
      <c r="T701">
        <f>Sheet1[[#This Row],[Quantity]]*Sheet1[[#This Row],[Sales]]</f>
        <v>692</v>
      </c>
      <c r="U701">
        <f>Sheet1[[#This Row],[Total Sales]]*Sheet1[[#This Row],[Discount]]</f>
        <v>0</v>
      </c>
      <c r="V701" s="4">
        <f>Sheet1[[#This Row],[Total Sales]]-Sheet1[[#This Row],[Total Sales]]*Sheet1[[#This Row],[Discount]]</f>
        <v>692</v>
      </c>
      <c r="W701" s="4">
        <f>Sheet1[[#This Row],[Quantity]]*Sheet1[[#This Row],[Profit]]</f>
        <v>228.12</v>
      </c>
      <c r="X701" s="5">
        <f>Sheet1[[#This Row],[Total Profit]]/Sheet1[[#This Row],[Sales After Discount]]</f>
        <v>0.32965317919075143</v>
      </c>
      <c r="Y701" s="4">
        <f>Sheet1[[#This Row],[Shipping_cost]]*Sheet1[[#This Row],[Quantity]]</f>
        <v>55.18</v>
      </c>
      <c r="Z701" s="4">
        <f>Sheet1[[#This Row],[Total Profit]]-Sheet1[[#This Row],[Total Shipping Cost]]</f>
        <v>172.94</v>
      </c>
      <c r="AA701" s="4" t="str">
        <f>IF(Sheet1[[#This Row],[Net Profit]]&gt;0,"Profit","Loss")</f>
        <v>Profit</v>
      </c>
    </row>
    <row r="702" spans="1:27" x14ac:dyDescent="0.25">
      <c r="A702" t="s">
        <v>950</v>
      </c>
      <c r="B702" s="1">
        <v>40595</v>
      </c>
      <c r="C702" s="1">
        <v>40602</v>
      </c>
      <c r="D702" t="s">
        <v>1</v>
      </c>
      <c r="E702" t="s">
        <v>951</v>
      </c>
      <c r="F702" t="s">
        <v>43</v>
      </c>
      <c r="G702" t="s">
        <v>952</v>
      </c>
      <c r="H702" t="s">
        <v>169</v>
      </c>
      <c r="I702" t="s">
        <v>14</v>
      </c>
      <c r="J702" t="s">
        <v>132</v>
      </c>
      <c r="K702" t="s">
        <v>7</v>
      </c>
      <c r="L702" t="s">
        <v>96</v>
      </c>
      <c r="M702">
        <v>150</v>
      </c>
      <c r="N702">
        <v>6</v>
      </c>
      <c r="O702">
        <v>0</v>
      </c>
      <c r="P702">
        <v>70.2</v>
      </c>
      <c r="Q702">
        <v>19.920000000000002</v>
      </c>
      <c r="R702" t="s">
        <v>51</v>
      </c>
      <c r="S702">
        <f>Sheet1[[#This Row],[Ship_date]]-Sheet1[[#This Row],[Order_date]]</f>
        <v>7</v>
      </c>
      <c r="T702">
        <f>Sheet1[[#This Row],[Quantity]]*Sheet1[[#This Row],[Sales]]</f>
        <v>900</v>
      </c>
      <c r="U702">
        <f>Sheet1[[#This Row],[Total Sales]]*Sheet1[[#This Row],[Discount]]</f>
        <v>0</v>
      </c>
      <c r="V702" s="4">
        <f>Sheet1[[#This Row],[Total Sales]]-Sheet1[[#This Row],[Total Sales]]*Sheet1[[#This Row],[Discount]]</f>
        <v>900</v>
      </c>
      <c r="W702" s="4">
        <f>Sheet1[[#This Row],[Quantity]]*Sheet1[[#This Row],[Profit]]</f>
        <v>421.20000000000005</v>
      </c>
      <c r="X702" s="5">
        <f>Sheet1[[#This Row],[Total Profit]]/Sheet1[[#This Row],[Sales After Discount]]</f>
        <v>0.46800000000000003</v>
      </c>
      <c r="Y702" s="4">
        <f>Sheet1[[#This Row],[Shipping_cost]]*Sheet1[[#This Row],[Quantity]]</f>
        <v>119.52000000000001</v>
      </c>
      <c r="Z702" s="4">
        <f>Sheet1[[#This Row],[Total Profit]]-Sheet1[[#This Row],[Total Shipping Cost]]</f>
        <v>301.68000000000006</v>
      </c>
      <c r="AA702" s="4" t="str">
        <f>IF(Sheet1[[#This Row],[Net Profit]]&gt;0,"Profit","Loss")</f>
        <v>Profit</v>
      </c>
    </row>
    <row r="703" spans="1:27" x14ac:dyDescent="0.25">
      <c r="A703" t="s">
        <v>948</v>
      </c>
      <c r="B703" s="1">
        <v>40595</v>
      </c>
      <c r="C703" s="1">
        <v>40599</v>
      </c>
      <c r="D703" t="s">
        <v>1</v>
      </c>
      <c r="E703" t="s">
        <v>949</v>
      </c>
      <c r="F703" t="s">
        <v>3</v>
      </c>
      <c r="G703" t="s">
        <v>332</v>
      </c>
      <c r="H703" t="s">
        <v>13</v>
      </c>
      <c r="I703" t="s">
        <v>14</v>
      </c>
      <c r="J703" t="s">
        <v>15</v>
      </c>
      <c r="K703" t="s">
        <v>38</v>
      </c>
      <c r="L703" t="s">
        <v>77</v>
      </c>
      <c r="M703">
        <v>184</v>
      </c>
      <c r="N703">
        <v>3</v>
      </c>
      <c r="O703">
        <v>0.1</v>
      </c>
      <c r="P703">
        <v>75.590999999999994</v>
      </c>
      <c r="Q703">
        <v>18.66</v>
      </c>
      <c r="R703" t="s">
        <v>9</v>
      </c>
      <c r="S703">
        <f>Sheet1[[#This Row],[Ship_date]]-Sheet1[[#This Row],[Order_date]]</f>
        <v>4</v>
      </c>
      <c r="T703">
        <f>Sheet1[[#This Row],[Quantity]]*Sheet1[[#This Row],[Sales]]</f>
        <v>552</v>
      </c>
      <c r="U703">
        <f>Sheet1[[#This Row],[Total Sales]]*Sheet1[[#This Row],[Discount]]</f>
        <v>55.2</v>
      </c>
      <c r="V703" s="4">
        <f>Sheet1[[#This Row],[Total Sales]]-Sheet1[[#This Row],[Total Sales]]*Sheet1[[#This Row],[Discount]]</f>
        <v>496.8</v>
      </c>
      <c r="W703" s="4">
        <f>Sheet1[[#This Row],[Quantity]]*Sheet1[[#This Row],[Profit]]</f>
        <v>226.77299999999997</v>
      </c>
      <c r="X703" s="5">
        <f>Sheet1[[#This Row],[Total Profit]]/Sheet1[[#This Row],[Sales After Discount]]</f>
        <v>0.45646739130434777</v>
      </c>
      <c r="Y703" s="4">
        <f>Sheet1[[#This Row],[Shipping_cost]]*Sheet1[[#This Row],[Quantity]]</f>
        <v>55.980000000000004</v>
      </c>
      <c r="Z703" s="4">
        <f>Sheet1[[#This Row],[Total Profit]]-Sheet1[[#This Row],[Total Shipping Cost]]</f>
        <v>170.79299999999995</v>
      </c>
      <c r="AA703" s="4" t="str">
        <f>IF(Sheet1[[#This Row],[Net Profit]]&gt;0,"Profit","Loss")</f>
        <v>Profit</v>
      </c>
    </row>
    <row r="704" spans="1:27" x14ac:dyDescent="0.25">
      <c r="A704" t="s">
        <v>957</v>
      </c>
      <c r="B704" s="1">
        <v>40595</v>
      </c>
      <c r="C704" s="1">
        <v>40597</v>
      </c>
      <c r="D704" t="s">
        <v>18</v>
      </c>
      <c r="E704" t="s">
        <v>655</v>
      </c>
      <c r="F704" t="s">
        <v>3</v>
      </c>
      <c r="G704" t="s">
        <v>203</v>
      </c>
      <c r="H704" t="s">
        <v>203</v>
      </c>
      <c r="I704" t="s">
        <v>14</v>
      </c>
      <c r="J704" t="s">
        <v>61</v>
      </c>
      <c r="K704" t="s">
        <v>32</v>
      </c>
      <c r="L704" t="s">
        <v>56</v>
      </c>
      <c r="M704">
        <v>179</v>
      </c>
      <c r="N704">
        <v>3</v>
      </c>
      <c r="O704">
        <v>0</v>
      </c>
      <c r="P704">
        <v>69.930000000000007</v>
      </c>
      <c r="Q704">
        <v>17.13</v>
      </c>
      <c r="R704" t="s">
        <v>9</v>
      </c>
      <c r="S704">
        <f>Sheet1[[#This Row],[Ship_date]]-Sheet1[[#This Row],[Order_date]]</f>
        <v>2</v>
      </c>
      <c r="T704">
        <f>Sheet1[[#This Row],[Quantity]]*Sheet1[[#This Row],[Sales]]</f>
        <v>537</v>
      </c>
      <c r="U704">
        <f>Sheet1[[#This Row],[Total Sales]]*Sheet1[[#This Row],[Discount]]</f>
        <v>0</v>
      </c>
      <c r="V704" s="4">
        <f>Sheet1[[#This Row],[Total Sales]]-Sheet1[[#This Row],[Total Sales]]*Sheet1[[#This Row],[Discount]]</f>
        <v>537</v>
      </c>
      <c r="W704" s="4">
        <f>Sheet1[[#This Row],[Quantity]]*Sheet1[[#This Row],[Profit]]</f>
        <v>209.79000000000002</v>
      </c>
      <c r="X704" s="5">
        <f>Sheet1[[#This Row],[Total Profit]]/Sheet1[[#This Row],[Sales After Discount]]</f>
        <v>0.39067039106145257</v>
      </c>
      <c r="Y704" s="4">
        <f>Sheet1[[#This Row],[Shipping_cost]]*Sheet1[[#This Row],[Quantity]]</f>
        <v>51.39</v>
      </c>
      <c r="Z704" s="4">
        <f>Sheet1[[#This Row],[Total Profit]]-Sheet1[[#This Row],[Total Shipping Cost]]</f>
        <v>158.40000000000003</v>
      </c>
      <c r="AA704" s="4" t="str">
        <f>IF(Sheet1[[#This Row],[Net Profit]]&gt;0,"Profit","Loss")</f>
        <v>Profit</v>
      </c>
    </row>
    <row r="705" spans="1:27" x14ac:dyDescent="0.25">
      <c r="A705" t="s">
        <v>946</v>
      </c>
      <c r="B705" s="1">
        <v>40595</v>
      </c>
      <c r="C705" s="1">
        <v>40600</v>
      </c>
      <c r="D705" t="s">
        <v>1</v>
      </c>
      <c r="E705" t="s">
        <v>947</v>
      </c>
      <c r="F705" t="s">
        <v>3</v>
      </c>
      <c r="G705" t="s">
        <v>429</v>
      </c>
      <c r="H705" t="s">
        <v>298</v>
      </c>
      <c r="I705" t="s">
        <v>29</v>
      </c>
      <c r="J705" t="s">
        <v>102</v>
      </c>
      <c r="K705" t="s">
        <v>7</v>
      </c>
      <c r="L705" t="s">
        <v>91</v>
      </c>
      <c r="M705">
        <v>164</v>
      </c>
      <c r="N705">
        <v>3</v>
      </c>
      <c r="O705">
        <v>0</v>
      </c>
      <c r="P705">
        <v>78.48</v>
      </c>
      <c r="Q705">
        <v>16.05</v>
      </c>
      <c r="R705" t="s">
        <v>9</v>
      </c>
      <c r="S705">
        <f>Sheet1[[#This Row],[Ship_date]]-Sheet1[[#This Row],[Order_date]]</f>
        <v>5</v>
      </c>
      <c r="T705">
        <f>Sheet1[[#This Row],[Quantity]]*Sheet1[[#This Row],[Sales]]</f>
        <v>492</v>
      </c>
      <c r="U705">
        <f>Sheet1[[#This Row],[Total Sales]]*Sheet1[[#This Row],[Discount]]</f>
        <v>0</v>
      </c>
      <c r="V705" s="4">
        <f>Sheet1[[#This Row],[Total Sales]]-Sheet1[[#This Row],[Total Sales]]*Sheet1[[#This Row],[Discount]]</f>
        <v>492</v>
      </c>
      <c r="W705" s="4">
        <f>Sheet1[[#This Row],[Quantity]]*Sheet1[[#This Row],[Profit]]</f>
        <v>235.44</v>
      </c>
      <c r="X705" s="5">
        <f>Sheet1[[#This Row],[Total Profit]]/Sheet1[[#This Row],[Sales After Discount]]</f>
        <v>0.47853658536585364</v>
      </c>
      <c r="Y705" s="4">
        <f>Sheet1[[#This Row],[Shipping_cost]]*Sheet1[[#This Row],[Quantity]]</f>
        <v>48.150000000000006</v>
      </c>
      <c r="Z705" s="4">
        <f>Sheet1[[#This Row],[Total Profit]]-Sheet1[[#This Row],[Total Shipping Cost]]</f>
        <v>187.29</v>
      </c>
      <c r="AA705" s="4" t="str">
        <f>IF(Sheet1[[#This Row],[Net Profit]]&gt;0,"Profit","Loss")</f>
        <v>Profit</v>
      </c>
    </row>
    <row r="706" spans="1:27" x14ac:dyDescent="0.25">
      <c r="A706" t="s">
        <v>953</v>
      </c>
      <c r="B706" s="1">
        <v>40595</v>
      </c>
      <c r="C706" s="1">
        <v>40595</v>
      </c>
      <c r="D706" t="s">
        <v>41</v>
      </c>
      <c r="E706" t="s">
        <v>954</v>
      </c>
      <c r="F706" t="s">
        <v>3</v>
      </c>
      <c r="G706" t="s">
        <v>59</v>
      </c>
      <c r="H706" t="s">
        <v>60</v>
      </c>
      <c r="I706" t="s">
        <v>14</v>
      </c>
      <c r="J706" t="s">
        <v>61</v>
      </c>
      <c r="K706" t="s">
        <v>38</v>
      </c>
      <c r="L706" t="s">
        <v>77</v>
      </c>
      <c r="M706">
        <v>93</v>
      </c>
      <c r="N706">
        <v>1</v>
      </c>
      <c r="O706">
        <v>0.25</v>
      </c>
      <c r="P706">
        <v>-7.47</v>
      </c>
      <c r="Q706">
        <v>8.84</v>
      </c>
      <c r="R706" t="s">
        <v>23</v>
      </c>
      <c r="S706">
        <f>Sheet1[[#This Row],[Ship_date]]-Sheet1[[#This Row],[Order_date]]</f>
        <v>0</v>
      </c>
      <c r="T706">
        <f>Sheet1[[#This Row],[Quantity]]*Sheet1[[#This Row],[Sales]]</f>
        <v>93</v>
      </c>
      <c r="U706">
        <f>Sheet1[[#This Row],[Total Sales]]*Sheet1[[#This Row],[Discount]]</f>
        <v>23.25</v>
      </c>
      <c r="V706" s="4">
        <f>Sheet1[[#This Row],[Total Sales]]-Sheet1[[#This Row],[Total Sales]]*Sheet1[[#This Row],[Discount]]</f>
        <v>69.75</v>
      </c>
      <c r="W706" s="4">
        <f>Sheet1[[#This Row],[Quantity]]*Sheet1[[#This Row],[Profit]]</f>
        <v>-7.47</v>
      </c>
      <c r="X706" s="5">
        <f>Sheet1[[#This Row],[Total Profit]]/Sheet1[[#This Row],[Sales After Discount]]</f>
        <v>-0.10709677419354838</v>
      </c>
      <c r="Y706" s="4">
        <f>Sheet1[[#This Row],[Shipping_cost]]*Sheet1[[#This Row],[Quantity]]</f>
        <v>8.84</v>
      </c>
      <c r="Z706" s="4">
        <f>Sheet1[[#This Row],[Total Profit]]-Sheet1[[#This Row],[Total Shipping Cost]]</f>
        <v>-16.309999999999999</v>
      </c>
      <c r="AA706" s="4" t="str">
        <f>IF(Sheet1[[#This Row],[Net Profit]]&gt;0,"Profit","Loss")</f>
        <v>Loss</v>
      </c>
    </row>
    <row r="707" spans="1:27" x14ac:dyDescent="0.25">
      <c r="A707" t="s">
        <v>958</v>
      </c>
      <c r="B707" s="1">
        <v>40595</v>
      </c>
      <c r="C707" s="1">
        <v>40601</v>
      </c>
      <c r="D707" t="s">
        <v>1</v>
      </c>
      <c r="E707" t="s">
        <v>959</v>
      </c>
      <c r="F707" t="s">
        <v>43</v>
      </c>
      <c r="G707" t="s">
        <v>544</v>
      </c>
      <c r="H707" t="s">
        <v>126</v>
      </c>
      <c r="I707" t="s">
        <v>127</v>
      </c>
      <c r="J707" t="s">
        <v>76</v>
      </c>
      <c r="K707" t="s">
        <v>38</v>
      </c>
      <c r="L707" t="s">
        <v>82</v>
      </c>
      <c r="M707">
        <v>62</v>
      </c>
      <c r="N707">
        <v>3</v>
      </c>
      <c r="O707">
        <v>0</v>
      </c>
      <c r="P707">
        <v>22.4316</v>
      </c>
      <c r="Q707">
        <v>3.97</v>
      </c>
      <c r="R707" t="s">
        <v>9</v>
      </c>
      <c r="S707">
        <f>Sheet1[[#This Row],[Ship_date]]-Sheet1[[#This Row],[Order_date]]</f>
        <v>6</v>
      </c>
      <c r="T707">
        <f>Sheet1[[#This Row],[Quantity]]*Sheet1[[#This Row],[Sales]]</f>
        <v>186</v>
      </c>
      <c r="U707">
        <f>Sheet1[[#This Row],[Total Sales]]*Sheet1[[#This Row],[Discount]]</f>
        <v>0</v>
      </c>
      <c r="V707" s="4">
        <f>Sheet1[[#This Row],[Total Sales]]-Sheet1[[#This Row],[Total Sales]]*Sheet1[[#This Row],[Discount]]</f>
        <v>186</v>
      </c>
      <c r="W707" s="4">
        <f>Sheet1[[#This Row],[Quantity]]*Sheet1[[#This Row],[Profit]]</f>
        <v>67.294799999999995</v>
      </c>
      <c r="X707" s="5">
        <f>Sheet1[[#This Row],[Total Profit]]/Sheet1[[#This Row],[Sales After Discount]]</f>
        <v>0.36179999999999995</v>
      </c>
      <c r="Y707" s="4">
        <f>Sheet1[[#This Row],[Shipping_cost]]*Sheet1[[#This Row],[Quantity]]</f>
        <v>11.91</v>
      </c>
      <c r="Z707" s="4">
        <f>Sheet1[[#This Row],[Total Profit]]-Sheet1[[#This Row],[Total Shipping Cost]]</f>
        <v>55.384799999999998</v>
      </c>
      <c r="AA707" s="4" t="str">
        <f>IF(Sheet1[[#This Row],[Net Profit]]&gt;0,"Profit","Loss")</f>
        <v>Profit</v>
      </c>
    </row>
    <row r="708" spans="1:27" x14ac:dyDescent="0.25">
      <c r="A708" t="s">
        <v>955</v>
      </c>
      <c r="B708" s="1">
        <v>40595</v>
      </c>
      <c r="C708" s="1">
        <v>40599</v>
      </c>
      <c r="D708" t="s">
        <v>18</v>
      </c>
      <c r="E708" t="s">
        <v>956</v>
      </c>
      <c r="F708" t="s">
        <v>3</v>
      </c>
      <c r="G708" t="s">
        <v>873</v>
      </c>
      <c r="H708" t="s">
        <v>873</v>
      </c>
      <c r="I708" t="s">
        <v>14</v>
      </c>
      <c r="J708" t="s">
        <v>132</v>
      </c>
      <c r="K708" t="s">
        <v>7</v>
      </c>
      <c r="L708" t="s">
        <v>97</v>
      </c>
      <c r="M708">
        <v>25</v>
      </c>
      <c r="N708">
        <v>2</v>
      </c>
      <c r="O708">
        <v>0</v>
      </c>
      <c r="P708">
        <v>4.74</v>
      </c>
      <c r="Q708">
        <v>2.96</v>
      </c>
      <c r="R708" t="s">
        <v>9</v>
      </c>
      <c r="S708">
        <f>Sheet1[[#This Row],[Ship_date]]-Sheet1[[#This Row],[Order_date]]</f>
        <v>4</v>
      </c>
      <c r="T708">
        <f>Sheet1[[#This Row],[Quantity]]*Sheet1[[#This Row],[Sales]]</f>
        <v>50</v>
      </c>
      <c r="U708">
        <f>Sheet1[[#This Row],[Total Sales]]*Sheet1[[#This Row],[Discount]]</f>
        <v>0</v>
      </c>
      <c r="V708" s="4">
        <f>Sheet1[[#This Row],[Total Sales]]-Sheet1[[#This Row],[Total Sales]]*Sheet1[[#This Row],[Discount]]</f>
        <v>50</v>
      </c>
      <c r="W708" s="4">
        <f>Sheet1[[#This Row],[Quantity]]*Sheet1[[#This Row],[Profit]]</f>
        <v>9.48</v>
      </c>
      <c r="X708" s="5">
        <f>Sheet1[[#This Row],[Total Profit]]/Sheet1[[#This Row],[Sales After Discount]]</f>
        <v>0.18960000000000002</v>
      </c>
      <c r="Y708" s="4">
        <f>Sheet1[[#This Row],[Shipping_cost]]*Sheet1[[#This Row],[Quantity]]</f>
        <v>5.92</v>
      </c>
      <c r="Z708" s="4">
        <f>Sheet1[[#This Row],[Total Profit]]-Sheet1[[#This Row],[Total Shipping Cost]]</f>
        <v>3.5600000000000005</v>
      </c>
      <c r="AA708" s="4" t="str">
        <f>IF(Sheet1[[#This Row],[Net Profit]]&gt;0,"Profit","Loss")</f>
        <v>Profit</v>
      </c>
    </row>
    <row r="709" spans="1:27" x14ac:dyDescent="0.25">
      <c r="A709" t="s">
        <v>948</v>
      </c>
      <c r="B709" s="1">
        <v>40595</v>
      </c>
      <c r="C709" s="1">
        <v>40599</v>
      </c>
      <c r="D709" t="s">
        <v>1</v>
      </c>
      <c r="E709" t="s">
        <v>949</v>
      </c>
      <c r="F709" t="s">
        <v>3</v>
      </c>
      <c r="G709" t="s">
        <v>332</v>
      </c>
      <c r="H709" t="s">
        <v>13</v>
      </c>
      <c r="I709" t="s">
        <v>14</v>
      </c>
      <c r="J709" t="s">
        <v>15</v>
      </c>
      <c r="K709" t="s">
        <v>7</v>
      </c>
      <c r="L709" t="s">
        <v>87</v>
      </c>
      <c r="M709">
        <v>36</v>
      </c>
      <c r="N709">
        <v>6</v>
      </c>
      <c r="O709">
        <v>0.1</v>
      </c>
      <c r="P709">
        <v>8.2439999999999998</v>
      </c>
      <c r="Q709">
        <v>2.54</v>
      </c>
      <c r="R709" t="s">
        <v>9</v>
      </c>
      <c r="S709">
        <f>Sheet1[[#This Row],[Ship_date]]-Sheet1[[#This Row],[Order_date]]</f>
        <v>4</v>
      </c>
      <c r="T709">
        <f>Sheet1[[#This Row],[Quantity]]*Sheet1[[#This Row],[Sales]]</f>
        <v>216</v>
      </c>
      <c r="U709">
        <f>Sheet1[[#This Row],[Total Sales]]*Sheet1[[#This Row],[Discount]]</f>
        <v>21.6</v>
      </c>
      <c r="V709" s="4">
        <f>Sheet1[[#This Row],[Total Sales]]-Sheet1[[#This Row],[Total Sales]]*Sheet1[[#This Row],[Discount]]</f>
        <v>194.4</v>
      </c>
      <c r="W709" s="4">
        <f>Sheet1[[#This Row],[Quantity]]*Sheet1[[#This Row],[Profit]]</f>
        <v>49.463999999999999</v>
      </c>
      <c r="X709" s="5">
        <f>Sheet1[[#This Row],[Total Profit]]/Sheet1[[#This Row],[Sales After Discount]]</f>
        <v>0.25444444444444442</v>
      </c>
      <c r="Y709" s="4">
        <f>Sheet1[[#This Row],[Shipping_cost]]*Sheet1[[#This Row],[Quantity]]</f>
        <v>15.24</v>
      </c>
      <c r="Z709" s="4">
        <f>Sheet1[[#This Row],[Total Profit]]-Sheet1[[#This Row],[Total Shipping Cost]]</f>
        <v>34.223999999999997</v>
      </c>
      <c r="AA709" s="4" t="str">
        <f>IF(Sheet1[[#This Row],[Net Profit]]&gt;0,"Profit","Loss")</f>
        <v>Profit</v>
      </c>
    </row>
    <row r="710" spans="1:27" x14ac:dyDescent="0.25">
      <c r="A710" t="s">
        <v>946</v>
      </c>
      <c r="B710" s="1">
        <v>40595</v>
      </c>
      <c r="C710" s="1">
        <v>40600</v>
      </c>
      <c r="D710" t="s">
        <v>1</v>
      </c>
      <c r="E710" t="s">
        <v>947</v>
      </c>
      <c r="F710" t="s">
        <v>3</v>
      </c>
      <c r="G710" t="s">
        <v>429</v>
      </c>
      <c r="H710" t="s">
        <v>298</v>
      </c>
      <c r="I710" t="s">
        <v>29</v>
      </c>
      <c r="J710" t="s">
        <v>102</v>
      </c>
      <c r="K710" t="s">
        <v>38</v>
      </c>
      <c r="L710" t="s">
        <v>39</v>
      </c>
      <c r="M710">
        <v>30</v>
      </c>
      <c r="N710">
        <v>1</v>
      </c>
      <c r="O710">
        <v>0.4</v>
      </c>
      <c r="P710">
        <v>-5.4660000000000002</v>
      </c>
      <c r="Q710">
        <v>2.41</v>
      </c>
      <c r="R710" t="s">
        <v>9</v>
      </c>
      <c r="S710">
        <f>Sheet1[[#This Row],[Ship_date]]-Sheet1[[#This Row],[Order_date]]</f>
        <v>5</v>
      </c>
      <c r="T710">
        <f>Sheet1[[#This Row],[Quantity]]*Sheet1[[#This Row],[Sales]]</f>
        <v>30</v>
      </c>
      <c r="U710">
        <f>Sheet1[[#This Row],[Total Sales]]*Sheet1[[#This Row],[Discount]]</f>
        <v>12</v>
      </c>
      <c r="V710" s="4">
        <f>Sheet1[[#This Row],[Total Sales]]-Sheet1[[#This Row],[Total Sales]]*Sheet1[[#This Row],[Discount]]</f>
        <v>18</v>
      </c>
      <c r="W710" s="4">
        <f>Sheet1[[#This Row],[Quantity]]*Sheet1[[#This Row],[Profit]]</f>
        <v>-5.4660000000000002</v>
      </c>
      <c r="X710" s="5">
        <f>Sheet1[[#This Row],[Total Profit]]/Sheet1[[#This Row],[Sales After Discount]]</f>
        <v>-0.3036666666666667</v>
      </c>
      <c r="Y710" s="4">
        <f>Sheet1[[#This Row],[Shipping_cost]]*Sheet1[[#This Row],[Quantity]]</f>
        <v>2.41</v>
      </c>
      <c r="Z710" s="4">
        <f>Sheet1[[#This Row],[Total Profit]]-Sheet1[[#This Row],[Total Shipping Cost]]</f>
        <v>-7.8760000000000003</v>
      </c>
      <c r="AA710" s="4" t="str">
        <f>IF(Sheet1[[#This Row],[Net Profit]]&gt;0,"Profit","Loss")</f>
        <v>Loss</v>
      </c>
    </row>
    <row r="711" spans="1:27" x14ac:dyDescent="0.25">
      <c r="A711" t="s">
        <v>946</v>
      </c>
      <c r="B711" s="1">
        <v>40595</v>
      </c>
      <c r="C711" s="1">
        <v>40600</v>
      </c>
      <c r="D711" t="s">
        <v>1</v>
      </c>
      <c r="E711" t="s">
        <v>947</v>
      </c>
      <c r="F711" t="s">
        <v>3</v>
      </c>
      <c r="G711" t="s">
        <v>429</v>
      </c>
      <c r="H711" t="s">
        <v>298</v>
      </c>
      <c r="I711" t="s">
        <v>29</v>
      </c>
      <c r="J711" t="s">
        <v>102</v>
      </c>
      <c r="K711" t="s">
        <v>7</v>
      </c>
      <c r="L711" t="s">
        <v>8</v>
      </c>
      <c r="M711">
        <v>29</v>
      </c>
      <c r="N711">
        <v>1</v>
      </c>
      <c r="O711">
        <v>0.4</v>
      </c>
      <c r="P711">
        <v>-13.092000000000001</v>
      </c>
      <c r="Q711">
        <v>2.34</v>
      </c>
      <c r="R711" t="s">
        <v>9</v>
      </c>
      <c r="S711">
        <f>Sheet1[[#This Row],[Ship_date]]-Sheet1[[#This Row],[Order_date]]</f>
        <v>5</v>
      </c>
      <c r="T711">
        <f>Sheet1[[#This Row],[Quantity]]*Sheet1[[#This Row],[Sales]]</f>
        <v>29</v>
      </c>
      <c r="U711">
        <f>Sheet1[[#This Row],[Total Sales]]*Sheet1[[#This Row],[Discount]]</f>
        <v>11.600000000000001</v>
      </c>
      <c r="V711" s="4">
        <f>Sheet1[[#This Row],[Total Sales]]-Sheet1[[#This Row],[Total Sales]]*Sheet1[[#This Row],[Discount]]</f>
        <v>17.399999999999999</v>
      </c>
      <c r="W711" s="4">
        <f>Sheet1[[#This Row],[Quantity]]*Sheet1[[#This Row],[Profit]]</f>
        <v>-13.092000000000001</v>
      </c>
      <c r="X711" s="5">
        <f>Sheet1[[#This Row],[Total Profit]]/Sheet1[[#This Row],[Sales After Discount]]</f>
        <v>-0.75241379310344836</v>
      </c>
      <c r="Y711" s="4">
        <f>Sheet1[[#This Row],[Shipping_cost]]*Sheet1[[#This Row],[Quantity]]</f>
        <v>2.34</v>
      </c>
      <c r="Z711" s="4">
        <f>Sheet1[[#This Row],[Total Profit]]-Sheet1[[#This Row],[Total Shipping Cost]]</f>
        <v>-15.432</v>
      </c>
      <c r="AA711" s="4" t="str">
        <f>IF(Sheet1[[#This Row],[Net Profit]]&gt;0,"Profit","Loss")</f>
        <v>Loss</v>
      </c>
    </row>
    <row r="712" spans="1:27" x14ac:dyDescent="0.25">
      <c r="A712" t="s">
        <v>960</v>
      </c>
      <c r="B712" s="1">
        <v>40595</v>
      </c>
      <c r="C712" s="1">
        <v>40599</v>
      </c>
      <c r="D712" t="s">
        <v>1</v>
      </c>
      <c r="E712" t="s">
        <v>961</v>
      </c>
      <c r="F712" t="s">
        <v>3</v>
      </c>
      <c r="G712" t="s">
        <v>962</v>
      </c>
      <c r="H712" t="s">
        <v>818</v>
      </c>
      <c r="I712" t="s">
        <v>29</v>
      </c>
      <c r="J712" t="s">
        <v>76</v>
      </c>
      <c r="K712" t="s">
        <v>7</v>
      </c>
      <c r="L712" t="s">
        <v>97</v>
      </c>
      <c r="M712">
        <v>21</v>
      </c>
      <c r="N712">
        <v>2</v>
      </c>
      <c r="O712">
        <v>0</v>
      </c>
      <c r="P712">
        <v>5.88</v>
      </c>
      <c r="Q712">
        <v>1.8</v>
      </c>
      <c r="R712" t="s">
        <v>9</v>
      </c>
      <c r="S712">
        <f>Sheet1[[#This Row],[Ship_date]]-Sheet1[[#This Row],[Order_date]]</f>
        <v>4</v>
      </c>
      <c r="T712">
        <f>Sheet1[[#This Row],[Quantity]]*Sheet1[[#This Row],[Sales]]</f>
        <v>42</v>
      </c>
      <c r="U712">
        <f>Sheet1[[#This Row],[Total Sales]]*Sheet1[[#This Row],[Discount]]</f>
        <v>0</v>
      </c>
      <c r="V712" s="4">
        <f>Sheet1[[#This Row],[Total Sales]]-Sheet1[[#This Row],[Total Sales]]*Sheet1[[#This Row],[Discount]]</f>
        <v>42</v>
      </c>
      <c r="W712" s="4">
        <f>Sheet1[[#This Row],[Quantity]]*Sheet1[[#This Row],[Profit]]</f>
        <v>11.76</v>
      </c>
      <c r="X712" s="5">
        <f>Sheet1[[#This Row],[Total Profit]]/Sheet1[[#This Row],[Sales After Discount]]</f>
        <v>0.27999999999999997</v>
      </c>
      <c r="Y712" s="4">
        <f>Sheet1[[#This Row],[Shipping_cost]]*Sheet1[[#This Row],[Quantity]]</f>
        <v>3.6</v>
      </c>
      <c r="Z712" s="4">
        <f>Sheet1[[#This Row],[Total Profit]]-Sheet1[[#This Row],[Total Shipping Cost]]</f>
        <v>8.16</v>
      </c>
      <c r="AA712" s="4" t="str">
        <f>IF(Sheet1[[#This Row],[Net Profit]]&gt;0,"Profit","Loss")</f>
        <v>Profit</v>
      </c>
    </row>
    <row r="713" spans="1:27" x14ac:dyDescent="0.25">
      <c r="A713" t="s">
        <v>960</v>
      </c>
      <c r="B713" s="1">
        <v>40595</v>
      </c>
      <c r="C713" s="1">
        <v>40599</v>
      </c>
      <c r="D713" t="s">
        <v>1</v>
      </c>
      <c r="E713" t="s">
        <v>961</v>
      </c>
      <c r="F713" t="s">
        <v>3</v>
      </c>
      <c r="G713" t="s">
        <v>962</v>
      </c>
      <c r="H713" t="s">
        <v>818</v>
      </c>
      <c r="I713" t="s">
        <v>29</v>
      </c>
      <c r="J713" t="s">
        <v>76</v>
      </c>
      <c r="K713" t="s">
        <v>7</v>
      </c>
      <c r="L713" t="s">
        <v>8</v>
      </c>
      <c r="M713">
        <v>32</v>
      </c>
      <c r="N713">
        <v>3</v>
      </c>
      <c r="O713">
        <v>0</v>
      </c>
      <c r="P713">
        <v>8.3699999999999992</v>
      </c>
      <c r="Q713">
        <v>1.77</v>
      </c>
      <c r="R713" t="s">
        <v>9</v>
      </c>
      <c r="S713">
        <f>Sheet1[[#This Row],[Ship_date]]-Sheet1[[#This Row],[Order_date]]</f>
        <v>4</v>
      </c>
      <c r="T713">
        <f>Sheet1[[#This Row],[Quantity]]*Sheet1[[#This Row],[Sales]]</f>
        <v>96</v>
      </c>
      <c r="U713">
        <f>Sheet1[[#This Row],[Total Sales]]*Sheet1[[#This Row],[Discount]]</f>
        <v>0</v>
      </c>
      <c r="V713" s="4">
        <f>Sheet1[[#This Row],[Total Sales]]-Sheet1[[#This Row],[Total Sales]]*Sheet1[[#This Row],[Discount]]</f>
        <v>96</v>
      </c>
      <c r="W713" s="4">
        <f>Sheet1[[#This Row],[Quantity]]*Sheet1[[#This Row],[Profit]]</f>
        <v>25.11</v>
      </c>
      <c r="X713" s="5">
        <f>Sheet1[[#This Row],[Total Profit]]/Sheet1[[#This Row],[Sales After Discount]]</f>
        <v>0.26156249999999998</v>
      </c>
      <c r="Y713" s="4">
        <f>Sheet1[[#This Row],[Shipping_cost]]*Sheet1[[#This Row],[Quantity]]</f>
        <v>5.3100000000000005</v>
      </c>
      <c r="Z713" s="4">
        <f>Sheet1[[#This Row],[Total Profit]]-Sheet1[[#This Row],[Total Shipping Cost]]</f>
        <v>19.799999999999997</v>
      </c>
      <c r="AA713" s="4" t="str">
        <f>IF(Sheet1[[#This Row],[Net Profit]]&gt;0,"Profit","Loss")</f>
        <v>Profit</v>
      </c>
    </row>
    <row r="714" spans="1:27" x14ac:dyDescent="0.25">
      <c r="A714" t="s">
        <v>963</v>
      </c>
      <c r="B714" s="1">
        <v>40595</v>
      </c>
      <c r="C714" s="1">
        <v>40602</v>
      </c>
      <c r="D714" t="s">
        <v>1</v>
      </c>
      <c r="E714" t="s">
        <v>964</v>
      </c>
      <c r="F714" t="s">
        <v>43</v>
      </c>
      <c r="G714" t="s">
        <v>417</v>
      </c>
      <c r="H714" t="s">
        <v>298</v>
      </c>
      <c r="I714" t="s">
        <v>29</v>
      </c>
      <c r="J714" t="s">
        <v>102</v>
      </c>
      <c r="K714" t="s">
        <v>7</v>
      </c>
      <c r="L714" t="s">
        <v>87</v>
      </c>
      <c r="M714">
        <v>18</v>
      </c>
      <c r="N714">
        <v>3</v>
      </c>
      <c r="O714">
        <v>0</v>
      </c>
      <c r="P714">
        <v>3.69</v>
      </c>
      <c r="Q714">
        <v>1.54</v>
      </c>
      <c r="R714" t="s">
        <v>51</v>
      </c>
      <c r="S714">
        <f>Sheet1[[#This Row],[Ship_date]]-Sheet1[[#This Row],[Order_date]]</f>
        <v>7</v>
      </c>
      <c r="T714">
        <f>Sheet1[[#This Row],[Quantity]]*Sheet1[[#This Row],[Sales]]</f>
        <v>54</v>
      </c>
      <c r="U714">
        <f>Sheet1[[#This Row],[Total Sales]]*Sheet1[[#This Row],[Discount]]</f>
        <v>0</v>
      </c>
      <c r="V714" s="4">
        <f>Sheet1[[#This Row],[Total Sales]]-Sheet1[[#This Row],[Total Sales]]*Sheet1[[#This Row],[Discount]]</f>
        <v>54</v>
      </c>
      <c r="W714" s="4">
        <f>Sheet1[[#This Row],[Quantity]]*Sheet1[[#This Row],[Profit]]</f>
        <v>11.07</v>
      </c>
      <c r="X714" s="5">
        <f>Sheet1[[#This Row],[Total Profit]]/Sheet1[[#This Row],[Sales After Discount]]</f>
        <v>0.20500000000000002</v>
      </c>
      <c r="Y714" s="4">
        <f>Sheet1[[#This Row],[Shipping_cost]]*Sheet1[[#This Row],[Quantity]]</f>
        <v>4.62</v>
      </c>
      <c r="Z714" s="4">
        <f>Sheet1[[#This Row],[Total Profit]]-Sheet1[[#This Row],[Total Shipping Cost]]</f>
        <v>6.45</v>
      </c>
      <c r="AA714" s="4" t="str">
        <f>IF(Sheet1[[#This Row],[Net Profit]]&gt;0,"Profit","Loss")</f>
        <v>Profit</v>
      </c>
    </row>
    <row r="715" spans="1:27" x14ac:dyDescent="0.25">
      <c r="A715" t="s">
        <v>965</v>
      </c>
      <c r="B715" s="1">
        <v>40595</v>
      </c>
      <c r="C715" s="1">
        <v>40599</v>
      </c>
      <c r="D715" t="s">
        <v>1</v>
      </c>
      <c r="E715" t="s">
        <v>966</v>
      </c>
      <c r="F715" t="s">
        <v>26</v>
      </c>
      <c r="G715" t="s">
        <v>191</v>
      </c>
      <c r="H715" t="s">
        <v>126</v>
      </c>
      <c r="I715" t="s">
        <v>127</v>
      </c>
      <c r="J715" t="s">
        <v>192</v>
      </c>
      <c r="K715" t="s">
        <v>7</v>
      </c>
      <c r="L715" t="s">
        <v>31</v>
      </c>
      <c r="M715">
        <v>13</v>
      </c>
      <c r="N715">
        <v>2</v>
      </c>
      <c r="O715">
        <v>0</v>
      </c>
      <c r="P715">
        <v>6.2207999999999997</v>
      </c>
      <c r="Q715">
        <v>1.1399999999999999</v>
      </c>
      <c r="R715" t="s">
        <v>23</v>
      </c>
      <c r="S715">
        <f>Sheet1[[#This Row],[Ship_date]]-Sheet1[[#This Row],[Order_date]]</f>
        <v>4</v>
      </c>
      <c r="T715">
        <f>Sheet1[[#This Row],[Quantity]]*Sheet1[[#This Row],[Sales]]</f>
        <v>26</v>
      </c>
      <c r="U715">
        <f>Sheet1[[#This Row],[Total Sales]]*Sheet1[[#This Row],[Discount]]</f>
        <v>0</v>
      </c>
      <c r="V715" s="4">
        <f>Sheet1[[#This Row],[Total Sales]]-Sheet1[[#This Row],[Total Sales]]*Sheet1[[#This Row],[Discount]]</f>
        <v>26</v>
      </c>
      <c r="W715" s="4">
        <f>Sheet1[[#This Row],[Quantity]]*Sheet1[[#This Row],[Profit]]</f>
        <v>12.441599999999999</v>
      </c>
      <c r="X715" s="5">
        <f>Sheet1[[#This Row],[Total Profit]]/Sheet1[[#This Row],[Sales After Discount]]</f>
        <v>0.47852307692307688</v>
      </c>
      <c r="Y715" s="4">
        <f>Sheet1[[#This Row],[Shipping_cost]]*Sheet1[[#This Row],[Quantity]]</f>
        <v>2.2799999999999998</v>
      </c>
      <c r="Z715" s="4">
        <f>Sheet1[[#This Row],[Total Profit]]-Sheet1[[#This Row],[Total Shipping Cost]]</f>
        <v>10.1616</v>
      </c>
      <c r="AA715" s="4" t="str">
        <f>IF(Sheet1[[#This Row],[Net Profit]]&gt;0,"Profit","Loss")</f>
        <v>Profit</v>
      </c>
    </row>
    <row r="716" spans="1:27" x14ac:dyDescent="0.25">
      <c r="A716" t="s">
        <v>958</v>
      </c>
      <c r="B716" s="1">
        <v>40595</v>
      </c>
      <c r="C716" s="1">
        <v>40601</v>
      </c>
      <c r="D716" t="s">
        <v>1</v>
      </c>
      <c r="E716" t="s">
        <v>959</v>
      </c>
      <c r="F716" t="s">
        <v>43</v>
      </c>
      <c r="G716" t="s">
        <v>544</v>
      </c>
      <c r="H716" t="s">
        <v>126</v>
      </c>
      <c r="I716" t="s">
        <v>127</v>
      </c>
      <c r="J716" t="s">
        <v>76</v>
      </c>
      <c r="K716" t="s">
        <v>32</v>
      </c>
      <c r="L716" t="s">
        <v>33</v>
      </c>
      <c r="M716">
        <v>20</v>
      </c>
      <c r="N716">
        <v>4</v>
      </c>
      <c r="O716">
        <v>0</v>
      </c>
      <c r="P716">
        <v>6.9088000000000003</v>
      </c>
      <c r="Q716">
        <v>0.83</v>
      </c>
      <c r="R716" t="s">
        <v>9</v>
      </c>
      <c r="S716">
        <f>Sheet1[[#This Row],[Ship_date]]-Sheet1[[#This Row],[Order_date]]</f>
        <v>6</v>
      </c>
      <c r="T716">
        <f>Sheet1[[#This Row],[Quantity]]*Sheet1[[#This Row],[Sales]]</f>
        <v>80</v>
      </c>
      <c r="U716">
        <f>Sheet1[[#This Row],[Total Sales]]*Sheet1[[#This Row],[Discount]]</f>
        <v>0</v>
      </c>
      <c r="V716" s="4">
        <f>Sheet1[[#This Row],[Total Sales]]-Sheet1[[#This Row],[Total Sales]]*Sheet1[[#This Row],[Discount]]</f>
        <v>80</v>
      </c>
      <c r="W716" s="4">
        <f>Sheet1[[#This Row],[Quantity]]*Sheet1[[#This Row],[Profit]]</f>
        <v>27.635200000000001</v>
      </c>
      <c r="X716" s="5">
        <f>Sheet1[[#This Row],[Total Profit]]/Sheet1[[#This Row],[Sales After Discount]]</f>
        <v>0.34544000000000002</v>
      </c>
      <c r="Y716" s="4">
        <f>Sheet1[[#This Row],[Shipping_cost]]*Sheet1[[#This Row],[Quantity]]</f>
        <v>3.32</v>
      </c>
      <c r="Z716" s="4">
        <f>Sheet1[[#This Row],[Total Profit]]-Sheet1[[#This Row],[Total Shipping Cost]]</f>
        <v>24.315200000000001</v>
      </c>
      <c r="AA716" s="4" t="str">
        <f>IF(Sheet1[[#This Row],[Net Profit]]&gt;0,"Profit","Loss")</f>
        <v>Profit</v>
      </c>
    </row>
    <row r="717" spans="1:27" x14ac:dyDescent="0.25">
      <c r="A717" t="s">
        <v>967</v>
      </c>
      <c r="B717" s="1">
        <v>40596</v>
      </c>
      <c r="C717" s="1">
        <v>40600</v>
      </c>
      <c r="D717" t="s">
        <v>1</v>
      </c>
      <c r="E717" t="s">
        <v>968</v>
      </c>
      <c r="F717" t="s">
        <v>3</v>
      </c>
      <c r="G717" t="s">
        <v>482</v>
      </c>
      <c r="H717" t="s">
        <v>298</v>
      </c>
      <c r="I717" t="s">
        <v>29</v>
      </c>
      <c r="J717" t="s">
        <v>102</v>
      </c>
      <c r="K717" t="s">
        <v>38</v>
      </c>
      <c r="L717" t="s">
        <v>39</v>
      </c>
      <c r="M717">
        <v>477</v>
      </c>
      <c r="N717">
        <v>3</v>
      </c>
      <c r="O717">
        <v>0.4</v>
      </c>
      <c r="P717">
        <v>39.671999999999997</v>
      </c>
      <c r="Q717">
        <v>85.57</v>
      </c>
      <c r="R717" t="s">
        <v>23</v>
      </c>
      <c r="S717">
        <f>Sheet1[[#This Row],[Ship_date]]-Sheet1[[#This Row],[Order_date]]</f>
        <v>4</v>
      </c>
      <c r="T717">
        <f>Sheet1[[#This Row],[Quantity]]*Sheet1[[#This Row],[Sales]]</f>
        <v>1431</v>
      </c>
      <c r="U717">
        <f>Sheet1[[#This Row],[Total Sales]]*Sheet1[[#This Row],[Discount]]</f>
        <v>572.4</v>
      </c>
      <c r="V717" s="4">
        <f>Sheet1[[#This Row],[Total Sales]]-Sheet1[[#This Row],[Total Sales]]*Sheet1[[#This Row],[Discount]]</f>
        <v>858.6</v>
      </c>
      <c r="W717" s="4">
        <f>Sheet1[[#This Row],[Quantity]]*Sheet1[[#This Row],[Profit]]</f>
        <v>119.01599999999999</v>
      </c>
      <c r="X717" s="5">
        <f>Sheet1[[#This Row],[Total Profit]]/Sheet1[[#This Row],[Sales After Discount]]</f>
        <v>0.13861635220125784</v>
      </c>
      <c r="Y717" s="4">
        <f>Sheet1[[#This Row],[Shipping_cost]]*Sheet1[[#This Row],[Quantity]]</f>
        <v>256.70999999999998</v>
      </c>
      <c r="Z717" s="4">
        <f>Sheet1[[#This Row],[Total Profit]]-Sheet1[[#This Row],[Total Shipping Cost]]</f>
        <v>-137.69399999999999</v>
      </c>
      <c r="AA717" s="4" t="str">
        <f>IF(Sheet1[[#This Row],[Net Profit]]&gt;0,"Profit","Loss")</f>
        <v>Loss</v>
      </c>
    </row>
    <row r="718" spans="1:27" x14ac:dyDescent="0.25">
      <c r="A718" t="s">
        <v>969</v>
      </c>
      <c r="B718" s="1">
        <v>40596</v>
      </c>
      <c r="C718" s="1">
        <v>40601</v>
      </c>
      <c r="D718" t="s">
        <v>18</v>
      </c>
      <c r="E718" t="s">
        <v>970</v>
      </c>
      <c r="F718" t="s">
        <v>43</v>
      </c>
      <c r="G718" t="s">
        <v>971</v>
      </c>
      <c r="H718" t="s">
        <v>972</v>
      </c>
      <c r="I718" t="s">
        <v>22</v>
      </c>
      <c r="J718" t="s">
        <v>22</v>
      </c>
      <c r="K718" t="s">
        <v>7</v>
      </c>
      <c r="L718" t="s">
        <v>137</v>
      </c>
      <c r="M718">
        <v>403</v>
      </c>
      <c r="N718">
        <v>8</v>
      </c>
      <c r="O718">
        <v>0</v>
      </c>
      <c r="P718">
        <v>24</v>
      </c>
      <c r="Q718">
        <v>30.21</v>
      </c>
      <c r="R718" t="s">
        <v>9</v>
      </c>
      <c r="S718">
        <f>Sheet1[[#This Row],[Ship_date]]-Sheet1[[#This Row],[Order_date]]</f>
        <v>5</v>
      </c>
      <c r="T718">
        <f>Sheet1[[#This Row],[Quantity]]*Sheet1[[#This Row],[Sales]]</f>
        <v>3224</v>
      </c>
      <c r="U718">
        <f>Sheet1[[#This Row],[Total Sales]]*Sheet1[[#This Row],[Discount]]</f>
        <v>0</v>
      </c>
      <c r="V718" s="4">
        <f>Sheet1[[#This Row],[Total Sales]]-Sheet1[[#This Row],[Total Sales]]*Sheet1[[#This Row],[Discount]]</f>
        <v>3224</v>
      </c>
      <c r="W718" s="4">
        <f>Sheet1[[#This Row],[Quantity]]*Sheet1[[#This Row],[Profit]]</f>
        <v>192</v>
      </c>
      <c r="X718" s="5">
        <f>Sheet1[[#This Row],[Total Profit]]/Sheet1[[#This Row],[Sales After Discount]]</f>
        <v>5.9553349875930521E-2</v>
      </c>
      <c r="Y718" s="4">
        <f>Sheet1[[#This Row],[Shipping_cost]]*Sheet1[[#This Row],[Quantity]]</f>
        <v>241.68</v>
      </c>
      <c r="Z718" s="4">
        <f>Sheet1[[#This Row],[Total Profit]]-Sheet1[[#This Row],[Total Shipping Cost]]</f>
        <v>-49.680000000000007</v>
      </c>
      <c r="AA718" s="4" t="str">
        <f>IF(Sheet1[[#This Row],[Net Profit]]&gt;0,"Profit","Loss")</f>
        <v>Loss</v>
      </c>
    </row>
    <row r="719" spans="1:27" x14ac:dyDescent="0.25">
      <c r="A719" t="s">
        <v>967</v>
      </c>
      <c r="B719" s="1">
        <v>40596</v>
      </c>
      <c r="C719" s="1">
        <v>40600</v>
      </c>
      <c r="D719" t="s">
        <v>1</v>
      </c>
      <c r="E719" t="s">
        <v>968</v>
      </c>
      <c r="F719" t="s">
        <v>3</v>
      </c>
      <c r="G719" t="s">
        <v>482</v>
      </c>
      <c r="H719" t="s">
        <v>298</v>
      </c>
      <c r="I719" t="s">
        <v>29</v>
      </c>
      <c r="J719" t="s">
        <v>102</v>
      </c>
      <c r="K719" t="s">
        <v>32</v>
      </c>
      <c r="L719" t="s">
        <v>33</v>
      </c>
      <c r="M719">
        <v>103</v>
      </c>
      <c r="N719">
        <v>2</v>
      </c>
      <c r="O719">
        <v>0</v>
      </c>
      <c r="P719">
        <v>29.76</v>
      </c>
      <c r="Q719">
        <v>20.149999999999999</v>
      </c>
      <c r="R719" t="s">
        <v>23</v>
      </c>
      <c r="S719">
        <f>Sheet1[[#This Row],[Ship_date]]-Sheet1[[#This Row],[Order_date]]</f>
        <v>4</v>
      </c>
      <c r="T719">
        <f>Sheet1[[#This Row],[Quantity]]*Sheet1[[#This Row],[Sales]]</f>
        <v>206</v>
      </c>
      <c r="U719">
        <f>Sheet1[[#This Row],[Total Sales]]*Sheet1[[#This Row],[Discount]]</f>
        <v>0</v>
      </c>
      <c r="V719" s="4">
        <f>Sheet1[[#This Row],[Total Sales]]-Sheet1[[#This Row],[Total Sales]]*Sheet1[[#This Row],[Discount]]</f>
        <v>206</v>
      </c>
      <c r="W719" s="4">
        <f>Sheet1[[#This Row],[Quantity]]*Sheet1[[#This Row],[Profit]]</f>
        <v>59.52</v>
      </c>
      <c r="X719" s="5">
        <f>Sheet1[[#This Row],[Total Profit]]/Sheet1[[#This Row],[Sales After Discount]]</f>
        <v>0.2889320388349515</v>
      </c>
      <c r="Y719" s="4">
        <f>Sheet1[[#This Row],[Shipping_cost]]*Sheet1[[#This Row],[Quantity]]</f>
        <v>40.299999999999997</v>
      </c>
      <c r="Z719" s="4">
        <f>Sheet1[[#This Row],[Total Profit]]-Sheet1[[#This Row],[Total Shipping Cost]]</f>
        <v>19.220000000000006</v>
      </c>
      <c r="AA719" s="4" t="str">
        <f>IF(Sheet1[[#This Row],[Net Profit]]&gt;0,"Profit","Loss")</f>
        <v>Profit</v>
      </c>
    </row>
    <row r="720" spans="1:27" x14ac:dyDescent="0.25">
      <c r="A720" t="s">
        <v>973</v>
      </c>
      <c r="B720" s="1">
        <v>40596</v>
      </c>
      <c r="C720" s="1">
        <v>40601</v>
      </c>
      <c r="D720" t="s">
        <v>1</v>
      </c>
      <c r="E720" t="s">
        <v>974</v>
      </c>
      <c r="F720" t="s">
        <v>26</v>
      </c>
      <c r="G720" t="s">
        <v>975</v>
      </c>
      <c r="H720" t="s">
        <v>81</v>
      </c>
      <c r="I720" t="s">
        <v>22</v>
      </c>
      <c r="J720" t="s">
        <v>22</v>
      </c>
      <c r="K720" t="s">
        <v>32</v>
      </c>
      <c r="L720" t="s">
        <v>62</v>
      </c>
      <c r="M720">
        <v>490</v>
      </c>
      <c r="N720">
        <v>1</v>
      </c>
      <c r="O720">
        <v>0</v>
      </c>
      <c r="P720">
        <v>63.66</v>
      </c>
      <c r="Q720">
        <v>17.73</v>
      </c>
      <c r="R720" t="s">
        <v>9</v>
      </c>
      <c r="S720">
        <f>Sheet1[[#This Row],[Ship_date]]-Sheet1[[#This Row],[Order_date]]</f>
        <v>5</v>
      </c>
      <c r="T720">
        <f>Sheet1[[#This Row],[Quantity]]*Sheet1[[#This Row],[Sales]]</f>
        <v>490</v>
      </c>
      <c r="U720">
        <f>Sheet1[[#This Row],[Total Sales]]*Sheet1[[#This Row],[Discount]]</f>
        <v>0</v>
      </c>
      <c r="V720" s="4">
        <f>Sheet1[[#This Row],[Total Sales]]-Sheet1[[#This Row],[Total Sales]]*Sheet1[[#This Row],[Discount]]</f>
        <v>490</v>
      </c>
      <c r="W720" s="4">
        <f>Sheet1[[#This Row],[Quantity]]*Sheet1[[#This Row],[Profit]]</f>
        <v>63.66</v>
      </c>
      <c r="X720" s="5">
        <f>Sheet1[[#This Row],[Total Profit]]/Sheet1[[#This Row],[Sales After Discount]]</f>
        <v>0.12991836734693876</v>
      </c>
      <c r="Y720" s="4">
        <f>Sheet1[[#This Row],[Shipping_cost]]*Sheet1[[#This Row],[Quantity]]</f>
        <v>17.73</v>
      </c>
      <c r="Z720" s="4">
        <f>Sheet1[[#This Row],[Total Profit]]-Sheet1[[#This Row],[Total Shipping Cost]]</f>
        <v>45.929999999999993</v>
      </c>
      <c r="AA720" s="4" t="str">
        <f>IF(Sheet1[[#This Row],[Net Profit]]&gt;0,"Profit","Loss")</f>
        <v>Profit</v>
      </c>
    </row>
    <row r="721" spans="1:27" x14ac:dyDescent="0.25">
      <c r="A721" t="s">
        <v>969</v>
      </c>
      <c r="B721" s="1">
        <v>40596</v>
      </c>
      <c r="C721" s="1">
        <v>40601</v>
      </c>
      <c r="D721" t="s">
        <v>18</v>
      </c>
      <c r="E721" t="s">
        <v>970</v>
      </c>
      <c r="F721" t="s">
        <v>43</v>
      </c>
      <c r="G721" t="s">
        <v>971</v>
      </c>
      <c r="H721" t="s">
        <v>972</v>
      </c>
      <c r="I721" t="s">
        <v>22</v>
      </c>
      <c r="J721" t="s">
        <v>22</v>
      </c>
      <c r="K721" t="s">
        <v>38</v>
      </c>
      <c r="L721" t="s">
        <v>39</v>
      </c>
      <c r="M721">
        <v>333</v>
      </c>
      <c r="N721">
        <v>4</v>
      </c>
      <c r="O721">
        <v>0</v>
      </c>
      <c r="P721">
        <v>29.88</v>
      </c>
      <c r="Q721">
        <v>15.62</v>
      </c>
      <c r="R721" t="s">
        <v>9</v>
      </c>
      <c r="S721">
        <f>Sheet1[[#This Row],[Ship_date]]-Sheet1[[#This Row],[Order_date]]</f>
        <v>5</v>
      </c>
      <c r="T721">
        <f>Sheet1[[#This Row],[Quantity]]*Sheet1[[#This Row],[Sales]]</f>
        <v>1332</v>
      </c>
      <c r="U721">
        <f>Sheet1[[#This Row],[Total Sales]]*Sheet1[[#This Row],[Discount]]</f>
        <v>0</v>
      </c>
      <c r="V721" s="4">
        <f>Sheet1[[#This Row],[Total Sales]]-Sheet1[[#This Row],[Total Sales]]*Sheet1[[#This Row],[Discount]]</f>
        <v>1332</v>
      </c>
      <c r="W721" s="4">
        <f>Sheet1[[#This Row],[Quantity]]*Sheet1[[#This Row],[Profit]]</f>
        <v>119.52</v>
      </c>
      <c r="X721" s="5">
        <f>Sheet1[[#This Row],[Total Profit]]/Sheet1[[#This Row],[Sales After Discount]]</f>
        <v>8.9729729729729729E-2</v>
      </c>
      <c r="Y721" s="4">
        <f>Sheet1[[#This Row],[Shipping_cost]]*Sheet1[[#This Row],[Quantity]]</f>
        <v>62.48</v>
      </c>
      <c r="Z721" s="4">
        <f>Sheet1[[#This Row],[Total Profit]]-Sheet1[[#This Row],[Total Shipping Cost]]</f>
        <v>57.04</v>
      </c>
      <c r="AA721" s="4" t="str">
        <f>IF(Sheet1[[#This Row],[Net Profit]]&gt;0,"Profit","Loss")</f>
        <v>Profit</v>
      </c>
    </row>
    <row r="722" spans="1:27" x14ac:dyDescent="0.25">
      <c r="A722" t="s">
        <v>967</v>
      </c>
      <c r="B722" s="1">
        <v>40596</v>
      </c>
      <c r="C722" s="1">
        <v>40600</v>
      </c>
      <c r="D722" t="s">
        <v>1</v>
      </c>
      <c r="E722" t="s">
        <v>968</v>
      </c>
      <c r="F722" t="s">
        <v>3</v>
      </c>
      <c r="G722" t="s">
        <v>482</v>
      </c>
      <c r="H722" t="s">
        <v>298</v>
      </c>
      <c r="I722" t="s">
        <v>29</v>
      </c>
      <c r="J722" t="s">
        <v>102</v>
      </c>
      <c r="K722" t="s">
        <v>7</v>
      </c>
      <c r="L722" t="s">
        <v>137</v>
      </c>
      <c r="M722">
        <v>63</v>
      </c>
      <c r="N722">
        <v>5</v>
      </c>
      <c r="O722">
        <v>0</v>
      </c>
      <c r="P722">
        <v>8.1</v>
      </c>
      <c r="Q722">
        <v>9.61</v>
      </c>
      <c r="R722" t="s">
        <v>23</v>
      </c>
      <c r="S722">
        <f>Sheet1[[#This Row],[Ship_date]]-Sheet1[[#This Row],[Order_date]]</f>
        <v>4</v>
      </c>
      <c r="T722">
        <f>Sheet1[[#This Row],[Quantity]]*Sheet1[[#This Row],[Sales]]</f>
        <v>315</v>
      </c>
      <c r="U722">
        <f>Sheet1[[#This Row],[Total Sales]]*Sheet1[[#This Row],[Discount]]</f>
        <v>0</v>
      </c>
      <c r="V722" s="4">
        <f>Sheet1[[#This Row],[Total Sales]]-Sheet1[[#This Row],[Total Sales]]*Sheet1[[#This Row],[Discount]]</f>
        <v>315</v>
      </c>
      <c r="W722" s="4">
        <f>Sheet1[[#This Row],[Quantity]]*Sheet1[[#This Row],[Profit]]</f>
        <v>40.5</v>
      </c>
      <c r="X722" s="5">
        <f>Sheet1[[#This Row],[Total Profit]]/Sheet1[[#This Row],[Sales After Discount]]</f>
        <v>0.12857142857142856</v>
      </c>
      <c r="Y722" s="4">
        <f>Sheet1[[#This Row],[Shipping_cost]]*Sheet1[[#This Row],[Quantity]]</f>
        <v>48.05</v>
      </c>
      <c r="Z722" s="4">
        <f>Sheet1[[#This Row],[Total Profit]]-Sheet1[[#This Row],[Total Shipping Cost]]</f>
        <v>-7.5499999999999972</v>
      </c>
      <c r="AA722" s="4" t="str">
        <f>IF(Sheet1[[#This Row],[Net Profit]]&gt;0,"Profit","Loss")</f>
        <v>Loss</v>
      </c>
    </row>
    <row r="723" spans="1:27" x14ac:dyDescent="0.25">
      <c r="A723" t="s">
        <v>976</v>
      </c>
      <c r="B723" s="1">
        <v>40596</v>
      </c>
      <c r="C723" s="1">
        <v>40601</v>
      </c>
      <c r="D723" t="s">
        <v>1</v>
      </c>
      <c r="E723" t="s">
        <v>217</v>
      </c>
      <c r="F723" t="s">
        <v>3</v>
      </c>
      <c r="G723" t="s">
        <v>977</v>
      </c>
      <c r="H723" t="s">
        <v>978</v>
      </c>
      <c r="I723" t="s">
        <v>29</v>
      </c>
      <c r="J723" t="s">
        <v>30</v>
      </c>
      <c r="K723" t="s">
        <v>38</v>
      </c>
      <c r="L723" t="s">
        <v>77</v>
      </c>
      <c r="M723">
        <v>185</v>
      </c>
      <c r="N723">
        <v>3</v>
      </c>
      <c r="O723">
        <v>0.5</v>
      </c>
      <c r="P723">
        <v>-92.52</v>
      </c>
      <c r="Q723">
        <v>9.15</v>
      </c>
      <c r="R723" t="s">
        <v>9</v>
      </c>
      <c r="S723">
        <f>Sheet1[[#This Row],[Ship_date]]-Sheet1[[#This Row],[Order_date]]</f>
        <v>5</v>
      </c>
      <c r="T723">
        <f>Sheet1[[#This Row],[Quantity]]*Sheet1[[#This Row],[Sales]]</f>
        <v>555</v>
      </c>
      <c r="U723">
        <f>Sheet1[[#This Row],[Total Sales]]*Sheet1[[#This Row],[Discount]]</f>
        <v>277.5</v>
      </c>
      <c r="V723" s="4">
        <f>Sheet1[[#This Row],[Total Sales]]-Sheet1[[#This Row],[Total Sales]]*Sheet1[[#This Row],[Discount]]</f>
        <v>277.5</v>
      </c>
      <c r="W723" s="4">
        <f>Sheet1[[#This Row],[Quantity]]*Sheet1[[#This Row],[Profit]]</f>
        <v>-277.56</v>
      </c>
      <c r="X723" s="5">
        <f>Sheet1[[#This Row],[Total Profit]]/Sheet1[[#This Row],[Sales After Discount]]</f>
        <v>-1.0002162162162163</v>
      </c>
      <c r="Y723" s="4">
        <f>Sheet1[[#This Row],[Shipping_cost]]*Sheet1[[#This Row],[Quantity]]</f>
        <v>27.450000000000003</v>
      </c>
      <c r="Z723" s="4">
        <f>Sheet1[[#This Row],[Total Profit]]-Sheet1[[#This Row],[Total Shipping Cost]]</f>
        <v>-305.01</v>
      </c>
      <c r="AA723" s="4" t="str">
        <f>IF(Sheet1[[#This Row],[Net Profit]]&gt;0,"Profit","Loss")</f>
        <v>Loss</v>
      </c>
    </row>
    <row r="724" spans="1:27" x14ac:dyDescent="0.25">
      <c r="A724" t="s">
        <v>973</v>
      </c>
      <c r="B724" s="1">
        <v>40596</v>
      </c>
      <c r="C724" s="1">
        <v>40601</v>
      </c>
      <c r="D724" t="s">
        <v>1</v>
      </c>
      <c r="E724" t="s">
        <v>974</v>
      </c>
      <c r="F724" t="s">
        <v>26</v>
      </c>
      <c r="G724" t="s">
        <v>975</v>
      </c>
      <c r="H724" t="s">
        <v>81</v>
      </c>
      <c r="I724" t="s">
        <v>22</v>
      </c>
      <c r="J724" t="s">
        <v>22</v>
      </c>
      <c r="K724" t="s">
        <v>7</v>
      </c>
      <c r="L724" t="s">
        <v>97</v>
      </c>
      <c r="M724">
        <v>115</v>
      </c>
      <c r="N724">
        <v>6</v>
      </c>
      <c r="O724">
        <v>0</v>
      </c>
      <c r="P724">
        <v>25.38</v>
      </c>
      <c r="Q724">
        <v>6.92</v>
      </c>
      <c r="R724" t="s">
        <v>9</v>
      </c>
      <c r="S724">
        <f>Sheet1[[#This Row],[Ship_date]]-Sheet1[[#This Row],[Order_date]]</f>
        <v>5</v>
      </c>
      <c r="T724">
        <f>Sheet1[[#This Row],[Quantity]]*Sheet1[[#This Row],[Sales]]</f>
        <v>690</v>
      </c>
      <c r="U724">
        <f>Sheet1[[#This Row],[Total Sales]]*Sheet1[[#This Row],[Discount]]</f>
        <v>0</v>
      </c>
      <c r="V724" s="4">
        <f>Sheet1[[#This Row],[Total Sales]]-Sheet1[[#This Row],[Total Sales]]*Sheet1[[#This Row],[Discount]]</f>
        <v>690</v>
      </c>
      <c r="W724" s="4">
        <f>Sheet1[[#This Row],[Quantity]]*Sheet1[[#This Row],[Profit]]</f>
        <v>152.28</v>
      </c>
      <c r="X724" s="5">
        <f>Sheet1[[#This Row],[Total Profit]]/Sheet1[[#This Row],[Sales After Discount]]</f>
        <v>0.22069565217391304</v>
      </c>
      <c r="Y724" s="4">
        <f>Sheet1[[#This Row],[Shipping_cost]]*Sheet1[[#This Row],[Quantity]]</f>
        <v>41.519999999999996</v>
      </c>
      <c r="Z724" s="4">
        <f>Sheet1[[#This Row],[Total Profit]]-Sheet1[[#This Row],[Total Shipping Cost]]</f>
        <v>110.76</v>
      </c>
      <c r="AA724" s="4" t="str">
        <f>IF(Sheet1[[#This Row],[Net Profit]]&gt;0,"Profit","Loss")</f>
        <v>Profit</v>
      </c>
    </row>
    <row r="725" spans="1:27" x14ac:dyDescent="0.25">
      <c r="A725" t="s">
        <v>979</v>
      </c>
      <c r="B725" s="1">
        <v>40596</v>
      </c>
      <c r="C725" s="1">
        <v>40600</v>
      </c>
      <c r="D725" t="s">
        <v>1</v>
      </c>
      <c r="E725" t="s">
        <v>980</v>
      </c>
      <c r="F725" t="s">
        <v>26</v>
      </c>
      <c r="G725" t="s">
        <v>930</v>
      </c>
      <c r="H725" t="s">
        <v>280</v>
      </c>
      <c r="I725" t="s">
        <v>14</v>
      </c>
      <c r="J725" t="s">
        <v>281</v>
      </c>
      <c r="K725" t="s">
        <v>38</v>
      </c>
      <c r="L725" t="s">
        <v>82</v>
      </c>
      <c r="M725">
        <v>207</v>
      </c>
      <c r="N725">
        <v>2</v>
      </c>
      <c r="O725">
        <v>0</v>
      </c>
      <c r="P725">
        <v>43.5</v>
      </c>
      <c r="Q725">
        <v>5.99</v>
      </c>
      <c r="R725" t="s">
        <v>9</v>
      </c>
      <c r="S725">
        <f>Sheet1[[#This Row],[Ship_date]]-Sheet1[[#This Row],[Order_date]]</f>
        <v>4</v>
      </c>
      <c r="T725">
        <f>Sheet1[[#This Row],[Quantity]]*Sheet1[[#This Row],[Sales]]</f>
        <v>414</v>
      </c>
      <c r="U725">
        <f>Sheet1[[#This Row],[Total Sales]]*Sheet1[[#This Row],[Discount]]</f>
        <v>0</v>
      </c>
      <c r="V725" s="4">
        <f>Sheet1[[#This Row],[Total Sales]]-Sheet1[[#This Row],[Total Sales]]*Sheet1[[#This Row],[Discount]]</f>
        <v>414</v>
      </c>
      <c r="W725" s="4">
        <f>Sheet1[[#This Row],[Quantity]]*Sheet1[[#This Row],[Profit]]</f>
        <v>87</v>
      </c>
      <c r="X725" s="5">
        <f>Sheet1[[#This Row],[Total Profit]]/Sheet1[[#This Row],[Sales After Discount]]</f>
        <v>0.21014492753623187</v>
      </c>
      <c r="Y725" s="4">
        <f>Sheet1[[#This Row],[Shipping_cost]]*Sheet1[[#This Row],[Quantity]]</f>
        <v>11.98</v>
      </c>
      <c r="Z725" s="4">
        <f>Sheet1[[#This Row],[Total Profit]]-Sheet1[[#This Row],[Total Shipping Cost]]</f>
        <v>75.02</v>
      </c>
      <c r="AA725" s="4" t="str">
        <f>IF(Sheet1[[#This Row],[Net Profit]]&gt;0,"Profit","Loss")</f>
        <v>Profit</v>
      </c>
    </row>
    <row r="726" spans="1:27" x14ac:dyDescent="0.25">
      <c r="A726" t="s">
        <v>973</v>
      </c>
      <c r="B726" s="1">
        <v>40596</v>
      </c>
      <c r="C726" s="1">
        <v>40601</v>
      </c>
      <c r="D726" t="s">
        <v>1</v>
      </c>
      <c r="E726" t="s">
        <v>974</v>
      </c>
      <c r="F726" t="s">
        <v>26</v>
      </c>
      <c r="G726" t="s">
        <v>975</v>
      </c>
      <c r="H726" t="s">
        <v>81</v>
      </c>
      <c r="I726" t="s">
        <v>22</v>
      </c>
      <c r="J726" t="s">
        <v>22</v>
      </c>
      <c r="K726" t="s">
        <v>7</v>
      </c>
      <c r="L726" t="s">
        <v>8</v>
      </c>
      <c r="M726">
        <v>58</v>
      </c>
      <c r="N726">
        <v>1</v>
      </c>
      <c r="O726">
        <v>0</v>
      </c>
      <c r="P726">
        <v>15.03</v>
      </c>
      <c r="Q726">
        <v>5.34</v>
      </c>
      <c r="R726" t="s">
        <v>9</v>
      </c>
      <c r="S726">
        <f>Sheet1[[#This Row],[Ship_date]]-Sheet1[[#This Row],[Order_date]]</f>
        <v>5</v>
      </c>
      <c r="T726">
        <f>Sheet1[[#This Row],[Quantity]]*Sheet1[[#This Row],[Sales]]</f>
        <v>58</v>
      </c>
      <c r="U726">
        <f>Sheet1[[#This Row],[Total Sales]]*Sheet1[[#This Row],[Discount]]</f>
        <v>0</v>
      </c>
      <c r="V726" s="4">
        <f>Sheet1[[#This Row],[Total Sales]]-Sheet1[[#This Row],[Total Sales]]*Sheet1[[#This Row],[Discount]]</f>
        <v>58</v>
      </c>
      <c r="W726" s="4">
        <f>Sheet1[[#This Row],[Quantity]]*Sheet1[[#This Row],[Profit]]</f>
        <v>15.03</v>
      </c>
      <c r="X726" s="5">
        <f>Sheet1[[#This Row],[Total Profit]]/Sheet1[[#This Row],[Sales After Discount]]</f>
        <v>0.25913793103448274</v>
      </c>
      <c r="Y726" s="4">
        <f>Sheet1[[#This Row],[Shipping_cost]]*Sheet1[[#This Row],[Quantity]]</f>
        <v>5.34</v>
      </c>
      <c r="Z726" s="4">
        <f>Sheet1[[#This Row],[Total Profit]]-Sheet1[[#This Row],[Total Shipping Cost]]</f>
        <v>9.69</v>
      </c>
      <c r="AA726" s="4" t="str">
        <f>IF(Sheet1[[#This Row],[Net Profit]]&gt;0,"Profit","Loss")</f>
        <v>Profit</v>
      </c>
    </row>
    <row r="727" spans="1:27" x14ac:dyDescent="0.25">
      <c r="A727" t="s">
        <v>981</v>
      </c>
      <c r="B727" s="1">
        <v>40596</v>
      </c>
      <c r="C727" s="1">
        <v>40598</v>
      </c>
      <c r="D727" t="s">
        <v>18</v>
      </c>
      <c r="E727" t="s">
        <v>982</v>
      </c>
      <c r="F727" t="s">
        <v>43</v>
      </c>
      <c r="G727" t="s">
        <v>572</v>
      </c>
      <c r="H727" t="s">
        <v>285</v>
      </c>
      <c r="I727" t="s">
        <v>22</v>
      </c>
      <c r="J727" t="s">
        <v>22</v>
      </c>
      <c r="K727" t="s">
        <v>7</v>
      </c>
      <c r="L727" t="s">
        <v>8</v>
      </c>
      <c r="M727">
        <v>25</v>
      </c>
      <c r="N727">
        <v>1</v>
      </c>
      <c r="O727">
        <v>0.6</v>
      </c>
      <c r="P727">
        <v>-18.527999999999999</v>
      </c>
      <c r="Q727">
        <v>3.84</v>
      </c>
      <c r="R727" t="s">
        <v>23</v>
      </c>
      <c r="S727">
        <f>Sheet1[[#This Row],[Ship_date]]-Sheet1[[#This Row],[Order_date]]</f>
        <v>2</v>
      </c>
      <c r="T727">
        <f>Sheet1[[#This Row],[Quantity]]*Sheet1[[#This Row],[Sales]]</f>
        <v>25</v>
      </c>
      <c r="U727">
        <f>Sheet1[[#This Row],[Total Sales]]*Sheet1[[#This Row],[Discount]]</f>
        <v>15</v>
      </c>
      <c r="V727" s="4">
        <f>Sheet1[[#This Row],[Total Sales]]-Sheet1[[#This Row],[Total Sales]]*Sheet1[[#This Row],[Discount]]</f>
        <v>10</v>
      </c>
      <c r="W727" s="4">
        <f>Sheet1[[#This Row],[Quantity]]*Sheet1[[#This Row],[Profit]]</f>
        <v>-18.527999999999999</v>
      </c>
      <c r="X727" s="5">
        <f>Sheet1[[#This Row],[Total Profit]]/Sheet1[[#This Row],[Sales After Discount]]</f>
        <v>-1.8527999999999998</v>
      </c>
      <c r="Y727" s="4">
        <f>Sheet1[[#This Row],[Shipping_cost]]*Sheet1[[#This Row],[Quantity]]</f>
        <v>3.84</v>
      </c>
      <c r="Z727" s="4">
        <f>Sheet1[[#This Row],[Total Profit]]-Sheet1[[#This Row],[Total Shipping Cost]]</f>
        <v>-22.367999999999999</v>
      </c>
      <c r="AA727" s="4" t="str">
        <f>IF(Sheet1[[#This Row],[Net Profit]]&gt;0,"Profit","Loss")</f>
        <v>Loss</v>
      </c>
    </row>
    <row r="728" spans="1:27" x14ac:dyDescent="0.25">
      <c r="A728" t="s">
        <v>967</v>
      </c>
      <c r="B728" s="1">
        <v>40596</v>
      </c>
      <c r="C728" s="1">
        <v>40600</v>
      </c>
      <c r="D728" t="s">
        <v>1</v>
      </c>
      <c r="E728" t="s">
        <v>968</v>
      </c>
      <c r="F728" t="s">
        <v>3</v>
      </c>
      <c r="G728" t="s">
        <v>482</v>
      </c>
      <c r="H728" t="s">
        <v>298</v>
      </c>
      <c r="I728" t="s">
        <v>29</v>
      </c>
      <c r="J728" t="s">
        <v>102</v>
      </c>
      <c r="K728" t="s">
        <v>7</v>
      </c>
      <c r="L728" t="s">
        <v>137</v>
      </c>
      <c r="M728">
        <v>41</v>
      </c>
      <c r="N728">
        <v>3</v>
      </c>
      <c r="O728">
        <v>0</v>
      </c>
      <c r="P728">
        <v>12.24</v>
      </c>
      <c r="Q728">
        <v>3.66</v>
      </c>
      <c r="R728" t="s">
        <v>23</v>
      </c>
      <c r="S728">
        <f>Sheet1[[#This Row],[Ship_date]]-Sheet1[[#This Row],[Order_date]]</f>
        <v>4</v>
      </c>
      <c r="T728">
        <f>Sheet1[[#This Row],[Quantity]]*Sheet1[[#This Row],[Sales]]</f>
        <v>123</v>
      </c>
      <c r="U728">
        <f>Sheet1[[#This Row],[Total Sales]]*Sheet1[[#This Row],[Discount]]</f>
        <v>0</v>
      </c>
      <c r="V728" s="4">
        <f>Sheet1[[#This Row],[Total Sales]]-Sheet1[[#This Row],[Total Sales]]*Sheet1[[#This Row],[Discount]]</f>
        <v>123</v>
      </c>
      <c r="W728" s="4">
        <f>Sheet1[[#This Row],[Quantity]]*Sheet1[[#This Row],[Profit]]</f>
        <v>36.72</v>
      </c>
      <c r="X728" s="5">
        <f>Sheet1[[#This Row],[Total Profit]]/Sheet1[[#This Row],[Sales After Discount]]</f>
        <v>0.29853658536585365</v>
      </c>
      <c r="Y728" s="4">
        <f>Sheet1[[#This Row],[Shipping_cost]]*Sheet1[[#This Row],[Quantity]]</f>
        <v>10.98</v>
      </c>
      <c r="Z728" s="4">
        <f>Sheet1[[#This Row],[Total Profit]]-Sheet1[[#This Row],[Total Shipping Cost]]</f>
        <v>25.74</v>
      </c>
      <c r="AA728" s="4" t="str">
        <f>IF(Sheet1[[#This Row],[Net Profit]]&gt;0,"Profit","Loss")</f>
        <v>Profit</v>
      </c>
    </row>
    <row r="729" spans="1:27" x14ac:dyDescent="0.25">
      <c r="A729" t="s">
        <v>967</v>
      </c>
      <c r="B729" s="1">
        <v>40596</v>
      </c>
      <c r="C729" s="1">
        <v>40600</v>
      </c>
      <c r="D729" t="s">
        <v>1</v>
      </c>
      <c r="E729" t="s">
        <v>968</v>
      </c>
      <c r="F729" t="s">
        <v>3</v>
      </c>
      <c r="G729" t="s">
        <v>482</v>
      </c>
      <c r="H729" t="s">
        <v>298</v>
      </c>
      <c r="I729" t="s">
        <v>29</v>
      </c>
      <c r="J729" t="s">
        <v>102</v>
      </c>
      <c r="K729" t="s">
        <v>7</v>
      </c>
      <c r="L729" t="s">
        <v>137</v>
      </c>
      <c r="M729">
        <v>23</v>
      </c>
      <c r="N729">
        <v>2</v>
      </c>
      <c r="O729">
        <v>0</v>
      </c>
      <c r="P729">
        <v>8.2200000000000006</v>
      </c>
      <c r="Q729">
        <v>3.23</v>
      </c>
      <c r="R729" t="s">
        <v>23</v>
      </c>
      <c r="S729">
        <f>Sheet1[[#This Row],[Ship_date]]-Sheet1[[#This Row],[Order_date]]</f>
        <v>4</v>
      </c>
      <c r="T729">
        <f>Sheet1[[#This Row],[Quantity]]*Sheet1[[#This Row],[Sales]]</f>
        <v>46</v>
      </c>
      <c r="U729">
        <f>Sheet1[[#This Row],[Total Sales]]*Sheet1[[#This Row],[Discount]]</f>
        <v>0</v>
      </c>
      <c r="V729" s="4">
        <f>Sheet1[[#This Row],[Total Sales]]-Sheet1[[#This Row],[Total Sales]]*Sheet1[[#This Row],[Discount]]</f>
        <v>46</v>
      </c>
      <c r="W729" s="4">
        <f>Sheet1[[#This Row],[Quantity]]*Sheet1[[#This Row],[Profit]]</f>
        <v>16.440000000000001</v>
      </c>
      <c r="X729" s="5">
        <f>Sheet1[[#This Row],[Total Profit]]/Sheet1[[#This Row],[Sales After Discount]]</f>
        <v>0.35739130434782612</v>
      </c>
      <c r="Y729" s="4">
        <f>Sheet1[[#This Row],[Shipping_cost]]*Sheet1[[#This Row],[Quantity]]</f>
        <v>6.46</v>
      </c>
      <c r="Z729" s="4">
        <f>Sheet1[[#This Row],[Total Profit]]-Sheet1[[#This Row],[Total Shipping Cost]]</f>
        <v>9.98</v>
      </c>
      <c r="AA729" s="4" t="str">
        <f>IF(Sheet1[[#This Row],[Net Profit]]&gt;0,"Profit","Loss")</f>
        <v>Profit</v>
      </c>
    </row>
    <row r="730" spans="1:27" x14ac:dyDescent="0.25">
      <c r="A730" t="s">
        <v>983</v>
      </c>
      <c r="B730" s="1">
        <v>40596</v>
      </c>
      <c r="C730" s="1">
        <v>40600</v>
      </c>
      <c r="D730" t="s">
        <v>1</v>
      </c>
      <c r="E730" t="s">
        <v>984</v>
      </c>
      <c r="F730" t="s">
        <v>26</v>
      </c>
      <c r="G730" t="s">
        <v>985</v>
      </c>
      <c r="H730" t="s">
        <v>893</v>
      </c>
      <c r="I730" t="s">
        <v>6</v>
      </c>
      <c r="J730" t="s">
        <v>6</v>
      </c>
      <c r="K730" t="s">
        <v>7</v>
      </c>
      <c r="L730" t="s">
        <v>91</v>
      </c>
      <c r="M730">
        <v>38</v>
      </c>
      <c r="N730">
        <v>2</v>
      </c>
      <c r="O730">
        <v>0</v>
      </c>
      <c r="P730">
        <v>15.12</v>
      </c>
      <c r="Q730">
        <v>3.15</v>
      </c>
      <c r="R730" t="s">
        <v>9</v>
      </c>
      <c r="S730">
        <f>Sheet1[[#This Row],[Ship_date]]-Sheet1[[#This Row],[Order_date]]</f>
        <v>4</v>
      </c>
      <c r="T730">
        <f>Sheet1[[#This Row],[Quantity]]*Sheet1[[#This Row],[Sales]]</f>
        <v>76</v>
      </c>
      <c r="U730">
        <f>Sheet1[[#This Row],[Total Sales]]*Sheet1[[#This Row],[Discount]]</f>
        <v>0</v>
      </c>
      <c r="V730" s="4">
        <f>Sheet1[[#This Row],[Total Sales]]-Sheet1[[#This Row],[Total Sales]]*Sheet1[[#This Row],[Discount]]</f>
        <v>76</v>
      </c>
      <c r="W730" s="4">
        <f>Sheet1[[#This Row],[Quantity]]*Sheet1[[#This Row],[Profit]]</f>
        <v>30.24</v>
      </c>
      <c r="X730" s="5">
        <f>Sheet1[[#This Row],[Total Profit]]/Sheet1[[#This Row],[Sales After Discount]]</f>
        <v>0.39789473684210525</v>
      </c>
      <c r="Y730" s="4">
        <f>Sheet1[[#This Row],[Shipping_cost]]*Sheet1[[#This Row],[Quantity]]</f>
        <v>6.3</v>
      </c>
      <c r="Z730" s="4">
        <f>Sheet1[[#This Row],[Total Profit]]-Sheet1[[#This Row],[Total Shipping Cost]]</f>
        <v>23.939999999999998</v>
      </c>
      <c r="AA730" s="4" t="str">
        <f>IF(Sheet1[[#This Row],[Net Profit]]&gt;0,"Profit","Loss")</f>
        <v>Profit</v>
      </c>
    </row>
    <row r="731" spans="1:27" x14ac:dyDescent="0.25">
      <c r="A731" t="s">
        <v>969</v>
      </c>
      <c r="B731" s="1">
        <v>40596</v>
      </c>
      <c r="C731" s="1">
        <v>40601</v>
      </c>
      <c r="D731" t="s">
        <v>18</v>
      </c>
      <c r="E731" t="s">
        <v>970</v>
      </c>
      <c r="F731" t="s">
        <v>43</v>
      </c>
      <c r="G731" t="s">
        <v>971</v>
      </c>
      <c r="H731" t="s">
        <v>972</v>
      </c>
      <c r="I731" t="s">
        <v>22</v>
      </c>
      <c r="J731" t="s">
        <v>22</v>
      </c>
      <c r="K731" t="s">
        <v>7</v>
      </c>
      <c r="L731" t="s">
        <v>96</v>
      </c>
      <c r="M731">
        <v>47</v>
      </c>
      <c r="N731">
        <v>2</v>
      </c>
      <c r="O731">
        <v>0</v>
      </c>
      <c r="P731">
        <v>8.94</v>
      </c>
      <c r="Q731">
        <v>1.95</v>
      </c>
      <c r="R731" t="s">
        <v>9</v>
      </c>
      <c r="S731">
        <f>Sheet1[[#This Row],[Ship_date]]-Sheet1[[#This Row],[Order_date]]</f>
        <v>5</v>
      </c>
      <c r="T731">
        <f>Sheet1[[#This Row],[Quantity]]*Sheet1[[#This Row],[Sales]]</f>
        <v>94</v>
      </c>
      <c r="U731">
        <f>Sheet1[[#This Row],[Total Sales]]*Sheet1[[#This Row],[Discount]]</f>
        <v>0</v>
      </c>
      <c r="V731" s="4">
        <f>Sheet1[[#This Row],[Total Sales]]-Sheet1[[#This Row],[Total Sales]]*Sheet1[[#This Row],[Discount]]</f>
        <v>94</v>
      </c>
      <c r="W731" s="4">
        <f>Sheet1[[#This Row],[Quantity]]*Sheet1[[#This Row],[Profit]]</f>
        <v>17.88</v>
      </c>
      <c r="X731" s="5">
        <f>Sheet1[[#This Row],[Total Profit]]/Sheet1[[#This Row],[Sales After Discount]]</f>
        <v>0.19021276595744679</v>
      </c>
      <c r="Y731" s="4">
        <f>Sheet1[[#This Row],[Shipping_cost]]*Sheet1[[#This Row],[Quantity]]</f>
        <v>3.9</v>
      </c>
      <c r="Z731" s="4">
        <f>Sheet1[[#This Row],[Total Profit]]-Sheet1[[#This Row],[Total Shipping Cost]]</f>
        <v>13.979999999999999</v>
      </c>
      <c r="AA731" s="4" t="str">
        <f>IF(Sheet1[[#This Row],[Net Profit]]&gt;0,"Profit","Loss")</f>
        <v>Profit</v>
      </c>
    </row>
    <row r="732" spans="1:27" x14ac:dyDescent="0.25">
      <c r="A732" t="s">
        <v>986</v>
      </c>
      <c r="B732" s="1">
        <v>40596</v>
      </c>
      <c r="C732" s="1">
        <v>40598</v>
      </c>
      <c r="D732" t="s">
        <v>18</v>
      </c>
      <c r="E732" t="s">
        <v>987</v>
      </c>
      <c r="F732" t="s">
        <v>3</v>
      </c>
      <c r="G732" t="s">
        <v>153</v>
      </c>
      <c r="H732" t="s">
        <v>115</v>
      </c>
      <c r="I732" t="s">
        <v>29</v>
      </c>
      <c r="J732" t="s">
        <v>76</v>
      </c>
      <c r="K732" t="s">
        <v>7</v>
      </c>
      <c r="L732" t="s">
        <v>137</v>
      </c>
      <c r="M732">
        <v>10</v>
      </c>
      <c r="N732">
        <v>2</v>
      </c>
      <c r="O732">
        <v>0</v>
      </c>
      <c r="P732">
        <v>2.34</v>
      </c>
      <c r="Q732">
        <v>1.0900000000000001</v>
      </c>
      <c r="R732" t="s">
        <v>23</v>
      </c>
      <c r="S732">
        <f>Sheet1[[#This Row],[Ship_date]]-Sheet1[[#This Row],[Order_date]]</f>
        <v>2</v>
      </c>
      <c r="T732">
        <f>Sheet1[[#This Row],[Quantity]]*Sheet1[[#This Row],[Sales]]</f>
        <v>20</v>
      </c>
      <c r="U732">
        <f>Sheet1[[#This Row],[Total Sales]]*Sheet1[[#This Row],[Discount]]</f>
        <v>0</v>
      </c>
      <c r="V732" s="4">
        <f>Sheet1[[#This Row],[Total Sales]]-Sheet1[[#This Row],[Total Sales]]*Sheet1[[#This Row],[Discount]]</f>
        <v>20</v>
      </c>
      <c r="W732" s="4">
        <f>Sheet1[[#This Row],[Quantity]]*Sheet1[[#This Row],[Profit]]</f>
        <v>4.68</v>
      </c>
      <c r="X732" s="5">
        <f>Sheet1[[#This Row],[Total Profit]]/Sheet1[[#This Row],[Sales After Discount]]</f>
        <v>0.23399999999999999</v>
      </c>
      <c r="Y732" s="4">
        <f>Sheet1[[#This Row],[Shipping_cost]]*Sheet1[[#This Row],[Quantity]]</f>
        <v>2.1800000000000002</v>
      </c>
      <c r="Z732" s="4">
        <f>Sheet1[[#This Row],[Total Profit]]-Sheet1[[#This Row],[Total Shipping Cost]]</f>
        <v>2.4999999999999996</v>
      </c>
      <c r="AA732" s="4" t="str">
        <f>IF(Sheet1[[#This Row],[Net Profit]]&gt;0,"Profit","Loss")</f>
        <v>Profit</v>
      </c>
    </row>
    <row r="733" spans="1:27" x14ac:dyDescent="0.25">
      <c r="A733" t="s">
        <v>988</v>
      </c>
      <c r="B733" s="1">
        <v>40596</v>
      </c>
      <c r="C733" s="1">
        <v>40600</v>
      </c>
      <c r="D733" t="s">
        <v>1</v>
      </c>
      <c r="E733" t="s">
        <v>989</v>
      </c>
      <c r="F733" t="s">
        <v>3</v>
      </c>
      <c r="G733" t="s">
        <v>146</v>
      </c>
      <c r="H733" t="s">
        <v>126</v>
      </c>
      <c r="I733" t="s">
        <v>127</v>
      </c>
      <c r="J733" t="s">
        <v>76</v>
      </c>
      <c r="K733" t="s">
        <v>7</v>
      </c>
      <c r="L733" t="s">
        <v>137</v>
      </c>
      <c r="M733">
        <v>9</v>
      </c>
      <c r="N733">
        <v>5</v>
      </c>
      <c r="O733">
        <v>0.8</v>
      </c>
      <c r="P733">
        <v>-13.717499999999999</v>
      </c>
      <c r="Q733">
        <v>0.7</v>
      </c>
      <c r="R733" t="s">
        <v>9</v>
      </c>
      <c r="S733">
        <f>Sheet1[[#This Row],[Ship_date]]-Sheet1[[#This Row],[Order_date]]</f>
        <v>4</v>
      </c>
      <c r="T733">
        <f>Sheet1[[#This Row],[Quantity]]*Sheet1[[#This Row],[Sales]]</f>
        <v>45</v>
      </c>
      <c r="U733">
        <f>Sheet1[[#This Row],[Total Sales]]*Sheet1[[#This Row],[Discount]]</f>
        <v>36</v>
      </c>
      <c r="V733" s="4">
        <f>Sheet1[[#This Row],[Total Sales]]-Sheet1[[#This Row],[Total Sales]]*Sheet1[[#This Row],[Discount]]</f>
        <v>9</v>
      </c>
      <c r="W733" s="4">
        <f>Sheet1[[#This Row],[Quantity]]*Sheet1[[#This Row],[Profit]]</f>
        <v>-68.587499999999991</v>
      </c>
      <c r="X733" s="5">
        <f>Sheet1[[#This Row],[Total Profit]]/Sheet1[[#This Row],[Sales After Discount]]</f>
        <v>-7.6208333333333327</v>
      </c>
      <c r="Y733" s="4">
        <f>Sheet1[[#This Row],[Shipping_cost]]*Sheet1[[#This Row],[Quantity]]</f>
        <v>3.5</v>
      </c>
      <c r="Z733" s="4">
        <f>Sheet1[[#This Row],[Total Profit]]-Sheet1[[#This Row],[Total Shipping Cost]]</f>
        <v>-72.087499999999991</v>
      </c>
      <c r="AA733" s="4" t="str">
        <f>IF(Sheet1[[#This Row],[Net Profit]]&gt;0,"Profit","Loss")</f>
        <v>Loss</v>
      </c>
    </row>
    <row r="734" spans="1:27" x14ac:dyDescent="0.25">
      <c r="A734" t="s">
        <v>981</v>
      </c>
      <c r="B734" s="1">
        <v>40596</v>
      </c>
      <c r="C734" s="1">
        <v>40598</v>
      </c>
      <c r="D734" t="s">
        <v>18</v>
      </c>
      <c r="E734" t="s">
        <v>982</v>
      </c>
      <c r="F734" t="s">
        <v>43</v>
      </c>
      <c r="G734" t="s">
        <v>572</v>
      </c>
      <c r="H734" t="s">
        <v>285</v>
      </c>
      <c r="I734" t="s">
        <v>22</v>
      </c>
      <c r="J734" t="s">
        <v>22</v>
      </c>
      <c r="K734" t="s">
        <v>7</v>
      </c>
      <c r="L734" t="s">
        <v>31</v>
      </c>
      <c r="M734">
        <v>6</v>
      </c>
      <c r="N734">
        <v>1</v>
      </c>
      <c r="O734">
        <v>0.6</v>
      </c>
      <c r="P734">
        <v>-5.6580000000000004</v>
      </c>
      <c r="Q734">
        <v>0.54</v>
      </c>
      <c r="R734" t="s">
        <v>23</v>
      </c>
      <c r="S734">
        <f>Sheet1[[#This Row],[Ship_date]]-Sheet1[[#This Row],[Order_date]]</f>
        <v>2</v>
      </c>
      <c r="T734">
        <f>Sheet1[[#This Row],[Quantity]]*Sheet1[[#This Row],[Sales]]</f>
        <v>6</v>
      </c>
      <c r="U734">
        <f>Sheet1[[#This Row],[Total Sales]]*Sheet1[[#This Row],[Discount]]</f>
        <v>3.5999999999999996</v>
      </c>
      <c r="V734" s="4">
        <f>Sheet1[[#This Row],[Total Sales]]-Sheet1[[#This Row],[Total Sales]]*Sheet1[[#This Row],[Discount]]</f>
        <v>2.4000000000000004</v>
      </c>
      <c r="W734" s="4">
        <f>Sheet1[[#This Row],[Quantity]]*Sheet1[[#This Row],[Profit]]</f>
        <v>-5.6580000000000004</v>
      </c>
      <c r="X734" s="5">
        <f>Sheet1[[#This Row],[Total Profit]]/Sheet1[[#This Row],[Sales After Discount]]</f>
        <v>-2.3574999999999999</v>
      </c>
      <c r="Y734" s="4">
        <f>Sheet1[[#This Row],[Shipping_cost]]*Sheet1[[#This Row],[Quantity]]</f>
        <v>0.54</v>
      </c>
      <c r="Z734" s="4">
        <f>Sheet1[[#This Row],[Total Profit]]-Sheet1[[#This Row],[Total Shipping Cost]]</f>
        <v>-6.1980000000000004</v>
      </c>
      <c r="AA734" s="4" t="str">
        <f>IF(Sheet1[[#This Row],[Net Profit]]&gt;0,"Profit","Loss")</f>
        <v>Loss</v>
      </c>
    </row>
    <row r="735" spans="1:27" x14ac:dyDescent="0.25">
      <c r="A735" t="s">
        <v>973</v>
      </c>
      <c r="B735" s="1">
        <v>40596</v>
      </c>
      <c r="C735" s="1">
        <v>40601</v>
      </c>
      <c r="D735" t="s">
        <v>1</v>
      </c>
      <c r="E735" t="s">
        <v>974</v>
      </c>
      <c r="F735" t="s">
        <v>26</v>
      </c>
      <c r="G735" t="s">
        <v>975</v>
      </c>
      <c r="H735" t="s">
        <v>81</v>
      </c>
      <c r="I735" t="s">
        <v>22</v>
      </c>
      <c r="J735" t="s">
        <v>22</v>
      </c>
      <c r="K735" t="s">
        <v>7</v>
      </c>
      <c r="L735" t="s">
        <v>87</v>
      </c>
      <c r="M735">
        <v>11</v>
      </c>
      <c r="N735">
        <v>1</v>
      </c>
      <c r="O735">
        <v>0</v>
      </c>
      <c r="P735">
        <v>1.5</v>
      </c>
      <c r="Q735">
        <v>0.34</v>
      </c>
      <c r="R735" t="s">
        <v>9</v>
      </c>
      <c r="S735">
        <f>Sheet1[[#This Row],[Ship_date]]-Sheet1[[#This Row],[Order_date]]</f>
        <v>5</v>
      </c>
      <c r="T735">
        <f>Sheet1[[#This Row],[Quantity]]*Sheet1[[#This Row],[Sales]]</f>
        <v>11</v>
      </c>
      <c r="U735">
        <f>Sheet1[[#This Row],[Total Sales]]*Sheet1[[#This Row],[Discount]]</f>
        <v>0</v>
      </c>
      <c r="V735" s="4">
        <f>Sheet1[[#This Row],[Total Sales]]-Sheet1[[#This Row],[Total Sales]]*Sheet1[[#This Row],[Discount]]</f>
        <v>11</v>
      </c>
      <c r="W735" s="4">
        <f>Sheet1[[#This Row],[Quantity]]*Sheet1[[#This Row],[Profit]]</f>
        <v>1.5</v>
      </c>
      <c r="X735" s="5">
        <f>Sheet1[[#This Row],[Total Profit]]/Sheet1[[#This Row],[Sales After Discount]]</f>
        <v>0.13636363636363635</v>
      </c>
      <c r="Y735" s="4">
        <f>Sheet1[[#This Row],[Shipping_cost]]*Sheet1[[#This Row],[Quantity]]</f>
        <v>0.34</v>
      </c>
      <c r="Z735" s="4">
        <f>Sheet1[[#This Row],[Total Profit]]-Sheet1[[#This Row],[Total Shipping Cost]]</f>
        <v>1.1599999999999999</v>
      </c>
      <c r="AA735" s="4" t="str">
        <f>IF(Sheet1[[#This Row],[Net Profit]]&gt;0,"Profit","Loss")</f>
        <v>Profit</v>
      </c>
    </row>
    <row r="736" spans="1:27" x14ac:dyDescent="0.25">
      <c r="A736" t="s">
        <v>990</v>
      </c>
      <c r="B736" s="1">
        <v>40596</v>
      </c>
      <c r="C736" s="1">
        <v>40600</v>
      </c>
      <c r="D736" t="s">
        <v>1</v>
      </c>
      <c r="E736" t="s">
        <v>922</v>
      </c>
      <c r="F736" t="s">
        <v>43</v>
      </c>
      <c r="G736" t="s">
        <v>991</v>
      </c>
      <c r="H736" t="s">
        <v>285</v>
      </c>
      <c r="I736" t="s">
        <v>22</v>
      </c>
      <c r="J736" t="s">
        <v>22</v>
      </c>
      <c r="K736" t="s">
        <v>7</v>
      </c>
      <c r="L736" t="s">
        <v>87</v>
      </c>
      <c r="M736">
        <v>4</v>
      </c>
      <c r="N736">
        <v>1</v>
      </c>
      <c r="O736">
        <v>0.6</v>
      </c>
      <c r="P736">
        <v>-2.3220000000000001</v>
      </c>
      <c r="Q736">
        <v>0.34</v>
      </c>
      <c r="R736" t="s">
        <v>23</v>
      </c>
      <c r="S736">
        <f>Sheet1[[#This Row],[Ship_date]]-Sheet1[[#This Row],[Order_date]]</f>
        <v>4</v>
      </c>
      <c r="T736">
        <f>Sheet1[[#This Row],[Quantity]]*Sheet1[[#This Row],[Sales]]</f>
        <v>4</v>
      </c>
      <c r="U736">
        <f>Sheet1[[#This Row],[Total Sales]]*Sheet1[[#This Row],[Discount]]</f>
        <v>2.4</v>
      </c>
      <c r="V736" s="4">
        <f>Sheet1[[#This Row],[Total Sales]]-Sheet1[[#This Row],[Total Sales]]*Sheet1[[#This Row],[Discount]]</f>
        <v>1.6</v>
      </c>
      <c r="W736" s="4">
        <f>Sheet1[[#This Row],[Quantity]]*Sheet1[[#This Row],[Profit]]</f>
        <v>-2.3220000000000001</v>
      </c>
      <c r="X736" s="5">
        <f>Sheet1[[#This Row],[Total Profit]]/Sheet1[[#This Row],[Sales After Discount]]</f>
        <v>-1.4512499999999999</v>
      </c>
      <c r="Y736" s="4">
        <f>Sheet1[[#This Row],[Shipping_cost]]*Sheet1[[#This Row],[Quantity]]</f>
        <v>0.34</v>
      </c>
      <c r="Z736" s="4">
        <f>Sheet1[[#This Row],[Total Profit]]-Sheet1[[#This Row],[Total Shipping Cost]]</f>
        <v>-2.6619999999999999</v>
      </c>
      <c r="AA736" s="4" t="str">
        <f>IF(Sheet1[[#This Row],[Net Profit]]&gt;0,"Profit","Loss")</f>
        <v>Loss</v>
      </c>
    </row>
    <row r="737" spans="1:27" x14ac:dyDescent="0.25">
      <c r="A737" t="s">
        <v>992</v>
      </c>
      <c r="B737" s="1">
        <v>40597</v>
      </c>
      <c r="C737" s="1">
        <v>40600</v>
      </c>
      <c r="D737" t="s">
        <v>142</v>
      </c>
      <c r="E737" t="s">
        <v>993</v>
      </c>
      <c r="F737" t="s">
        <v>43</v>
      </c>
      <c r="G737" t="s">
        <v>994</v>
      </c>
      <c r="H737" t="s">
        <v>280</v>
      </c>
      <c r="I737" t="s">
        <v>14</v>
      </c>
      <c r="J737" t="s">
        <v>281</v>
      </c>
      <c r="K737" t="s">
        <v>38</v>
      </c>
      <c r="L737" t="s">
        <v>50</v>
      </c>
      <c r="M737">
        <v>1527</v>
      </c>
      <c r="N737">
        <v>4</v>
      </c>
      <c r="O737">
        <v>0</v>
      </c>
      <c r="P737">
        <v>732.72</v>
      </c>
      <c r="Q737">
        <v>319.52999999999997</v>
      </c>
      <c r="R737" t="s">
        <v>23</v>
      </c>
      <c r="S737">
        <f>Sheet1[[#This Row],[Ship_date]]-Sheet1[[#This Row],[Order_date]]</f>
        <v>3</v>
      </c>
      <c r="T737">
        <f>Sheet1[[#This Row],[Quantity]]*Sheet1[[#This Row],[Sales]]</f>
        <v>6108</v>
      </c>
      <c r="U737">
        <f>Sheet1[[#This Row],[Total Sales]]*Sheet1[[#This Row],[Discount]]</f>
        <v>0</v>
      </c>
      <c r="V737" s="4">
        <f>Sheet1[[#This Row],[Total Sales]]-Sheet1[[#This Row],[Total Sales]]*Sheet1[[#This Row],[Discount]]</f>
        <v>6108</v>
      </c>
      <c r="W737" s="4">
        <f>Sheet1[[#This Row],[Quantity]]*Sheet1[[#This Row],[Profit]]</f>
        <v>2930.88</v>
      </c>
      <c r="X737" s="5">
        <f>Sheet1[[#This Row],[Total Profit]]/Sheet1[[#This Row],[Sales After Discount]]</f>
        <v>0.47984282907662085</v>
      </c>
      <c r="Y737" s="4">
        <f>Sheet1[[#This Row],[Shipping_cost]]*Sheet1[[#This Row],[Quantity]]</f>
        <v>1278.1199999999999</v>
      </c>
      <c r="Z737" s="4">
        <f>Sheet1[[#This Row],[Total Profit]]-Sheet1[[#This Row],[Total Shipping Cost]]</f>
        <v>1652.7600000000002</v>
      </c>
      <c r="AA737" s="4" t="str">
        <f>IF(Sheet1[[#This Row],[Net Profit]]&gt;0,"Profit","Loss")</f>
        <v>Profit</v>
      </c>
    </row>
    <row r="738" spans="1:27" x14ac:dyDescent="0.25">
      <c r="A738" t="s">
        <v>992</v>
      </c>
      <c r="B738" s="1">
        <v>40597</v>
      </c>
      <c r="C738" s="1">
        <v>40600</v>
      </c>
      <c r="D738" t="s">
        <v>142</v>
      </c>
      <c r="E738" t="s">
        <v>993</v>
      </c>
      <c r="F738" t="s">
        <v>43</v>
      </c>
      <c r="G738" t="s">
        <v>994</v>
      </c>
      <c r="H738" t="s">
        <v>280</v>
      </c>
      <c r="I738" t="s">
        <v>14</v>
      </c>
      <c r="J738" t="s">
        <v>281</v>
      </c>
      <c r="K738" t="s">
        <v>32</v>
      </c>
      <c r="L738" t="s">
        <v>67</v>
      </c>
      <c r="M738">
        <v>2066</v>
      </c>
      <c r="N738">
        <v>5</v>
      </c>
      <c r="O738">
        <v>0</v>
      </c>
      <c r="P738">
        <v>41.25</v>
      </c>
      <c r="Q738">
        <v>248.81</v>
      </c>
      <c r="R738" t="s">
        <v>23</v>
      </c>
      <c r="S738">
        <f>Sheet1[[#This Row],[Ship_date]]-Sheet1[[#This Row],[Order_date]]</f>
        <v>3</v>
      </c>
      <c r="T738">
        <f>Sheet1[[#This Row],[Quantity]]*Sheet1[[#This Row],[Sales]]</f>
        <v>10330</v>
      </c>
      <c r="U738">
        <f>Sheet1[[#This Row],[Total Sales]]*Sheet1[[#This Row],[Discount]]</f>
        <v>0</v>
      </c>
      <c r="V738" s="4">
        <f>Sheet1[[#This Row],[Total Sales]]-Sheet1[[#This Row],[Total Sales]]*Sheet1[[#This Row],[Discount]]</f>
        <v>10330</v>
      </c>
      <c r="W738" s="4">
        <f>Sheet1[[#This Row],[Quantity]]*Sheet1[[#This Row],[Profit]]</f>
        <v>206.25</v>
      </c>
      <c r="X738" s="5">
        <f>Sheet1[[#This Row],[Total Profit]]/Sheet1[[#This Row],[Sales After Discount]]</f>
        <v>1.9966118102613745E-2</v>
      </c>
      <c r="Y738" s="4">
        <f>Sheet1[[#This Row],[Shipping_cost]]*Sheet1[[#This Row],[Quantity]]</f>
        <v>1244.05</v>
      </c>
      <c r="Z738" s="4">
        <f>Sheet1[[#This Row],[Total Profit]]-Sheet1[[#This Row],[Total Shipping Cost]]</f>
        <v>-1037.8</v>
      </c>
      <c r="AA738" s="4" t="str">
        <f>IF(Sheet1[[#This Row],[Net Profit]]&gt;0,"Profit","Loss")</f>
        <v>Loss</v>
      </c>
    </row>
    <row r="739" spans="1:27" x14ac:dyDescent="0.25">
      <c r="A739" t="s">
        <v>995</v>
      </c>
      <c r="B739" s="1">
        <v>40597</v>
      </c>
      <c r="C739" s="1">
        <v>40600</v>
      </c>
      <c r="D739" t="s">
        <v>142</v>
      </c>
      <c r="E739" t="s">
        <v>831</v>
      </c>
      <c r="F739" t="s">
        <v>3</v>
      </c>
      <c r="G739" t="s">
        <v>445</v>
      </c>
      <c r="H739" t="s">
        <v>106</v>
      </c>
      <c r="I739" t="s">
        <v>75</v>
      </c>
      <c r="J739" t="s">
        <v>30</v>
      </c>
      <c r="K739" t="s">
        <v>32</v>
      </c>
      <c r="L739" t="s">
        <v>56</v>
      </c>
      <c r="M739">
        <v>158</v>
      </c>
      <c r="N739">
        <v>5</v>
      </c>
      <c r="O739">
        <v>0.2</v>
      </c>
      <c r="P739">
        <v>-0.06</v>
      </c>
      <c r="Q739">
        <v>59.64</v>
      </c>
      <c r="R739" t="s">
        <v>45</v>
      </c>
      <c r="S739">
        <f>Sheet1[[#This Row],[Ship_date]]-Sheet1[[#This Row],[Order_date]]</f>
        <v>3</v>
      </c>
      <c r="T739">
        <f>Sheet1[[#This Row],[Quantity]]*Sheet1[[#This Row],[Sales]]</f>
        <v>790</v>
      </c>
      <c r="U739">
        <f>Sheet1[[#This Row],[Total Sales]]*Sheet1[[#This Row],[Discount]]</f>
        <v>158</v>
      </c>
      <c r="V739" s="4">
        <f>Sheet1[[#This Row],[Total Sales]]-Sheet1[[#This Row],[Total Sales]]*Sheet1[[#This Row],[Discount]]</f>
        <v>632</v>
      </c>
      <c r="W739" s="4">
        <f>Sheet1[[#This Row],[Quantity]]*Sheet1[[#This Row],[Profit]]</f>
        <v>-0.3</v>
      </c>
      <c r="X739" s="5">
        <f>Sheet1[[#This Row],[Total Profit]]/Sheet1[[#This Row],[Sales After Discount]]</f>
        <v>-4.7468354430379745E-4</v>
      </c>
      <c r="Y739" s="4">
        <f>Sheet1[[#This Row],[Shipping_cost]]*Sheet1[[#This Row],[Quantity]]</f>
        <v>298.2</v>
      </c>
      <c r="Z739" s="4">
        <f>Sheet1[[#This Row],[Total Profit]]-Sheet1[[#This Row],[Total Shipping Cost]]</f>
        <v>-298.5</v>
      </c>
      <c r="AA739" s="4" t="str">
        <f>IF(Sheet1[[#This Row],[Net Profit]]&gt;0,"Profit","Loss")</f>
        <v>Loss</v>
      </c>
    </row>
    <row r="740" spans="1:27" x14ac:dyDescent="0.25">
      <c r="A740" t="s">
        <v>996</v>
      </c>
      <c r="B740" s="1">
        <v>40597</v>
      </c>
      <c r="C740" s="1">
        <v>40600</v>
      </c>
      <c r="D740" t="s">
        <v>18</v>
      </c>
      <c r="E740" t="s">
        <v>997</v>
      </c>
      <c r="F740" t="s">
        <v>3</v>
      </c>
      <c r="G740" t="s">
        <v>998</v>
      </c>
      <c r="H740" t="s">
        <v>999</v>
      </c>
      <c r="I740" t="s">
        <v>14</v>
      </c>
      <c r="J740" t="s">
        <v>281</v>
      </c>
      <c r="K740" t="s">
        <v>32</v>
      </c>
      <c r="L740" t="s">
        <v>56</v>
      </c>
      <c r="M740">
        <v>160</v>
      </c>
      <c r="N740">
        <v>2</v>
      </c>
      <c r="O740">
        <v>0.2</v>
      </c>
      <c r="P740">
        <v>-28.056000000000001</v>
      </c>
      <c r="Q740">
        <v>25.95</v>
      </c>
      <c r="R740" t="s">
        <v>23</v>
      </c>
      <c r="S740">
        <f>Sheet1[[#This Row],[Ship_date]]-Sheet1[[#This Row],[Order_date]]</f>
        <v>3</v>
      </c>
      <c r="T740">
        <f>Sheet1[[#This Row],[Quantity]]*Sheet1[[#This Row],[Sales]]</f>
        <v>320</v>
      </c>
      <c r="U740">
        <f>Sheet1[[#This Row],[Total Sales]]*Sheet1[[#This Row],[Discount]]</f>
        <v>64</v>
      </c>
      <c r="V740" s="4">
        <f>Sheet1[[#This Row],[Total Sales]]-Sheet1[[#This Row],[Total Sales]]*Sheet1[[#This Row],[Discount]]</f>
        <v>256</v>
      </c>
      <c r="W740" s="4">
        <f>Sheet1[[#This Row],[Quantity]]*Sheet1[[#This Row],[Profit]]</f>
        <v>-56.112000000000002</v>
      </c>
      <c r="X740" s="5">
        <f>Sheet1[[#This Row],[Total Profit]]/Sheet1[[#This Row],[Sales After Discount]]</f>
        <v>-0.21918750000000001</v>
      </c>
      <c r="Y740" s="4">
        <f>Sheet1[[#This Row],[Shipping_cost]]*Sheet1[[#This Row],[Quantity]]</f>
        <v>51.9</v>
      </c>
      <c r="Z740" s="4">
        <f>Sheet1[[#This Row],[Total Profit]]-Sheet1[[#This Row],[Total Shipping Cost]]</f>
        <v>-108.012</v>
      </c>
      <c r="AA740" s="4" t="str">
        <f>IF(Sheet1[[#This Row],[Net Profit]]&gt;0,"Profit","Loss")</f>
        <v>Loss</v>
      </c>
    </row>
    <row r="741" spans="1:27" x14ac:dyDescent="0.25">
      <c r="A741" t="s">
        <v>996</v>
      </c>
      <c r="B741" s="1">
        <v>40597</v>
      </c>
      <c r="C741" s="1">
        <v>40600</v>
      </c>
      <c r="D741" t="s">
        <v>18</v>
      </c>
      <c r="E741" t="s">
        <v>997</v>
      </c>
      <c r="F741" t="s">
        <v>3</v>
      </c>
      <c r="G741" t="s">
        <v>998</v>
      </c>
      <c r="H741" t="s">
        <v>999</v>
      </c>
      <c r="I741" t="s">
        <v>14</v>
      </c>
      <c r="J741" t="s">
        <v>281</v>
      </c>
      <c r="K741" t="s">
        <v>38</v>
      </c>
      <c r="L741" t="s">
        <v>77</v>
      </c>
      <c r="M741">
        <v>98</v>
      </c>
      <c r="N741">
        <v>3</v>
      </c>
      <c r="O741">
        <v>0.5</v>
      </c>
      <c r="P741">
        <v>-29.43</v>
      </c>
      <c r="Q741">
        <v>13.05</v>
      </c>
      <c r="R741" t="s">
        <v>23</v>
      </c>
      <c r="S741">
        <f>Sheet1[[#This Row],[Ship_date]]-Sheet1[[#This Row],[Order_date]]</f>
        <v>3</v>
      </c>
      <c r="T741">
        <f>Sheet1[[#This Row],[Quantity]]*Sheet1[[#This Row],[Sales]]</f>
        <v>294</v>
      </c>
      <c r="U741">
        <f>Sheet1[[#This Row],[Total Sales]]*Sheet1[[#This Row],[Discount]]</f>
        <v>147</v>
      </c>
      <c r="V741" s="4">
        <f>Sheet1[[#This Row],[Total Sales]]-Sheet1[[#This Row],[Total Sales]]*Sheet1[[#This Row],[Discount]]</f>
        <v>147</v>
      </c>
      <c r="W741" s="4">
        <f>Sheet1[[#This Row],[Quantity]]*Sheet1[[#This Row],[Profit]]</f>
        <v>-88.289999999999992</v>
      </c>
      <c r="X741" s="5">
        <f>Sheet1[[#This Row],[Total Profit]]/Sheet1[[#This Row],[Sales After Discount]]</f>
        <v>-0.60061224489795917</v>
      </c>
      <c r="Y741" s="4">
        <f>Sheet1[[#This Row],[Shipping_cost]]*Sheet1[[#This Row],[Quantity]]</f>
        <v>39.150000000000006</v>
      </c>
      <c r="Z741" s="4">
        <f>Sheet1[[#This Row],[Total Profit]]-Sheet1[[#This Row],[Total Shipping Cost]]</f>
        <v>-127.44</v>
      </c>
      <c r="AA741" s="4" t="str">
        <f>IF(Sheet1[[#This Row],[Net Profit]]&gt;0,"Profit","Loss")</f>
        <v>Loss</v>
      </c>
    </row>
    <row r="742" spans="1:27" x14ac:dyDescent="0.25">
      <c r="A742" t="s">
        <v>1000</v>
      </c>
      <c r="B742" s="1">
        <v>40597</v>
      </c>
      <c r="C742" s="1">
        <v>40597</v>
      </c>
      <c r="D742" t="s">
        <v>41</v>
      </c>
      <c r="E742" t="s">
        <v>1001</v>
      </c>
      <c r="F742" t="s">
        <v>3</v>
      </c>
      <c r="G742" t="s">
        <v>1002</v>
      </c>
      <c r="H742" t="s">
        <v>1003</v>
      </c>
      <c r="I742" t="s">
        <v>22</v>
      </c>
      <c r="J742" t="s">
        <v>22</v>
      </c>
      <c r="K742" t="s">
        <v>7</v>
      </c>
      <c r="L742" t="s">
        <v>137</v>
      </c>
      <c r="M742">
        <v>49</v>
      </c>
      <c r="N742">
        <v>1</v>
      </c>
      <c r="O742">
        <v>0</v>
      </c>
      <c r="P742">
        <v>5.4</v>
      </c>
      <c r="Q742">
        <v>9.76</v>
      </c>
      <c r="R742" t="s">
        <v>9</v>
      </c>
      <c r="S742">
        <f>Sheet1[[#This Row],[Ship_date]]-Sheet1[[#This Row],[Order_date]]</f>
        <v>0</v>
      </c>
      <c r="T742">
        <f>Sheet1[[#This Row],[Quantity]]*Sheet1[[#This Row],[Sales]]</f>
        <v>49</v>
      </c>
      <c r="U742">
        <f>Sheet1[[#This Row],[Total Sales]]*Sheet1[[#This Row],[Discount]]</f>
        <v>0</v>
      </c>
      <c r="V742" s="4">
        <f>Sheet1[[#This Row],[Total Sales]]-Sheet1[[#This Row],[Total Sales]]*Sheet1[[#This Row],[Discount]]</f>
        <v>49</v>
      </c>
      <c r="W742" s="4">
        <f>Sheet1[[#This Row],[Quantity]]*Sheet1[[#This Row],[Profit]]</f>
        <v>5.4</v>
      </c>
      <c r="X742" s="5">
        <f>Sheet1[[#This Row],[Total Profit]]/Sheet1[[#This Row],[Sales After Discount]]</f>
        <v>0.11020408163265306</v>
      </c>
      <c r="Y742" s="4">
        <f>Sheet1[[#This Row],[Shipping_cost]]*Sheet1[[#This Row],[Quantity]]</f>
        <v>9.76</v>
      </c>
      <c r="Z742" s="4">
        <f>Sheet1[[#This Row],[Total Profit]]-Sheet1[[#This Row],[Total Shipping Cost]]</f>
        <v>-4.3599999999999994</v>
      </c>
      <c r="AA742" s="4" t="str">
        <f>IF(Sheet1[[#This Row],[Net Profit]]&gt;0,"Profit","Loss")</f>
        <v>Loss</v>
      </c>
    </row>
    <row r="743" spans="1:27" x14ac:dyDescent="0.25">
      <c r="A743" t="s">
        <v>992</v>
      </c>
      <c r="B743" s="1">
        <v>40597</v>
      </c>
      <c r="C743" s="1">
        <v>40600</v>
      </c>
      <c r="D743" t="s">
        <v>142</v>
      </c>
      <c r="E743" t="s">
        <v>993</v>
      </c>
      <c r="F743" t="s">
        <v>43</v>
      </c>
      <c r="G743" t="s">
        <v>994</v>
      </c>
      <c r="H743" t="s">
        <v>280</v>
      </c>
      <c r="I743" t="s">
        <v>14</v>
      </c>
      <c r="J743" t="s">
        <v>281</v>
      </c>
      <c r="K743" t="s">
        <v>7</v>
      </c>
      <c r="L743" t="s">
        <v>16</v>
      </c>
      <c r="M743">
        <v>169</v>
      </c>
      <c r="N743">
        <v>4</v>
      </c>
      <c r="O743">
        <v>0</v>
      </c>
      <c r="P743">
        <v>70.8</v>
      </c>
      <c r="Q743">
        <v>8.4</v>
      </c>
      <c r="R743" t="s">
        <v>23</v>
      </c>
      <c r="S743">
        <f>Sheet1[[#This Row],[Ship_date]]-Sheet1[[#This Row],[Order_date]]</f>
        <v>3</v>
      </c>
      <c r="T743">
        <f>Sheet1[[#This Row],[Quantity]]*Sheet1[[#This Row],[Sales]]</f>
        <v>676</v>
      </c>
      <c r="U743">
        <f>Sheet1[[#This Row],[Total Sales]]*Sheet1[[#This Row],[Discount]]</f>
        <v>0</v>
      </c>
      <c r="V743" s="4">
        <f>Sheet1[[#This Row],[Total Sales]]-Sheet1[[#This Row],[Total Sales]]*Sheet1[[#This Row],[Discount]]</f>
        <v>676</v>
      </c>
      <c r="W743" s="4">
        <f>Sheet1[[#This Row],[Quantity]]*Sheet1[[#This Row],[Profit]]</f>
        <v>283.2</v>
      </c>
      <c r="X743" s="5">
        <f>Sheet1[[#This Row],[Total Profit]]/Sheet1[[#This Row],[Sales After Discount]]</f>
        <v>0.41893491124260351</v>
      </c>
      <c r="Y743" s="4">
        <f>Sheet1[[#This Row],[Shipping_cost]]*Sheet1[[#This Row],[Quantity]]</f>
        <v>33.6</v>
      </c>
      <c r="Z743" s="4">
        <f>Sheet1[[#This Row],[Total Profit]]-Sheet1[[#This Row],[Total Shipping Cost]]</f>
        <v>249.6</v>
      </c>
      <c r="AA743" s="4" t="str">
        <f>IF(Sheet1[[#This Row],[Net Profit]]&gt;0,"Profit","Loss")</f>
        <v>Profit</v>
      </c>
    </row>
    <row r="744" spans="1:27" x14ac:dyDescent="0.25">
      <c r="A744" t="s">
        <v>1004</v>
      </c>
      <c r="B744" s="1">
        <v>40597</v>
      </c>
      <c r="C744" s="1">
        <v>40599</v>
      </c>
      <c r="D744" t="s">
        <v>142</v>
      </c>
      <c r="E744" t="s">
        <v>566</v>
      </c>
      <c r="F744" t="s">
        <v>3</v>
      </c>
      <c r="G744" t="s">
        <v>191</v>
      </c>
      <c r="H744" t="s">
        <v>126</v>
      </c>
      <c r="I744" t="s">
        <v>127</v>
      </c>
      <c r="J744" t="s">
        <v>192</v>
      </c>
      <c r="K744" t="s">
        <v>7</v>
      </c>
      <c r="L744" t="s">
        <v>31</v>
      </c>
      <c r="M744">
        <v>19</v>
      </c>
      <c r="N744">
        <v>3</v>
      </c>
      <c r="O744">
        <v>0</v>
      </c>
      <c r="P744">
        <v>9.3312000000000008</v>
      </c>
      <c r="Q744">
        <v>5.01</v>
      </c>
      <c r="R744" t="s">
        <v>23</v>
      </c>
      <c r="S744">
        <f>Sheet1[[#This Row],[Ship_date]]-Sheet1[[#This Row],[Order_date]]</f>
        <v>2</v>
      </c>
      <c r="T744">
        <f>Sheet1[[#This Row],[Quantity]]*Sheet1[[#This Row],[Sales]]</f>
        <v>57</v>
      </c>
      <c r="U744">
        <f>Sheet1[[#This Row],[Total Sales]]*Sheet1[[#This Row],[Discount]]</f>
        <v>0</v>
      </c>
      <c r="V744" s="4">
        <f>Sheet1[[#This Row],[Total Sales]]-Sheet1[[#This Row],[Total Sales]]*Sheet1[[#This Row],[Discount]]</f>
        <v>57</v>
      </c>
      <c r="W744" s="4">
        <f>Sheet1[[#This Row],[Quantity]]*Sheet1[[#This Row],[Profit]]</f>
        <v>27.993600000000001</v>
      </c>
      <c r="X744" s="5">
        <f>Sheet1[[#This Row],[Total Profit]]/Sheet1[[#This Row],[Sales After Discount]]</f>
        <v>0.49111578947368423</v>
      </c>
      <c r="Y744" s="4">
        <f>Sheet1[[#This Row],[Shipping_cost]]*Sheet1[[#This Row],[Quantity]]</f>
        <v>15.03</v>
      </c>
      <c r="Z744" s="4">
        <f>Sheet1[[#This Row],[Total Profit]]-Sheet1[[#This Row],[Total Shipping Cost]]</f>
        <v>12.963600000000001</v>
      </c>
      <c r="AA744" s="4" t="str">
        <f>IF(Sheet1[[#This Row],[Net Profit]]&gt;0,"Profit","Loss")</f>
        <v>Profit</v>
      </c>
    </row>
    <row r="745" spans="1:27" x14ac:dyDescent="0.25">
      <c r="A745" t="s">
        <v>992</v>
      </c>
      <c r="B745" s="1">
        <v>40597</v>
      </c>
      <c r="C745" s="1">
        <v>40600</v>
      </c>
      <c r="D745" t="s">
        <v>142</v>
      </c>
      <c r="E745" t="s">
        <v>993</v>
      </c>
      <c r="F745" t="s">
        <v>43</v>
      </c>
      <c r="G745" t="s">
        <v>994</v>
      </c>
      <c r="H745" t="s">
        <v>280</v>
      </c>
      <c r="I745" t="s">
        <v>14</v>
      </c>
      <c r="J745" t="s">
        <v>281</v>
      </c>
      <c r="K745" t="s">
        <v>7</v>
      </c>
      <c r="L745" t="s">
        <v>96</v>
      </c>
      <c r="M745">
        <v>17</v>
      </c>
      <c r="N745">
        <v>2</v>
      </c>
      <c r="O745">
        <v>0</v>
      </c>
      <c r="P745">
        <v>3.3</v>
      </c>
      <c r="Q745">
        <v>3.97</v>
      </c>
      <c r="R745" t="s">
        <v>23</v>
      </c>
      <c r="S745">
        <f>Sheet1[[#This Row],[Ship_date]]-Sheet1[[#This Row],[Order_date]]</f>
        <v>3</v>
      </c>
      <c r="T745">
        <f>Sheet1[[#This Row],[Quantity]]*Sheet1[[#This Row],[Sales]]</f>
        <v>34</v>
      </c>
      <c r="U745">
        <f>Sheet1[[#This Row],[Total Sales]]*Sheet1[[#This Row],[Discount]]</f>
        <v>0</v>
      </c>
      <c r="V745" s="4">
        <f>Sheet1[[#This Row],[Total Sales]]-Sheet1[[#This Row],[Total Sales]]*Sheet1[[#This Row],[Discount]]</f>
        <v>34</v>
      </c>
      <c r="W745" s="4">
        <f>Sheet1[[#This Row],[Quantity]]*Sheet1[[#This Row],[Profit]]</f>
        <v>6.6</v>
      </c>
      <c r="X745" s="5">
        <f>Sheet1[[#This Row],[Total Profit]]/Sheet1[[#This Row],[Sales After Discount]]</f>
        <v>0.19411764705882351</v>
      </c>
      <c r="Y745" s="4">
        <f>Sheet1[[#This Row],[Shipping_cost]]*Sheet1[[#This Row],[Quantity]]</f>
        <v>7.94</v>
      </c>
      <c r="Z745" s="4">
        <f>Sheet1[[#This Row],[Total Profit]]-Sheet1[[#This Row],[Total Shipping Cost]]</f>
        <v>-1.3400000000000007</v>
      </c>
      <c r="AA745" s="4" t="str">
        <f>IF(Sheet1[[#This Row],[Net Profit]]&gt;0,"Profit","Loss")</f>
        <v>Loss</v>
      </c>
    </row>
    <row r="746" spans="1:27" x14ac:dyDescent="0.25">
      <c r="A746" t="s">
        <v>996</v>
      </c>
      <c r="B746" s="1">
        <v>40597</v>
      </c>
      <c r="C746" s="1">
        <v>40600</v>
      </c>
      <c r="D746" t="s">
        <v>18</v>
      </c>
      <c r="E746" t="s">
        <v>997</v>
      </c>
      <c r="F746" t="s">
        <v>3</v>
      </c>
      <c r="G746" t="s">
        <v>998</v>
      </c>
      <c r="H746" t="s">
        <v>999</v>
      </c>
      <c r="I746" t="s">
        <v>14</v>
      </c>
      <c r="J746" t="s">
        <v>281</v>
      </c>
      <c r="K746" t="s">
        <v>7</v>
      </c>
      <c r="L746" t="s">
        <v>31</v>
      </c>
      <c r="M746">
        <v>45</v>
      </c>
      <c r="N746">
        <v>3</v>
      </c>
      <c r="O746">
        <v>0.5</v>
      </c>
      <c r="P746">
        <v>0</v>
      </c>
      <c r="Q746">
        <v>1.48</v>
      </c>
      <c r="R746" t="s">
        <v>23</v>
      </c>
      <c r="S746">
        <f>Sheet1[[#This Row],[Ship_date]]-Sheet1[[#This Row],[Order_date]]</f>
        <v>3</v>
      </c>
      <c r="T746">
        <f>Sheet1[[#This Row],[Quantity]]*Sheet1[[#This Row],[Sales]]</f>
        <v>135</v>
      </c>
      <c r="U746">
        <f>Sheet1[[#This Row],[Total Sales]]*Sheet1[[#This Row],[Discount]]</f>
        <v>67.5</v>
      </c>
      <c r="V746" s="4">
        <f>Sheet1[[#This Row],[Total Sales]]-Sheet1[[#This Row],[Total Sales]]*Sheet1[[#This Row],[Discount]]</f>
        <v>67.5</v>
      </c>
      <c r="W746" s="4">
        <f>Sheet1[[#This Row],[Quantity]]*Sheet1[[#This Row],[Profit]]</f>
        <v>0</v>
      </c>
      <c r="X746" s="5">
        <f>Sheet1[[#This Row],[Total Profit]]/Sheet1[[#This Row],[Sales After Discount]]</f>
        <v>0</v>
      </c>
      <c r="Y746" s="4">
        <f>Sheet1[[#This Row],[Shipping_cost]]*Sheet1[[#This Row],[Quantity]]</f>
        <v>4.4399999999999995</v>
      </c>
      <c r="Z746" s="4">
        <f>Sheet1[[#This Row],[Total Profit]]-Sheet1[[#This Row],[Total Shipping Cost]]</f>
        <v>-4.4399999999999995</v>
      </c>
      <c r="AA746" s="4" t="str">
        <f>IF(Sheet1[[#This Row],[Net Profit]]&gt;0,"Profit","Loss")</f>
        <v>Loss</v>
      </c>
    </row>
    <row r="747" spans="1:27" x14ac:dyDescent="0.25">
      <c r="A747" t="s">
        <v>1005</v>
      </c>
      <c r="B747" s="1">
        <v>40597</v>
      </c>
      <c r="C747" s="1">
        <v>40602</v>
      </c>
      <c r="D747" t="s">
        <v>1</v>
      </c>
      <c r="E747" t="s">
        <v>715</v>
      </c>
      <c r="F747" t="s">
        <v>43</v>
      </c>
      <c r="G747" t="s">
        <v>1006</v>
      </c>
      <c r="H747" t="s">
        <v>298</v>
      </c>
      <c r="I747" t="s">
        <v>29</v>
      </c>
      <c r="J747" t="s">
        <v>102</v>
      </c>
      <c r="K747" t="s">
        <v>32</v>
      </c>
      <c r="L747" t="s">
        <v>56</v>
      </c>
      <c r="M747">
        <v>47</v>
      </c>
      <c r="N747">
        <v>2</v>
      </c>
      <c r="O747">
        <v>0.6</v>
      </c>
      <c r="P747">
        <v>-60.408000000000001</v>
      </c>
      <c r="Q747">
        <v>0.93</v>
      </c>
      <c r="R747" t="s">
        <v>9</v>
      </c>
      <c r="S747">
        <f>Sheet1[[#This Row],[Ship_date]]-Sheet1[[#This Row],[Order_date]]</f>
        <v>5</v>
      </c>
      <c r="T747">
        <f>Sheet1[[#This Row],[Quantity]]*Sheet1[[#This Row],[Sales]]</f>
        <v>94</v>
      </c>
      <c r="U747">
        <f>Sheet1[[#This Row],[Total Sales]]*Sheet1[[#This Row],[Discount]]</f>
        <v>56.4</v>
      </c>
      <c r="V747" s="4">
        <f>Sheet1[[#This Row],[Total Sales]]-Sheet1[[#This Row],[Total Sales]]*Sheet1[[#This Row],[Discount]]</f>
        <v>37.6</v>
      </c>
      <c r="W747" s="4">
        <f>Sheet1[[#This Row],[Quantity]]*Sheet1[[#This Row],[Profit]]</f>
        <v>-120.816</v>
      </c>
      <c r="X747" s="5">
        <f>Sheet1[[#This Row],[Total Profit]]/Sheet1[[#This Row],[Sales After Discount]]</f>
        <v>-3.213191489361702</v>
      </c>
      <c r="Y747" s="4">
        <f>Sheet1[[#This Row],[Shipping_cost]]*Sheet1[[#This Row],[Quantity]]</f>
        <v>1.86</v>
      </c>
      <c r="Z747" s="4">
        <f>Sheet1[[#This Row],[Total Profit]]-Sheet1[[#This Row],[Total Shipping Cost]]</f>
        <v>-122.676</v>
      </c>
      <c r="AA747" s="4" t="str">
        <f>IF(Sheet1[[#This Row],[Net Profit]]&gt;0,"Profit","Loss")</f>
        <v>Loss</v>
      </c>
    </row>
    <row r="748" spans="1:27" x14ac:dyDescent="0.25">
      <c r="A748" t="s">
        <v>1007</v>
      </c>
      <c r="B748" s="1">
        <v>40598</v>
      </c>
      <c r="C748" s="1">
        <v>40602</v>
      </c>
      <c r="D748" t="s">
        <v>1</v>
      </c>
      <c r="E748" t="s">
        <v>1008</v>
      </c>
      <c r="F748" t="s">
        <v>43</v>
      </c>
      <c r="G748" t="s">
        <v>1009</v>
      </c>
      <c r="H748" t="s">
        <v>486</v>
      </c>
      <c r="I748" t="s">
        <v>29</v>
      </c>
      <c r="J748" t="s">
        <v>76</v>
      </c>
      <c r="K748" t="s">
        <v>32</v>
      </c>
      <c r="L748" t="s">
        <v>67</v>
      </c>
      <c r="M748">
        <v>2076</v>
      </c>
      <c r="N748">
        <v>5</v>
      </c>
      <c r="O748">
        <v>0</v>
      </c>
      <c r="P748">
        <v>103.8</v>
      </c>
      <c r="Q748">
        <v>197.11</v>
      </c>
      <c r="R748" t="s">
        <v>9</v>
      </c>
      <c r="S748">
        <f>Sheet1[[#This Row],[Ship_date]]-Sheet1[[#This Row],[Order_date]]</f>
        <v>4</v>
      </c>
      <c r="T748">
        <f>Sheet1[[#This Row],[Quantity]]*Sheet1[[#This Row],[Sales]]</f>
        <v>10380</v>
      </c>
      <c r="U748">
        <f>Sheet1[[#This Row],[Total Sales]]*Sheet1[[#This Row],[Discount]]</f>
        <v>0</v>
      </c>
      <c r="V748" s="4">
        <f>Sheet1[[#This Row],[Total Sales]]-Sheet1[[#This Row],[Total Sales]]*Sheet1[[#This Row],[Discount]]</f>
        <v>10380</v>
      </c>
      <c r="W748" s="4">
        <f>Sheet1[[#This Row],[Quantity]]*Sheet1[[#This Row],[Profit]]</f>
        <v>519</v>
      </c>
      <c r="X748" s="5">
        <f>Sheet1[[#This Row],[Total Profit]]/Sheet1[[#This Row],[Sales After Discount]]</f>
        <v>0.05</v>
      </c>
      <c r="Y748" s="4">
        <f>Sheet1[[#This Row],[Shipping_cost]]*Sheet1[[#This Row],[Quantity]]</f>
        <v>985.55000000000007</v>
      </c>
      <c r="Z748" s="4">
        <f>Sheet1[[#This Row],[Total Profit]]-Sheet1[[#This Row],[Total Shipping Cost]]</f>
        <v>-466.55000000000007</v>
      </c>
      <c r="AA748" s="4" t="str">
        <f>IF(Sheet1[[#This Row],[Net Profit]]&gt;0,"Profit","Loss")</f>
        <v>Loss</v>
      </c>
    </row>
    <row r="749" spans="1:27" x14ac:dyDescent="0.25">
      <c r="A749" t="s">
        <v>1010</v>
      </c>
      <c r="B749" s="1">
        <v>40598</v>
      </c>
      <c r="C749" s="1">
        <v>40599</v>
      </c>
      <c r="D749" t="s">
        <v>142</v>
      </c>
      <c r="E749" t="s">
        <v>736</v>
      </c>
      <c r="F749" t="s">
        <v>43</v>
      </c>
      <c r="G749" t="s">
        <v>1011</v>
      </c>
      <c r="H749" t="s">
        <v>81</v>
      </c>
      <c r="I749" t="s">
        <v>22</v>
      </c>
      <c r="J749" t="s">
        <v>22</v>
      </c>
      <c r="K749" t="s">
        <v>38</v>
      </c>
      <c r="L749" t="s">
        <v>77</v>
      </c>
      <c r="M749">
        <v>654</v>
      </c>
      <c r="N749">
        <v>1</v>
      </c>
      <c r="O749">
        <v>0</v>
      </c>
      <c r="P749">
        <v>287.85000000000002</v>
      </c>
      <c r="Q749">
        <v>136.02000000000001</v>
      </c>
      <c r="R749" t="s">
        <v>9</v>
      </c>
      <c r="S749">
        <f>Sheet1[[#This Row],[Ship_date]]-Sheet1[[#This Row],[Order_date]]</f>
        <v>1</v>
      </c>
      <c r="T749">
        <f>Sheet1[[#This Row],[Quantity]]*Sheet1[[#This Row],[Sales]]</f>
        <v>654</v>
      </c>
      <c r="U749">
        <f>Sheet1[[#This Row],[Total Sales]]*Sheet1[[#This Row],[Discount]]</f>
        <v>0</v>
      </c>
      <c r="V749" s="4">
        <f>Sheet1[[#This Row],[Total Sales]]-Sheet1[[#This Row],[Total Sales]]*Sheet1[[#This Row],[Discount]]</f>
        <v>654</v>
      </c>
      <c r="W749" s="4">
        <f>Sheet1[[#This Row],[Quantity]]*Sheet1[[#This Row],[Profit]]</f>
        <v>287.85000000000002</v>
      </c>
      <c r="X749" s="5">
        <f>Sheet1[[#This Row],[Total Profit]]/Sheet1[[#This Row],[Sales After Discount]]</f>
        <v>0.44013761467889911</v>
      </c>
      <c r="Y749" s="4">
        <f>Sheet1[[#This Row],[Shipping_cost]]*Sheet1[[#This Row],[Quantity]]</f>
        <v>136.02000000000001</v>
      </c>
      <c r="Z749" s="4">
        <f>Sheet1[[#This Row],[Total Profit]]-Sheet1[[#This Row],[Total Shipping Cost]]</f>
        <v>151.83000000000001</v>
      </c>
      <c r="AA749" s="4" t="str">
        <f>IF(Sheet1[[#This Row],[Net Profit]]&gt;0,"Profit","Loss")</f>
        <v>Profit</v>
      </c>
    </row>
    <row r="750" spans="1:27" x14ac:dyDescent="0.25">
      <c r="A750" t="s">
        <v>1012</v>
      </c>
      <c r="B750" s="1">
        <v>40598</v>
      </c>
      <c r="C750" s="1">
        <v>40598</v>
      </c>
      <c r="D750" t="s">
        <v>41</v>
      </c>
      <c r="E750" t="s">
        <v>1013</v>
      </c>
      <c r="F750" t="s">
        <v>3</v>
      </c>
      <c r="G750" t="s">
        <v>1014</v>
      </c>
      <c r="H750" t="s">
        <v>101</v>
      </c>
      <c r="I750" t="s">
        <v>75</v>
      </c>
      <c r="J750" t="s">
        <v>102</v>
      </c>
      <c r="K750" t="s">
        <v>38</v>
      </c>
      <c r="L750" t="s">
        <v>50</v>
      </c>
      <c r="M750">
        <v>501</v>
      </c>
      <c r="N750">
        <v>2</v>
      </c>
      <c r="O750">
        <v>2E-3</v>
      </c>
      <c r="P750">
        <v>84.395039999999995</v>
      </c>
      <c r="Q750">
        <v>69.650000000000006</v>
      </c>
      <c r="R750" t="s">
        <v>9</v>
      </c>
      <c r="S750">
        <f>Sheet1[[#This Row],[Ship_date]]-Sheet1[[#This Row],[Order_date]]</f>
        <v>0</v>
      </c>
      <c r="T750">
        <f>Sheet1[[#This Row],[Quantity]]*Sheet1[[#This Row],[Sales]]</f>
        <v>1002</v>
      </c>
      <c r="U750">
        <f>Sheet1[[#This Row],[Total Sales]]*Sheet1[[#This Row],[Discount]]</f>
        <v>2.004</v>
      </c>
      <c r="V750" s="4">
        <f>Sheet1[[#This Row],[Total Sales]]-Sheet1[[#This Row],[Total Sales]]*Sheet1[[#This Row],[Discount]]</f>
        <v>999.99599999999998</v>
      </c>
      <c r="W750" s="4">
        <f>Sheet1[[#This Row],[Quantity]]*Sheet1[[#This Row],[Profit]]</f>
        <v>168.79007999999999</v>
      </c>
      <c r="X750" s="5">
        <f>Sheet1[[#This Row],[Total Profit]]/Sheet1[[#This Row],[Sales After Discount]]</f>
        <v>0.16879075516302064</v>
      </c>
      <c r="Y750" s="4">
        <f>Sheet1[[#This Row],[Shipping_cost]]*Sheet1[[#This Row],[Quantity]]</f>
        <v>139.30000000000001</v>
      </c>
      <c r="Z750" s="4">
        <f>Sheet1[[#This Row],[Total Profit]]-Sheet1[[#This Row],[Total Shipping Cost]]</f>
        <v>29.490079999999978</v>
      </c>
      <c r="AA750" s="4" t="str">
        <f>IF(Sheet1[[#This Row],[Net Profit]]&gt;0,"Profit","Loss")</f>
        <v>Profit</v>
      </c>
    </row>
    <row r="751" spans="1:27" x14ac:dyDescent="0.25">
      <c r="A751" t="s">
        <v>1010</v>
      </c>
      <c r="B751" s="1">
        <v>40598</v>
      </c>
      <c r="C751" s="1">
        <v>40599</v>
      </c>
      <c r="D751" t="s">
        <v>142</v>
      </c>
      <c r="E751" t="s">
        <v>736</v>
      </c>
      <c r="F751" t="s">
        <v>43</v>
      </c>
      <c r="G751" t="s">
        <v>1011</v>
      </c>
      <c r="H751" t="s">
        <v>81</v>
      </c>
      <c r="I751" t="s">
        <v>22</v>
      </c>
      <c r="J751" t="s">
        <v>22</v>
      </c>
      <c r="K751" t="s">
        <v>38</v>
      </c>
      <c r="L751" t="s">
        <v>82</v>
      </c>
      <c r="M751">
        <v>490</v>
      </c>
      <c r="N751">
        <v>6</v>
      </c>
      <c r="O751">
        <v>0</v>
      </c>
      <c r="P751">
        <v>29.34</v>
      </c>
      <c r="Q751">
        <v>39.03</v>
      </c>
      <c r="R751" t="s">
        <v>9</v>
      </c>
      <c r="S751">
        <f>Sheet1[[#This Row],[Ship_date]]-Sheet1[[#This Row],[Order_date]]</f>
        <v>1</v>
      </c>
      <c r="T751">
        <f>Sheet1[[#This Row],[Quantity]]*Sheet1[[#This Row],[Sales]]</f>
        <v>2940</v>
      </c>
      <c r="U751">
        <f>Sheet1[[#This Row],[Total Sales]]*Sheet1[[#This Row],[Discount]]</f>
        <v>0</v>
      </c>
      <c r="V751" s="4">
        <f>Sheet1[[#This Row],[Total Sales]]-Sheet1[[#This Row],[Total Sales]]*Sheet1[[#This Row],[Discount]]</f>
        <v>2940</v>
      </c>
      <c r="W751" s="4">
        <f>Sheet1[[#This Row],[Quantity]]*Sheet1[[#This Row],[Profit]]</f>
        <v>176.04</v>
      </c>
      <c r="X751" s="5">
        <f>Sheet1[[#This Row],[Total Profit]]/Sheet1[[#This Row],[Sales After Discount]]</f>
        <v>5.9877551020408162E-2</v>
      </c>
      <c r="Y751" s="4">
        <f>Sheet1[[#This Row],[Shipping_cost]]*Sheet1[[#This Row],[Quantity]]</f>
        <v>234.18</v>
      </c>
      <c r="Z751" s="4">
        <f>Sheet1[[#This Row],[Total Profit]]-Sheet1[[#This Row],[Total Shipping Cost]]</f>
        <v>-58.140000000000015</v>
      </c>
      <c r="AA751" s="4" t="str">
        <f>IF(Sheet1[[#This Row],[Net Profit]]&gt;0,"Profit","Loss")</f>
        <v>Loss</v>
      </c>
    </row>
    <row r="752" spans="1:27" x14ac:dyDescent="0.25">
      <c r="A752" t="s">
        <v>1015</v>
      </c>
      <c r="B752" s="1">
        <v>40598</v>
      </c>
      <c r="C752" s="1">
        <v>40602</v>
      </c>
      <c r="D752" t="s">
        <v>1</v>
      </c>
      <c r="E752" t="s">
        <v>885</v>
      </c>
      <c r="F752" t="s">
        <v>3</v>
      </c>
      <c r="G752" t="s">
        <v>1016</v>
      </c>
      <c r="H752" t="s">
        <v>101</v>
      </c>
      <c r="I752" t="s">
        <v>75</v>
      </c>
      <c r="J752" t="s">
        <v>102</v>
      </c>
      <c r="K752" t="s">
        <v>38</v>
      </c>
      <c r="L752" t="s">
        <v>39</v>
      </c>
      <c r="M752">
        <v>143</v>
      </c>
      <c r="N752">
        <v>2</v>
      </c>
      <c r="O752">
        <v>0.6</v>
      </c>
      <c r="P752">
        <v>-85.975999999999999</v>
      </c>
      <c r="Q752">
        <v>22.4</v>
      </c>
      <c r="R752" t="s">
        <v>23</v>
      </c>
      <c r="S752">
        <f>Sheet1[[#This Row],[Ship_date]]-Sheet1[[#This Row],[Order_date]]</f>
        <v>4</v>
      </c>
      <c r="T752">
        <f>Sheet1[[#This Row],[Quantity]]*Sheet1[[#This Row],[Sales]]</f>
        <v>286</v>
      </c>
      <c r="U752">
        <f>Sheet1[[#This Row],[Total Sales]]*Sheet1[[#This Row],[Discount]]</f>
        <v>171.6</v>
      </c>
      <c r="V752" s="4">
        <f>Sheet1[[#This Row],[Total Sales]]-Sheet1[[#This Row],[Total Sales]]*Sheet1[[#This Row],[Discount]]</f>
        <v>114.4</v>
      </c>
      <c r="W752" s="4">
        <f>Sheet1[[#This Row],[Quantity]]*Sheet1[[#This Row],[Profit]]</f>
        <v>-171.952</v>
      </c>
      <c r="X752" s="5">
        <f>Sheet1[[#This Row],[Total Profit]]/Sheet1[[#This Row],[Sales After Discount]]</f>
        <v>-1.503076923076923</v>
      </c>
      <c r="Y752" s="4">
        <f>Sheet1[[#This Row],[Shipping_cost]]*Sheet1[[#This Row],[Quantity]]</f>
        <v>44.8</v>
      </c>
      <c r="Z752" s="4">
        <f>Sheet1[[#This Row],[Total Profit]]-Sheet1[[#This Row],[Total Shipping Cost]]</f>
        <v>-216.75200000000001</v>
      </c>
      <c r="AA752" s="4" t="str">
        <f>IF(Sheet1[[#This Row],[Net Profit]]&gt;0,"Profit","Loss")</f>
        <v>Loss</v>
      </c>
    </row>
    <row r="753" spans="1:27" x14ac:dyDescent="0.25">
      <c r="A753" t="s">
        <v>1017</v>
      </c>
      <c r="B753" s="1">
        <v>40598</v>
      </c>
      <c r="C753" s="1">
        <v>40599</v>
      </c>
      <c r="D753" t="s">
        <v>142</v>
      </c>
      <c r="E753" t="s">
        <v>1018</v>
      </c>
      <c r="F753" t="s">
        <v>43</v>
      </c>
      <c r="G753" t="s">
        <v>422</v>
      </c>
      <c r="H753" t="s">
        <v>423</v>
      </c>
      <c r="I753" t="s">
        <v>14</v>
      </c>
      <c r="J753" t="s">
        <v>61</v>
      </c>
      <c r="K753" t="s">
        <v>7</v>
      </c>
      <c r="L753" t="s">
        <v>96</v>
      </c>
      <c r="M753">
        <v>95</v>
      </c>
      <c r="N753">
        <v>5</v>
      </c>
      <c r="O753">
        <v>0.17</v>
      </c>
      <c r="P753">
        <v>-7.0065</v>
      </c>
      <c r="Q753">
        <v>19.89</v>
      </c>
      <c r="R753" t="s">
        <v>9</v>
      </c>
      <c r="S753">
        <f>Sheet1[[#This Row],[Ship_date]]-Sheet1[[#This Row],[Order_date]]</f>
        <v>1</v>
      </c>
      <c r="T753">
        <f>Sheet1[[#This Row],[Quantity]]*Sheet1[[#This Row],[Sales]]</f>
        <v>475</v>
      </c>
      <c r="U753">
        <f>Sheet1[[#This Row],[Total Sales]]*Sheet1[[#This Row],[Discount]]</f>
        <v>80.75</v>
      </c>
      <c r="V753" s="4">
        <f>Sheet1[[#This Row],[Total Sales]]-Sheet1[[#This Row],[Total Sales]]*Sheet1[[#This Row],[Discount]]</f>
        <v>394.25</v>
      </c>
      <c r="W753" s="4">
        <f>Sheet1[[#This Row],[Quantity]]*Sheet1[[#This Row],[Profit]]</f>
        <v>-35.032499999999999</v>
      </c>
      <c r="X753" s="5">
        <f>Sheet1[[#This Row],[Total Profit]]/Sheet1[[#This Row],[Sales After Discount]]</f>
        <v>-8.8858592263792002E-2</v>
      </c>
      <c r="Y753" s="4">
        <f>Sheet1[[#This Row],[Shipping_cost]]*Sheet1[[#This Row],[Quantity]]</f>
        <v>99.45</v>
      </c>
      <c r="Z753" s="4">
        <f>Sheet1[[#This Row],[Total Profit]]-Sheet1[[#This Row],[Total Shipping Cost]]</f>
        <v>-134.48250000000002</v>
      </c>
      <c r="AA753" s="4" t="str">
        <f>IF(Sheet1[[#This Row],[Net Profit]]&gt;0,"Profit","Loss")</f>
        <v>Loss</v>
      </c>
    </row>
    <row r="754" spans="1:27" x14ac:dyDescent="0.25">
      <c r="A754" t="s">
        <v>1012</v>
      </c>
      <c r="B754" s="1">
        <v>40598</v>
      </c>
      <c r="C754" s="1">
        <v>40598</v>
      </c>
      <c r="D754" t="s">
        <v>41</v>
      </c>
      <c r="E754" t="s">
        <v>1013</v>
      </c>
      <c r="F754" t="s">
        <v>3</v>
      </c>
      <c r="G754" t="s">
        <v>1014</v>
      </c>
      <c r="H754" t="s">
        <v>101</v>
      </c>
      <c r="I754" t="s">
        <v>75</v>
      </c>
      <c r="J754" t="s">
        <v>102</v>
      </c>
      <c r="K754" t="s">
        <v>38</v>
      </c>
      <c r="L754" t="s">
        <v>77</v>
      </c>
      <c r="M754">
        <v>612</v>
      </c>
      <c r="N754">
        <v>6</v>
      </c>
      <c r="O754">
        <v>0</v>
      </c>
      <c r="P754">
        <v>238.8</v>
      </c>
      <c r="Q754">
        <v>19.510000000000002</v>
      </c>
      <c r="R754" t="s">
        <v>9</v>
      </c>
      <c r="S754">
        <f>Sheet1[[#This Row],[Ship_date]]-Sheet1[[#This Row],[Order_date]]</f>
        <v>0</v>
      </c>
      <c r="T754">
        <f>Sheet1[[#This Row],[Quantity]]*Sheet1[[#This Row],[Sales]]</f>
        <v>3672</v>
      </c>
      <c r="U754">
        <f>Sheet1[[#This Row],[Total Sales]]*Sheet1[[#This Row],[Discount]]</f>
        <v>0</v>
      </c>
      <c r="V754" s="4">
        <f>Sheet1[[#This Row],[Total Sales]]-Sheet1[[#This Row],[Total Sales]]*Sheet1[[#This Row],[Discount]]</f>
        <v>3672</v>
      </c>
      <c r="W754" s="4">
        <f>Sheet1[[#This Row],[Quantity]]*Sheet1[[#This Row],[Profit]]</f>
        <v>1432.8000000000002</v>
      </c>
      <c r="X754" s="5">
        <f>Sheet1[[#This Row],[Total Profit]]/Sheet1[[#This Row],[Sales After Discount]]</f>
        <v>0.39019607843137261</v>
      </c>
      <c r="Y754" s="4">
        <f>Sheet1[[#This Row],[Shipping_cost]]*Sheet1[[#This Row],[Quantity]]</f>
        <v>117.06</v>
      </c>
      <c r="Z754" s="4">
        <f>Sheet1[[#This Row],[Total Profit]]-Sheet1[[#This Row],[Total Shipping Cost]]</f>
        <v>1315.7400000000002</v>
      </c>
      <c r="AA754" s="4" t="str">
        <f>IF(Sheet1[[#This Row],[Net Profit]]&gt;0,"Profit","Loss")</f>
        <v>Profit</v>
      </c>
    </row>
    <row r="755" spans="1:27" x14ac:dyDescent="0.25">
      <c r="A755" t="s">
        <v>1007</v>
      </c>
      <c r="B755" s="1">
        <v>40598</v>
      </c>
      <c r="C755" s="1">
        <v>40602</v>
      </c>
      <c r="D755" t="s">
        <v>1</v>
      </c>
      <c r="E755" t="s">
        <v>1008</v>
      </c>
      <c r="F755" t="s">
        <v>43</v>
      </c>
      <c r="G755" t="s">
        <v>1009</v>
      </c>
      <c r="H755" t="s">
        <v>486</v>
      </c>
      <c r="I755" t="s">
        <v>29</v>
      </c>
      <c r="J755" t="s">
        <v>76</v>
      </c>
      <c r="K755" t="s">
        <v>7</v>
      </c>
      <c r="L755" t="s">
        <v>137</v>
      </c>
      <c r="M755">
        <v>309</v>
      </c>
      <c r="N755">
        <v>6</v>
      </c>
      <c r="O755">
        <v>0</v>
      </c>
      <c r="P755">
        <v>77.040000000000006</v>
      </c>
      <c r="Q755">
        <v>13.8</v>
      </c>
      <c r="R755" t="s">
        <v>9</v>
      </c>
      <c r="S755">
        <f>Sheet1[[#This Row],[Ship_date]]-Sheet1[[#This Row],[Order_date]]</f>
        <v>4</v>
      </c>
      <c r="T755">
        <f>Sheet1[[#This Row],[Quantity]]*Sheet1[[#This Row],[Sales]]</f>
        <v>1854</v>
      </c>
      <c r="U755">
        <f>Sheet1[[#This Row],[Total Sales]]*Sheet1[[#This Row],[Discount]]</f>
        <v>0</v>
      </c>
      <c r="V755" s="4">
        <f>Sheet1[[#This Row],[Total Sales]]-Sheet1[[#This Row],[Total Sales]]*Sheet1[[#This Row],[Discount]]</f>
        <v>1854</v>
      </c>
      <c r="W755" s="4">
        <f>Sheet1[[#This Row],[Quantity]]*Sheet1[[#This Row],[Profit]]</f>
        <v>462.24</v>
      </c>
      <c r="X755" s="5">
        <f>Sheet1[[#This Row],[Total Profit]]/Sheet1[[#This Row],[Sales After Discount]]</f>
        <v>0.24932038834951456</v>
      </c>
      <c r="Y755" s="4">
        <f>Sheet1[[#This Row],[Shipping_cost]]*Sheet1[[#This Row],[Quantity]]</f>
        <v>82.800000000000011</v>
      </c>
      <c r="Z755" s="4">
        <f>Sheet1[[#This Row],[Total Profit]]-Sheet1[[#This Row],[Total Shipping Cost]]</f>
        <v>379.44</v>
      </c>
      <c r="AA755" s="4" t="str">
        <f>IF(Sheet1[[#This Row],[Net Profit]]&gt;0,"Profit","Loss")</f>
        <v>Profit</v>
      </c>
    </row>
    <row r="756" spans="1:27" x14ac:dyDescent="0.25">
      <c r="A756" t="s">
        <v>1019</v>
      </c>
      <c r="B756" s="1">
        <v>40598</v>
      </c>
      <c r="C756" s="1">
        <v>40605</v>
      </c>
      <c r="D756" t="s">
        <v>1</v>
      </c>
      <c r="E756" t="s">
        <v>2</v>
      </c>
      <c r="F756" t="s">
        <v>3</v>
      </c>
      <c r="G756" t="s">
        <v>36</v>
      </c>
      <c r="H756" t="s">
        <v>37</v>
      </c>
      <c r="I756" t="s">
        <v>37</v>
      </c>
      <c r="J756" t="s">
        <v>37</v>
      </c>
      <c r="K756" t="s">
        <v>7</v>
      </c>
      <c r="L756" t="s">
        <v>8</v>
      </c>
      <c r="M756">
        <v>57</v>
      </c>
      <c r="N756">
        <v>1</v>
      </c>
      <c r="O756">
        <v>0</v>
      </c>
      <c r="P756">
        <v>23.31</v>
      </c>
      <c r="Q756">
        <v>7.54</v>
      </c>
      <c r="R756" t="s">
        <v>51</v>
      </c>
      <c r="S756">
        <f>Sheet1[[#This Row],[Ship_date]]-Sheet1[[#This Row],[Order_date]]</f>
        <v>7</v>
      </c>
      <c r="T756">
        <f>Sheet1[[#This Row],[Quantity]]*Sheet1[[#This Row],[Sales]]</f>
        <v>57</v>
      </c>
      <c r="U756">
        <f>Sheet1[[#This Row],[Total Sales]]*Sheet1[[#This Row],[Discount]]</f>
        <v>0</v>
      </c>
      <c r="V756" s="4">
        <f>Sheet1[[#This Row],[Total Sales]]-Sheet1[[#This Row],[Total Sales]]*Sheet1[[#This Row],[Discount]]</f>
        <v>57</v>
      </c>
      <c r="W756" s="4">
        <f>Sheet1[[#This Row],[Quantity]]*Sheet1[[#This Row],[Profit]]</f>
        <v>23.31</v>
      </c>
      <c r="X756" s="5">
        <f>Sheet1[[#This Row],[Total Profit]]/Sheet1[[#This Row],[Sales After Discount]]</f>
        <v>0.40894736842105261</v>
      </c>
      <c r="Y756" s="4">
        <f>Sheet1[[#This Row],[Shipping_cost]]*Sheet1[[#This Row],[Quantity]]</f>
        <v>7.54</v>
      </c>
      <c r="Z756" s="4">
        <f>Sheet1[[#This Row],[Total Profit]]-Sheet1[[#This Row],[Total Shipping Cost]]</f>
        <v>15.77</v>
      </c>
      <c r="AA756" s="4" t="str">
        <f>IF(Sheet1[[#This Row],[Net Profit]]&gt;0,"Profit","Loss")</f>
        <v>Profit</v>
      </c>
    </row>
    <row r="757" spans="1:27" x14ac:dyDescent="0.25">
      <c r="A757" t="s">
        <v>1020</v>
      </c>
      <c r="B757" s="1">
        <v>40598</v>
      </c>
      <c r="C757" s="1">
        <v>40602</v>
      </c>
      <c r="D757" t="s">
        <v>1</v>
      </c>
      <c r="E757" t="s">
        <v>885</v>
      </c>
      <c r="F757" t="s">
        <v>3</v>
      </c>
      <c r="G757" t="s">
        <v>673</v>
      </c>
      <c r="H757" t="s">
        <v>368</v>
      </c>
      <c r="I757" t="s">
        <v>75</v>
      </c>
      <c r="J757" t="s">
        <v>111</v>
      </c>
      <c r="K757" t="s">
        <v>38</v>
      </c>
      <c r="L757" t="s">
        <v>39</v>
      </c>
      <c r="M757">
        <v>107</v>
      </c>
      <c r="N757">
        <v>2</v>
      </c>
      <c r="O757">
        <v>0.7</v>
      </c>
      <c r="P757">
        <v>-121.792</v>
      </c>
      <c r="Q757">
        <v>7.32</v>
      </c>
      <c r="R757" t="s">
        <v>9</v>
      </c>
      <c r="S757">
        <f>Sheet1[[#This Row],[Ship_date]]-Sheet1[[#This Row],[Order_date]]</f>
        <v>4</v>
      </c>
      <c r="T757">
        <f>Sheet1[[#This Row],[Quantity]]*Sheet1[[#This Row],[Sales]]</f>
        <v>214</v>
      </c>
      <c r="U757">
        <f>Sheet1[[#This Row],[Total Sales]]*Sheet1[[#This Row],[Discount]]</f>
        <v>149.79999999999998</v>
      </c>
      <c r="V757" s="4">
        <f>Sheet1[[#This Row],[Total Sales]]-Sheet1[[#This Row],[Total Sales]]*Sheet1[[#This Row],[Discount]]</f>
        <v>64.200000000000017</v>
      </c>
      <c r="W757" s="4">
        <f>Sheet1[[#This Row],[Quantity]]*Sheet1[[#This Row],[Profit]]</f>
        <v>-243.584</v>
      </c>
      <c r="X757" s="5">
        <f>Sheet1[[#This Row],[Total Profit]]/Sheet1[[#This Row],[Sales After Discount]]</f>
        <v>-3.7941433021806845</v>
      </c>
      <c r="Y757" s="4">
        <f>Sheet1[[#This Row],[Shipping_cost]]*Sheet1[[#This Row],[Quantity]]</f>
        <v>14.64</v>
      </c>
      <c r="Z757" s="4">
        <f>Sheet1[[#This Row],[Total Profit]]-Sheet1[[#This Row],[Total Shipping Cost]]</f>
        <v>-258.22399999999999</v>
      </c>
      <c r="AA757" s="4" t="str">
        <f>IF(Sheet1[[#This Row],[Net Profit]]&gt;0,"Profit","Loss")</f>
        <v>Loss</v>
      </c>
    </row>
    <row r="758" spans="1:27" x14ac:dyDescent="0.25">
      <c r="A758" t="s">
        <v>1010</v>
      </c>
      <c r="B758" s="1">
        <v>40598</v>
      </c>
      <c r="C758" s="1">
        <v>40599</v>
      </c>
      <c r="D758" t="s">
        <v>142</v>
      </c>
      <c r="E758" t="s">
        <v>736</v>
      </c>
      <c r="F758" t="s">
        <v>43</v>
      </c>
      <c r="G758" t="s">
        <v>1011</v>
      </c>
      <c r="H758" t="s">
        <v>81</v>
      </c>
      <c r="I758" t="s">
        <v>22</v>
      </c>
      <c r="J758" t="s">
        <v>22</v>
      </c>
      <c r="K758" t="s">
        <v>7</v>
      </c>
      <c r="L758" t="s">
        <v>8</v>
      </c>
      <c r="M758">
        <v>62</v>
      </c>
      <c r="N758">
        <v>1</v>
      </c>
      <c r="O758">
        <v>0</v>
      </c>
      <c r="P758">
        <v>24.84</v>
      </c>
      <c r="Q758">
        <v>6.07</v>
      </c>
      <c r="R758" t="s">
        <v>9</v>
      </c>
      <c r="S758">
        <f>Sheet1[[#This Row],[Ship_date]]-Sheet1[[#This Row],[Order_date]]</f>
        <v>1</v>
      </c>
      <c r="T758">
        <f>Sheet1[[#This Row],[Quantity]]*Sheet1[[#This Row],[Sales]]</f>
        <v>62</v>
      </c>
      <c r="U758">
        <f>Sheet1[[#This Row],[Total Sales]]*Sheet1[[#This Row],[Discount]]</f>
        <v>0</v>
      </c>
      <c r="V758" s="4">
        <f>Sheet1[[#This Row],[Total Sales]]-Sheet1[[#This Row],[Total Sales]]*Sheet1[[#This Row],[Discount]]</f>
        <v>62</v>
      </c>
      <c r="W758" s="4">
        <f>Sheet1[[#This Row],[Quantity]]*Sheet1[[#This Row],[Profit]]</f>
        <v>24.84</v>
      </c>
      <c r="X758" s="5">
        <f>Sheet1[[#This Row],[Total Profit]]/Sheet1[[#This Row],[Sales After Discount]]</f>
        <v>0.40064516129032257</v>
      </c>
      <c r="Y758" s="4">
        <f>Sheet1[[#This Row],[Shipping_cost]]*Sheet1[[#This Row],[Quantity]]</f>
        <v>6.07</v>
      </c>
      <c r="Z758" s="4">
        <f>Sheet1[[#This Row],[Total Profit]]-Sheet1[[#This Row],[Total Shipping Cost]]</f>
        <v>18.77</v>
      </c>
      <c r="AA758" s="4" t="str">
        <f>IF(Sheet1[[#This Row],[Net Profit]]&gt;0,"Profit","Loss")</f>
        <v>Profit</v>
      </c>
    </row>
    <row r="759" spans="1:27" x14ac:dyDescent="0.25">
      <c r="A759" t="s">
        <v>1021</v>
      </c>
      <c r="B759" s="1">
        <v>40598</v>
      </c>
      <c r="C759" s="1">
        <v>40601</v>
      </c>
      <c r="D759" t="s">
        <v>142</v>
      </c>
      <c r="E759" t="s">
        <v>672</v>
      </c>
      <c r="F759" t="s">
        <v>43</v>
      </c>
      <c r="G759" t="s">
        <v>222</v>
      </c>
      <c r="H759" t="s">
        <v>223</v>
      </c>
      <c r="I759" t="s">
        <v>6</v>
      </c>
      <c r="J759" t="s">
        <v>6</v>
      </c>
      <c r="K759" t="s">
        <v>38</v>
      </c>
      <c r="L759" t="s">
        <v>39</v>
      </c>
      <c r="M759">
        <v>37</v>
      </c>
      <c r="N759">
        <v>1</v>
      </c>
      <c r="O759">
        <v>0.7</v>
      </c>
      <c r="P759">
        <v>-81.200999999999993</v>
      </c>
      <c r="Q759">
        <v>5.89</v>
      </c>
      <c r="R759" t="s">
        <v>23</v>
      </c>
      <c r="S759">
        <f>Sheet1[[#This Row],[Ship_date]]-Sheet1[[#This Row],[Order_date]]</f>
        <v>3</v>
      </c>
      <c r="T759">
        <f>Sheet1[[#This Row],[Quantity]]*Sheet1[[#This Row],[Sales]]</f>
        <v>37</v>
      </c>
      <c r="U759">
        <f>Sheet1[[#This Row],[Total Sales]]*Sheet1[[#This Row],[Discount]]</f>
        <v>25.9</v>
      </c>
      <c r="V759" s="4">
        <f>Sheet1[[#This Row],[Total Sales]]-Sheet1[[#This Row],[Total Sales]]*Sheet1[[#This Row],[Discount]]</f>
        <v>11.100000000000001</v>
      </c>
      <c r="W759" s="4">
        <f>Sheet1[[#This Row],[Quantity]]*Sheet1[[#This Row],[Profit]]</f>
        <v>-81.200999999999993</v>
      </c>
      <c r="X759" s="5">
        <f>Sheet1[[#This Row],[Total Profit]]/Sheet1[[#This Row],[Sales After Discount]]</f>
        <v>-7.3154054054054036</v>
      </c>
      <c r="Y759" s="4">
        <f>Sheet1[[#This Row],[Shipping_cost]]*Sheet1[[#This Row],[Quantity]]</f>
        <v>5.89</v>
      </c>
      <c r="Z759" s="4">
        <f>Sheet1[[#This Row],[Total Profit]]-Sheet1[[#This Row],[Total Shipping Cost]]</f>
        <v>-87.090999999999994</v>
      </c>
      <c r="AA759" s="4" t="str">
        <f>IF(Sheet1[[#This Row],[Net Profit]]&gt;0,"Profit","Loss")</f>
        <v>Loss</v>
      </c>
    </row>
    <row r="760" spans="1:27" x14ac:dyDescent="0.25">
      <c r="A760" t="s">
        <v>1010</v>
      </c>
      <c r="B760" s="1">
        <v>40598</v>
      </c>
      <c r="C760" s="1">
        <v>40599</v>
      </c>
      <c r="D760" t="s">
        <v>142</v>
      </c>
      <c r="E760" t="s">
        <v>736</v>
      </c>
      <c r="F760" t="s">
        <v>43</v>
      </c>
      <c r="G760" t="s">
        <v>1011</v>
      </c>
      <c r="H760" t="s">
        <v>81</v>
      </c>
      <c r="I760" t="s">
        <v>22</v>
      </c>
      <c r="J760" t="s">
        <v>22</v>
      </c>
      <c r="K760" t="s">
        <v>7</v>
      </c>
      <c r="L760" t="s">
        <v>137</v>
      </c>
      <c r="M760">
        <v>27</v>
      </c>
      <c r="N760">
        <v>4</v>
      </c>
      <c r="O760">
        <v>0</v>
      </c>
      <c r="P760">
        <v>2.2799999999999998</v>
      </c>
      <c r="Q760">
        <v>5.51</v>
      </c>
      <c r="R760" t="s">
        <v>9</v>
      </c>
      <c r="S760">
        <f>Sheet1[[#This Row],[Ship_date]]-Sheet1[[#This Row],[Order_date]]</f>
        <v>1</v>
      </c>
      <c r="T760">
        <f>Sheet1[[#This Row],[Quantity]]*Sheet1[[#This Row],[Sales]]</f>
        <v>108</v>
      </c>
      <c r="U760">
        <f>Sheet1[[#This Row],[Total Sales]]*Sheet1[[#This Row],[Discount]]</f>
        <v>0</v>
      </c>
      <c r="V760" s="4">
        <f>Sheet1[[#This Row],[Total Sales]]-Sheet1[[#This Row],[Total Sales]]*Sheet1[[#This Row],[Discount]]</f>
        <v>108</v>
      </c>
      <c r="W760" s="4">
        <f>Sheet1[[#This Row],[Quantity]]*Sheet1[[#This Row],[Profit]]</f>
        <v>9.1199999999999992</v>
      </c>
      <c r="X760" s="5">
        <f>Sheet1[[#This Row],[Total Profit]]/Sheet1[[#This Row],[Sales After Discount]]</f>
        <v>8.4444444444444433E-2</v>
      </c>
      <c r="Y760" s="4">
        <f>Sheet1[[#This Row],[Shipping_cost]]*Sheet1[[#This Row],[Quantity]]</f>
        <v>22.04</v>
      </c>
      <c r="Z760" s="4">
        <f>Sheet1[[#This Row],[Total Profit]]-Sheet1[[#This Row],[Total Shipping Cost]]</f>
        <v>-12.92</v>
      </c>
      <c r="AA760" s="4" t="str">
        <f>IF(Sheet1[[#This Row],[Net Profit]]&gt;0,"Profit","Loss")</f>
        <v>Loss</v>
      </c>
    </row>
    <row r="761" spans="1:27" x14ac:dyDescent="0.25">
      <c r="A761" t="s">
        <v>1007</v>
      </c>
      <c r="B761" s="1">
        <v>40598</v>
      </c>
      <c r="C761" s="1">
        <v>40602</v>
      </c>
      <c r="D761" t="s">
        <v>1</v>
      </c>
      <c r="E761" t="s">
        <v>1008</v>
      </c>
      <c r="F761" t="s">
        <v>43</v>
      </c>
      <c r="G761" t="s">
        <v>1009</v>
      </c>
      <c r="H761" t="s">
        <v>486</v>
      </c>
      <c r="I761" t="s">
        <v>29</v>
      </c>
      <c r="J761" t="s">
        <v>76</v>
      </c>
      <c r="K761" t="s">
        <v>38</v>
      </c>
      <c r="L761" t="s">
        <v>50</v>
      </c>
      <c r="M761">
        <v>525</v>
      </c>
      <c r="N761">
        <v>2</v>
      </c>
      <c r="O761">
        <v>0</v>
      </c>
      <c r="P761">
        <v>57.66</v>
      </c>
      <c r="Q761">
        <v>4.97</v>
      </c>
      <c r="R761" t="s">
        <v>9</v>
      </c>
      <c r="S761">
        <f>Sheet1[[#This Row],[Ship_date]]-Sheet1[[#This Row],[Order_date]]</f>
        <v>4</v>
      </c>
      <c r="T761">
        <f>Sheet1[[#This Row],[Quantity]]*Sheet1[[#This Row],[Sales]]</f>
        <v>1050</v>
      </c>
      <c r="U761">
        <f>Sheet1[[#This Row],[Total Sales]]*Sheet1[[#This Row],[Discount]]</f>
        <v>0</v>
      </c>
      <c r="V761" s="4">
        <f>Sheet1[[#This Row],[Total Sales]]-Sheet1[[#This Row],[Total Sales]]*Sheet1[[#This Row],[Discount]]</f>
        <v>1050</v>
      </c>
      <c r="W761" s="4">
        <f>Sheet1[[#This Row],[Quantity]]*Sheet1[[#This Row],[Profit]]</f>
        <v>115.32</v>
      </c>
      <c r="X761" s="5">
        <f>Sheet1[[#This Row],[Total Profit]]/Sheet1[[#This Row],[Sales After Discount]]</f>
        <v>0.10982857142857143</v>
      </c>
      <c r="Y761" s="4">
        <f>Sheet1[[#This Row],[Shipping_cost]]*Sheet1[[#This Row],[Quantity]]</f>
        <v>9.94</v>
      </c>
      <c r="Z761" s="4">
        <f>Sheet1[[#This Row],[Total Profit]]-Sheet1[[#This Row],[Total Shipping Cost]]</f>
        <v>105.38</v>
      </c>
      <c r="AA761" s="4" t="str">
        <f>IF(Sheet1[[#This Row],[Net Profit]]&gt;0,"Profit","Loss")</f>
        <v>Profit</v>
      </c>
    </row>
    <row r="762" spans="1:27" x14ac:dyDescent="0.25">
      <c r="A762" t="s">
        <v>1022</v>
      </c>
      <c r="B762" s="1">
        <v>40598</v>
      </c>
      <c r="C762" s="1">
        <v>40602</v>
      </c>
      <c r="D762" t="s">
        <v>1</v>
      </c>
      <c r="E762" t="s">
        <v>1023</v>
      </c>
      <c r="F762" t="s">
        <v>3</v>
      </c>
      <c r="G762" t="s">
        <v>870</v>
      </c>
      <c r="H762" t="s">
        <v>871</v>
      </c>
      <c r="I762" t="s">
        <v>6</v>
      </c>
      <c r="J762" t="s">
        <v>6</v>
      </c>
      <c r="K762" t="s">
        <v>38</v>
      </c>
      <c r="L762" t="s">
        <v>82</v>
      </c>
      <c r="M762">
        <v>64</v>
      </c>
      <c r="N762">
        <v>2</v>
      </c>
      <c r="O762">
        <v>0</v>
      </c>
      <c r="P762">
        <v>30.06</v>
      </c>
      <c r="Q762">
        <v>4.1500000000000004</v>
      </c>
      <c r="R762" t="s">
        <v>23</v>
      </c>
      <c r="S762">
        <f>Sheet1[[#This Row],[Ship_date]]-Sheet1[[#This Row],[Order_date]]</f>
        <v>4</v>
      </c>
      <c r="T762">
        <f>Sheet1[[#This Row],[Quantity]]*Sheet1[[#This Row],[Sales]]</f>
        <v>128</v>
      </c>
      <c r="U762">
        <f>Sheet1[[#This Row],[Total Sales]]*Sheet1[[#This Row],[Discount]]</f>
        <v>0</v>
      </c>
      <c r="V762" s="4">
        <f>Sheet1[[#This Row],[Total Sales]]-Sheet1[[#This Row],[Total Sales]]*Sheet1[[#This Row],[Discount]]</f>
        <v>128</v>
      </c>
      <c r="W762" s="4">
        <f>Sheet1[[#This Row],[Quantity]]*Sheet1[[#This Row],[Profit]]</f>
        <v>60.12</v>
      </c>
      <c r="X762" s="5">
        <f>Sheet1[[#This Row],[Total Profit]]/Sheet1[[#This Row],[Sales After Discount]]</f>
        <v>0.46968749999999998</v>
      </c>
      <c r="Y762" s="4">
        <f>Sheet1[[#This Row],[Shipping_cost]]*Sheet1[[#This Row],[Quantity]]</f>
        <v>8.3000000000000007</v>
      </c>
      <c r="Z762" s="4">
        <f>Sheet1[[#This Row],[Total Profit]]-Sheet1[[#This Row],[Total Shipping Cost]]</f>
        <v>51.819999999999993</v>
      </c>
      <c r="AA762" s="4" t="str">
        <f>IF(Sheet1[[#This Row],[Net Profit]]&gt;0,"Profit","Loss")</f>
        <v>Profit</v>
      </c>
    </row>
    <row r="763" spans="1:27" x14ac:dyDescent="0.25">
      <c r="A763" t="s">
        <v>1010</v>
      </c>
      <c r="B763" s="1">
        <v>40598</v>
      </c>
      <c r="C763" s="1">
        <v>40599</v>
      </c>
      <c r="D763" t="s">
        <v>142</v>
      </c>
      <c r="E763" t="s">
        <v>736</v>
      </c>
      <c r="F763" t="s">
        <v>43</v>
      </c>
      <c r="G763" t="s">
        <v>1011</v>
      </c>
      <c r="H763" t="s">
        <v>81</v>
      </c>
      <c r="I763" t="s">
        <v>22</v>
      </c>
      <c r="J763" t="s">
        <v>22</v>
      </c>
      <c r="K763" t="s">
        <v>7</v>
      </c>
      <c r="L763" t="s">
        <v>137</v>
      </c>
      <c r="M763">
        <v>16</v>
      </c>
      <c r="N763">
        <v>4</v>
      </c>
      <c r="O763">
        <v>0</v>
      </c>
      <c r="P763">
        <v>1.68</v>
      </c>
      <c r="Q763">
        <v>3.14</v>
      </c>
      <c r="R763" t="s">
        <v>9</v>
      </c>
      <c r="S763">
        <f>Sheet1[[#This Row],[Ship_date]]-Sheet1[[#This Row],[Order_date]]</f>
        <v>1</v>
      </c>
      <c r="T763">
        <f>Sheet1[[#This Row],[Quantity]]*Sheet1[[#This Row],[Sales]]</f>
        <v>64</v>
      </c>
      <c r="U763">
        <f>Sheet1[[#This Row],[Total Sales]]*Sheet1[[#This Row],[Discount]]</f>
        <v>0</v>
      </c>
      <c r="V763" s="4">
        <f>Sheet1[[#This Row],[Total Sales]]-Sheet1[[#This Row],[Total Sales]]*Sheet1[[#This Row],[Discount]]</f>
        <v>64</v>
      </c>
      <c r="W763" s="4">
        <f>Sheet1[[#This Row],[Quantity]]*Sheet1[[#This Row],[Profit]]</f>
        <v>6.72</v>
      </c>
      <c r="X763" s="5">
        <f>Sheet1[[#This Row],[Total Profit]]/Sheet1[[#This Row],[Sales After Discount]]</f>
        <v>0.105</v>
      </c>
      <c r="Y763" s="4">
        <f>Sheet1[[#This Row],[Shipping_cost]]*Sheet1[[#This Row],[Quantity]]</f>
        <v>12.56</v>
      </c>
      <c r="Z763" s="4">
        <f>Sheet1[[#This Row],[Total Profit]]-Sheet1[[#This Row],[Total Shipping Cost]]</f>
        <v>-5.8400000000000007</v>
      </c>
      <c r="AA763" s="4" t="str">
        <f>IF(Sheet1[[#This Row],[Net Profit]]&gt;0,"Profit","Loss")</f>
        <v>Loss</v>
      </c>
    </row>
    <row r="764" spans="1:27" x14ac:dyDescent="0.25">
      <c r="A764" t="s">
        <v>1012</v>
      </c>
      <c r="B764" s="1">
        <v>40598</v>
      </c>
      <c r="C764" s="1">
        <v>40598</v>
      </c>
      <c r="D764" t="s">
        <v>41</v>
      </c>
      <c r="E764" t="s">
        <v>1013</v>
      </c>
      <c r="F764" t="s">
        <v>3</v>
      </c>
      <c r="G764" t="s">
        <v>1014</v>
      </c>
      <c r="H764" t="s">
        <v>101</v>
      </c>
      <c r="I764" t="s">
        <v>75</v>
      </c>
      <c r="J764" t="s">
        <v>102</v>
      </c>
      <c r="K764" t="s">
        <v>7</v>
      </c>
      <c r="L764" t="s">
        <v>31</v>
      </c>
      <c r="M764">
        <v>68</v>
      </c>
      <c r="N764">
        <v>3</v>
      </c>
      <c r="O764">
        <v>0</v>
      </c>
      <c r="P764">
        <v>1.32</v>
      </c>
      <c r="Q764">
        <v>2.99</v>
      </c>
      <c r="R764" t="s">
        <v>9</v>
      </c>
      <c r="S764">
        <f>Sheet1[[#This Row],[Ship_date]]-Sheet1[[#This Row],[Order_date]]</f>
        <v>0</v>
      </c>
      <c r="T764">
        <f>Sheet1[[#This Row],[Quantity]]*Sheet1[[#This Row],[Sales]]</f>
        <v>204</v>
      </c>
      <c r="U764">
        <f>Sheet1[[#This Row],[Total Sales]]*Sheet1[[#This Row],[Discount]]</f>
        <v>0</v>
      </c>
      <c r="V764" s="4">
        <f>Sheet1[[#This Row],[Total Sales]]-Sheet1[[#This Row],[Total Sales]]*Sheet1[[#This Row],[Discount]]</f>
        <v>204</v>
      </c>
      <c r="W764" s="4">
        <f>Sheet1[[#This Row],[Quantity]]*Sheet1[[#This Row],[Profit]]</f>
        <v>3.96</v>
      </c>
      <c r="X764" s="5">
        <f>Sheet1[[#This Row],[Total Profit]]/Sheet1[[#This Row],[Sales After Discount]]</f>
        <v>1.9411764705882354E-2</v>
      </c>
      <c r="Y764" s="4">
        <f>Sheet1[[#This Row],[Shipping_cost]]*Sheet1[[#This Row],[Quantity]]</f>
        <v>8.9700000000000006</v>
      </c>
      <c r="Z764" s="4">
        <f>Sheet1[[#This Row],[Total Profit]]-Sheet1[[#This Row],[Total Shipping Cost]]</f>
        <v>-5.0100000000000007</v>
      </c>
      <c r="AA764" s="4" t="str">
        <f>IF(Sheet1[[#This Row],[Net Profit]]&gt;0,"Profit","Loss")</f>
        <v>Loss</v>
      </c>
    </row>
    <row r="765" spans="1:27" x14ac:dyDescent="0.25">
      <c r="A765" t="s">
        <v>1010</v>
      </c>
      <c r="B765" s="1">
        <v>40598</v>
      </c>
      <c r="C765" s="1">
        <v>40599</v>
      </c>
      <c r="D765" t="s">
        <v>142</v>
      </c>
      <c r="E765" t="s">
        <v>736</v>
      </c>
      <c r="F765" t="s">
        <v>43</v>
      </c>
      <c r="G765" t="s">
        <v>1011</v>
      </c>
      <c r="H765" t="s">
        <v>81</v>
      </c>
      <c r="I765" t="s">
        <v>22</v>
      </c>
      <c r="J765" t="s">
        <v>22</v>
      </c>
      <c r="K765" t="s">
        <v>7</v>
      </c>
      <c r="L765" t="s">
        <v>137</v>
      </c>
      <c r="M765">
        <v>9</v>
      </c>
      <c r="N765">
        <v>1</v>
      </c>
      <c r="O765">
        <v>0</v>
      </c>
      <c r="P765">
        <v>4.05</v>
      </c>
      <c r="Q765">
        <v>1.04</v>
      </c>
      <c r="R765" t="s">
        <v>9</v>
      </c>
      <c r="S765">
        <f>Sheet1[[#This Row],[Ship_date]]-Sheet1[[#This Row],[Order_date]]</f>
        <v>1</v>
      </c>
      <c r="T765">
        <f>Sheet1[[#This Row],[Quantity]]*Sheet1[[#This Row],[Sales]]</f>
        <v>9</v>
      </c>
      <c r="U765">
        <f>Sheet1[[#This Row],[Total Sales]]*Sheet1[[#This Row],[Discount]]</f>
        <v>0</v>
      </c>
      <c r="V765" s="4">
        <f>Sheet1[[#This Row],[Total Sales]]-Sheet1[[#This Row],[Total Sales]]*Sheet1[[#This Row],[Discount]]</f>
        <v>9</v>
      </c>
      <c r="W765" s="4">
        <f>Sheet1[[#This Row],[Quantity]]*Sheet1[[#This Row],[Profit]]</f>
        <v>4.05</v>
      </c>
      <c r="X765" s="5">
        <f>Sheet1[[#This Row],[Total Profit]]/Sheet1[[#This Row],[Sales After Discount]]</f>
        <v>0.44999999999999996</v>
      </c>
      <c r="Y765" s="4">
        <f>Sheet1[[#This Row],[Shipping_cost]]*Sheet1[[#This Row],[Quantity]]</f>
        <v>1.04</v>
      </c>
      <c r="Z765" s="4">
        <f>Sheet1[[#This Row],[Total Profit]]-Sheet1[[#This Row],[Total Shipping Cost]]</f>
        <v>3.01</v>
      </c>
      <c r="AA765" s="4" t="str">
        <f>IF(Sheet1[[#This Row],[Net Profit]]&gt;0,"Profit","Loss")</f>
        <v>Profit</v>
      </c>
    </row>
    <row r="766" spans="1:27" x14ac:dyDescent="0.25">
      <c r="A766" t="s">
        <v>1024</v>
      </c>
      <c r="B766" s="1">
        <v>40598</v>
      </c>
      <c r="C766" s="1">
        <v>40602</v>
      </c>
      <c r="D766" t="s">
        <v>1</v>
      </c>
      <c r="E766" t="s">
        <v>1025</v>
      </c>
      <c r="F766" t="s">
        <v>26</v>
      </c>
      <c r="G766" t="s">
        <v>125</v>
      </c>
      <c r="H766" t="s">
        <v>126</v>
      </c>
      <c r="I766" t="s">
        <v>127</v>
      </c>
      <c r="J766" t="s">
        <v>76</v>
      </c>
      <c r="K766" t="s">
        <v>7</v>
      </c>
      <c r="L766" t="s">
        <v>87</v>
      </c>
      <c r="M766">
        <v>7</v>
      </c>
      <c r="N766">
        <v>3</v>
      </c>
      <c r="O766">
        <v>0.2</v>
      </c>
      <c r="P766">
        <v>2.3409</v>
      </c>
      <c r="Q766">
        <v>0.5</v>
      </c>
      <c r="R766" t="s">
        <v>9</v>
      </c>
      <c r="S766">
        <f>Sheet1[[#This Row],[Ship_date]]-Sheet1[[#This Row],[Order_date]]</f>
        <v>4</v>
      </c>
      <c r="T766">
        <f>Sheet1[[#This Row],[Quantity]]*Sheet1[[#This Row],[Sales]]</f>
        <v>21</v>
      </c>
      <c r="U766">
        <f>Sheet1[[#This Row],[Total Sales]]*Sheet1[[#This Row],[Discount]]</f>
        <v>4.2</v>
      </c>
      <c r="V766" s="4">
        <f>Sheet1[[#This Row],[Total Sales]]-Sheet1[[#This Row],[Total Sales]]*Sheet1[[#This Row],[Discount]]</f>
        <v>16.8</v>
      </c>
      <c r="W766" s="4">
        <f>Sheet1[[#This Row],[Quantity]]*Sheet1[[#This Row],[Profit]]</f>
        <v>7.0227000000000004</v>
      </c>
      <c r="X766" s="5">
        <f>Sheet1[[#This Row],[Total Profit]]/Sheet1[[#This Row],[Sales After Discount]]</f>
        <v>0.41801785714285716</v>
      </c>
      <c r="Y766" s="4">
        <f>Sheet1[[#This Row],[Shipping_cost]]*Sheet1[[#This Row],[Quantity]]</f>
        <v>1.5</v>
      </c>
      <c r="Z766" s="4">
        <f>Sheet1[[#This Row],[Total Profit]]-Sheet1[[#This Row],[Total Shipping Cost]]</f>
        <v>5.5227000000000004</v>
      </c>
      <c r="AA766" s="4" t="str">
        <f>IF(Sheet1[[#This Row],[Net Profit]]&gt;0,"Profit","Loss")</f>
        <v>Profit</v>
      </c>
    </row>
    <row r="767" spans="1:27" x14ac:dyDescent="0.25">
      <c r="A767" t="s">
        <v>1021</v>
      </c>
      <c r="B767" s="1">
        <v>40598</v>
      </c>
      <c r="C767" s="1">
        <v>40601</v>
      </c>
      <c r="D767" t="s">
        <v>142</v>
      </c>
      <c r="E767" t="s">
        <v>672</v>
      </c>
      <c r="F767" t="s">
        <v>43</v>
      </c>
      <c r="G767" t="s">
        <v>222</v>
      </c>
      <c r="H767" t="s">
        <v>223</v>
      </c>
      <c r="I767" t="s">
        <v>6</v>
      </c>
      <c r="J767" t="s">
        <v>6</v>
      </c>
      <c r="K767" t="s">
        <v>7</v>
      </c>
      <c r="L767" t="s">
        <v>31</v>
      </c>
      <c r="M767">
        <v>4</v>
      </c>
      <c r="N767">
        <v>1</v>
      </c>
      <c r="O767">
        <v>0.7</v>
      </c>
      <c r="P767">
        <v>-7.3979999999999997</v>
      </c>
      <c r="Q767">
        <v>0.27</v>
      </c>
      <c r="R767" t="s">
        <v>23</v>
      </c>
      <c r="S767">
        <f>Sheet1[[#This Row],[Ship_date]]-Sheet1[[#This Row],[Order_date]]</f>
        <v>3</v>
      </c>
      <c r="T767">
        <f>Sheet1[[#This Row],[Quantity]]*Sheet1[[#This Row],[Sales]]</f>
        <v>4</v>
      </c>
      <c r="U767">
        <f>Sheet1[[#This Row],[Total Sales]]*Sheet1[[#This Row],[Discount]]</f>
        <v>2.8</v>
      </c>
      <c r="V767" s="4">
        <f>Sheet1[[#This Row],[Total Sales]]-Sheet1[[#This Row],[Total Sales]]*Sheet1[[#This Row],[Discount]]</f>
        <v>1.2000000000000002</v>
      </c>
      <c r="W767" s="4">
        <f>Sheet1[[#This Row],[Quantity]]*Sheet1[[#This Row],[Profit]]</f>
        <v>-7.3979999999999997</v>
      </c>
      <c r="X767" s="5">
        <f>Sheet1[[#This Row],[Total Profit]]/Sheet1[[#This Row],[Sales After Discount]]</f>
        <v>-6.1649999999999991</v>
      </c>
      <c r="Y767" s="4">
        <f>Sheet1[[#This Row],[Shipping_cost]]*Sheet1[[#This Row],[Quantity]]</f>
        <v>0.27</v>
      </c>
      <c r="Z767" s="4">
        <f>Sheet1[[#This Row],[Total Profit]]-Sheet1[[#This Row],[Total Shipping Cost]]</f>
        <v>-7.6679999999999993</v>
      </c>
      <c r="AA767" s="4" t="str">
        <f>IF(Sheet1[[#This Row],[Net Profit]]&gt;0,"Profit","Loss")</f>
        <v>Loss</v>
      </c>
    </row>
    <row r="768" spans="1:27" x14ac:dyDescent="0.25">
      <c r="A768" t="s">
        <v>1024</v>
      </c>
      <c r="B768" s="1">
        <v>40598</v>
      </c>
      <c r="C768" s="1">
        <v>40602</v>
      </c>
      <c r="D768" t="s">
        <v>1</v>
      </c>
      <c r="E768" t="s">
        <v>1025</v>
      </c>
      <c r="F768" t="s">
        <v>26</v>
      </c>
      <c r="G768" t="s">
        <v>125</v>
      </c>
      <c r="H768" t="s">
        <v>126</v>
      </c>
      <c r="I768" t="s">
        <v>127</v>
      </c>
      <c r="J768" t="s">
        <v>76</v>
      </c>
      <c r="K768" t="s">
        <v>7</v>
      </c>
      <c r="L768" t="s">
        <v>137</v>
      </c>
      <c r="M768">
        <v>4</v>
      </c>
      <c r="N768">
        <v>3</v>
      </c>
      <c r="O768">
        <v>0.8</v>
      </c>
      <c r="P768">
        <v>-6.8634000000000004</v>
      </c>
      <c r="Q768">
        <v>0.23</v>
      </c>
      <c r="R768" t="s">
        <v>9</v>
      </c>
      <c r="S768">
        <f>Sheet1[[#This Row],[Ship_date]]-Sheet1[[#This Row],[Order_date]]</f>
        <v>4</v>
      </c>
      <c r="T768">
        <f>Sheet1[[#This Row],[Quantity]]*Sheet1[[#This Row],[Sales]]</f>
        <v>12</v>
      </c>
      <c r="U768">
        <f>Sheet1[[#This Row],[Total Sales]]*Sheet1[[#This Row],[Discount]]</f>
        <v>9.6000000000000014</v>
      </c>
      <c r="V768" s="4">
        <f>Sheet1[[#This Row],[Total Sales]]-Sheet1[[#This Row],[Total Sales]]*Sheet1[[#This Row],[Discount]]</f>
        <v>2.3999999999999986</v>
      </c>
      <c r="W768" s="4">
        <f>Sheet1[[#This Row],[Quantity]]*Sheet1[[#This Row],[Profit]]</f>
        <v>-20.590200000000003</v>
      </c>
      <c r="X768" s="5">
        <f>Sheet1[[#This Row],[Total Profit]]/Sheet1[[#This Row],[Sales After Discount]]</f>
        <v>-8.5792500000000071</v>
      </c>
      <c r="Y768" s="4">
        <f>Sheet1[[#This Row],[Shipping_cost]]*Sheet1[[#This Row],[Quantity]]</f>
        <v>0.69000000000000006</v>
      </c>
      <c r="Z768" s="4">
        <f>Sheet1[[#This Row],[Total Profit]]-Sheet1[[#This Row],[Total Shipping Cost]]</f>
        <v>-21.280200000000004</v>
      </c>
      <c r="AA768" s="4" t="str">
        <f>IF(Sheet1[[#This Row],[Net Profit]]&gt;0,"Profit","Loss")</f>
        <v>Loss</v>
      </c>
    </row>
    <row r="769" spans="1:27" x14ac:dyDescent="0.25">
      <c r="A769" t="s">
        <v>1026</v>
      </c>
      <c r="B769" s="1">
        <v>40599</v>
      </c>
      <c r="C769" s="1">
        <v>40599</v>
      </c>
      <c r="D769" t="s">
        <v>41</v>
      </c>
      <c r="E769" t="s">
        <v>1027</v>
      </c>
      <c r="F769" t="s">
        <v>3</v>
      </c>
      <c r="G769" t="s">
        <v>195</v>
      </c>
      <c r="H769" t="s">
        <v>5</v>
      </c>
      <c r="I769" t="s">
        <v>6</v>
      </c>
      <c r="J769" t="s">
        <v>6</v>
      </c>
      <c r="K769" t="s">
        <v>38</v>
      </c>
      <c r="L769" t="s">
        <v>39</v>
      </c>
      <c r="M769">
        <v>613</v>
      </c>
      <c r="N769">
        <v>2</v>
      </c>
      <c r="O769">
        <v>0</v>
      </c>
      <c r="P769">
        <v>202.32</v>
      </c>
      <c r="Q769">
        <v>241.33</v>
      </c>
      <c r="R769" t="s">
        <v>45</v>
      </c>
      <c r="S769">
        <f>Sheet1[[#This Row],[Ship_date]]-Sheet1[[#This Row],[Order_date]]</f>
        <v>0</v>
      </c>
      <c r="T769">
        <f>Sheet1[[#This Row],[Quantity]]*Sheet1[[#This Row],[Sales]]</f>
        <v>1226</v>
      </c>
      <c r="U769">
        <f>Sheet1[[#This Row],[Total Sales]]*Sheet1[[#This Row],[Discount]]</f>
        <v>0</v>
      </c>
      <c r="V769" s="4">
        <f>Sheet1[[#This Row],[Total Sales]]-Sheet1[[#This Row],[Total Sales]]*Sheet1[[#This Row],[Discount]]</f>
        <v>1226</v>
      </c>
      <c r="W769" s="4">
        <f>Sheet1[[#This Row],[Quantity]]*Sheet1[[#This Row],[Profit]]</f>
        <v>404.64</v>
      </c>
      <c r="X769" s="5">
        <f>Sheet1[[#This Row],[Total Profit]]/Sheet1[[#This Row],[Sales After Discount]]</f>
        <v>0.33004893964110926</v>
      </c>
      <c r="Y769" s="4">
        <f>Sheet1[[#This Row],[Shipping_cost]]*Sheet1[[#This Row],[Quantity]]</f>
        <v>482.66</v>
      </c>
      <c r="Z769" s="4">
        <f>Sheet1[[#This Row],[Total Profit]]-Sheet1[[#This Row],[Total Shipping Cost]]</f>
        <v>-78.020000000000039</v>
      </c>
      <c r="AA769" s="4" t="str">
        <f>IF(Sheet1[[#This Row],[Net Profit]]&gt;0,"Profit","Loss")</f>
        <v>Loss</v>
      </c>
    </row>
    <row r="770" spans="1:27" x14ac:dyDescent="0.25">
      <c r="A770" t="s">
        <v>1028</v>
      </c>
      <c r="B770" s="1">
        <v>40599</v>
      </c>
      <c r="C770" s="1">
        <v>40605</v>
      </c>
      <c r="D770" t="s">
        <v>1</v>
      </c>
      <c r="E770" t="s">
        <v>1029</v>
      </c>
      <c r="F770" t="s">
        <v>3</v>
      </c>
      <c r="G770" t="s">
        <v>685</v>
      </c>
      <c r="H770" t="s">
        <v>169</v>
      </c>
      <c r="I770" t="s">
        <v>14</v>
      </c>
      <c r="J770" t="s">
        <v>132</v>
      </c>
      <c r="K770" t="s">
        <v>38</v>
      </c>
      <c r="L770" t="s">
        <v>77</v>
      </c>
      <c r="M770">
        <v>1527</v>
      </c>
      <c r="N770">
        <v>9</v>
      </c>
      <c r="O770">
        <v>0</v>
      </c>
      <c r="P770">
        <v>656.64</v>
      </c>
      <c r="Q770">
        <v>172.32</v>
      </c>
      <c r="R770" t="s">
        <v>9</v>
      </c>
      <c r="S770">
        <f>Sheet1[[#This Row],[Ship_date]]-Sheet1[[#This Row],[Order_date]]</f>
        <v>6</v>
      </c>
      <c r="T770">
        <f>Sheet1[[#This Row],[Quantity]]*Sheet1[[#This Row],[Sales]]</f>
        <v>13743</v>
      </c>
      <c r="U770">
        <f>Sheet1[[#This Row],[Total Sales]]*Sheet1[[#This Row],[Discount]]</f>
        <v>0</v>
      </c>
      <c r="V770" s="4">
        <f>Sheet1[[#This Row],[Total Sales]]-Sheet1[[#This Row],[Total Sales]]*Sheet1[[#This Row],[Discount]]</f>
        <v>13743</v>
      </c>
      <c r="W770" s="4">
        <f>Sheet1[[#This Row],[Quantity]]*Sheet1[[#This Row],[Profit]]</f>
        <v>5909.76</v>
      </c>
      <c r="X770" s="5">
        <f>Sheet1[[#This Row],[Total Profit]]/Sheet1[[#This Row],[Sales After Discount]]</f>
        <v>0.43001964636542239</v>
      </c>
      <c r="Y770" s="4">
        <f>Sheet1[[#This Row],[Shipping_cost]]*Sheet1[[#This Row],[Quantity]]</f>
        <v>1550.8799999999999</v>
      </c>
      <c r="Z770" s="4">
        <f>Sheet1[[#This Row],[Total Profit]]-Sheet1[[#This Row],[Total Shipping Cost]]</f>
        <v>4358.88</v>
      </c>
      <c r="AA770" s="4" t="str">
        <f>IF(Sheet1[[#This Row],[Net Profit]]&gt;0,"Profit","Loss")</f>
        <v>Profit</v>
      </c>
    </row>
    <row r="771" spans="1:27" x14ac:dyDescent="0.25">
      <c r="A771" t="s">
        <v>1026</v>
      </c>
      <c r="B771" s="1">
        <v>40599</v>
      </c>
      <c r="C771" s="1">
        <v>40599</v>
      </c>
      <c r="D771" t="s">
        <v>41</v>
      </c>
      <c r="E771" t="s">
        <v>1027</v>
      </c>
      <c r="F771" t="s">
        <v>3</v>
      </c>
      <c r="G771" t="s">
        <v>195</v>
      </c>
      <c r="H771" t="s">
        <v>5</v>
      </c>
      <c r="I771" t="s">
        <v>6</v>
      </c>
      <c r="J771" t="s">
        <v>6</v>
      </c>
      <c r="K771" t="s">
        <v>7</v>
      </c>
      <c r="L771" t="s">
        <v>8</v>
      </c>
      <c r="M771">
        <v>394</v>
      </c>
      <c r="N771">
        <v>2</v>
      </c>
      <c r="O771">
        <v>0</v>
      </c>
      <c r="P771">
        <v>78.78</v>
      </c>
      <c r="Q771">
        <v>110.6</v>
      </c>
      <c r="R771" t="s">
        <v>45</v>
      </c>
      <c r="S771">
        <f>Sheet1[[#This Row],[Ship_date]]-Sheet1[[#This Row],[Order_date]]</f>
        <v>0</v>
      </c>
      <c r="T771">
        <f>Sheet1[[#This Row],[Quantity]]*Sheet1[[#This Row],[Sales]]</f>
        <v>788</v>
      </c>
      <c r="U771">
        <f>Sheet1[[#This Row],[Total Sales]]*Sheet1[[#This Row],[Discount]]</f>
        <v>0</v>
      </c>
      <c r="V771" s="4">
        <f>Sheet1[[#This Row],[Total Sales]]-Sheet1[[#This Row],[Total Sales]]*Sheet1[[#This Row],[Discount]]</f>
        <v>788</v>
      </c>
      <c r="W771" s="4">
        <f>Sheet1[[#This Row],[Quantity]]*Sheet1[[#This Row],[Profit]]</f>
        <v>157.56</v>
      </c>
      <c r="X771" s="5">
        <f>Sheet1[[#This Row],[Total Profit]]/Sheet1[[#This Row],[Sales After Discount]]</f>
        <v>0.19994923857868022</v>
      </c>
      <c r="Y771" s="4">
        <f>Sheet1[[#This Row],[Shipping_cost]]*Sheet1[[#This Row],[Quantity]]</f>
        <v>221.2</v>
      </c>
      <c r="Z771" s="4">
        <f>Sheet1[[#This Row],[Total Profit]]-Sheet1[[#This Row],[Total Shipping Cost]]</f>
        <v>-63.639999999999986</v>
      </c>
      <c r="AA771" s="4" t="str">
        <f>IF(Sheet1[[#This Row],[Net Profit]]&gt;0,"Profit","Loss")</f>
        <v>Loss</v>
      </c>
    </row>
    <row r="772" spans="1:27" x14ac:dyDescent="0.25">
      <c r="A772" t="s">
        <v>1026</v>
      </c>
      <c r="B772" s="1">
        <v>40599</v>
      </c>
      <c r="C772" s="1">
        <v>40599</v>
      </c>
      <c r="D772" t="s">
        <v>41</v>
      </c>
      <c r="E772" t="s">
        <v>1027</v>
      </c>
      <c r="F772" t="s">
        <v>3</v>
      </c>
      <c r="G772" t="s">
        <v>195</v>
      </c>
      <c r="H772" t="s">
        <v>5</v>
      </c>
      <c r="I772" t="s">
        <v>6</v>
      </c>
      <c r="J772" t="s">
        <v>6</v>
      </c>
      <c r="K772" t="s">
        <v>7</v>
      </c>
      <c r="L772" t="s">
        <v>31</v>
      </c>
      <c r="M772">
        <v>339</v>
      </c>
      <c r="N772">
        <v>10</v>
      </c>
      <c r="O772">
        <v>0</v>
      </c>
      <c r="P772">
        <v>37.200000000000003</v>
      </c>
      <c r="Q772">
        <v>27.29</v>
      </c>
      <c r="R772" t="s">
        <v>45</v>
      </c>
      <c r="S772">
        <f>Sheet1[[#This Row],[Ship_date]]-Sheet1[[#This Row],[Order_date]]</f>
        <v>0</v>
      </c>
      <c r="T772">
        <f>Sheet1[[#This Row],[Quantity]]*Sheet1[[#This Row],[Sales]]</f>
        <v>3390</v>
      </c>
      <c r="U772">
        <f>Sheet1[[#This Row],[Total Sales]]*Sheet1[[#This Row],[Discount]]</f>
        <v>0</v>
      </c>
      <c r="V772" s="4">
        <f>Sheet1[[#This Row],[Total Sales]]-Sheet1[[#This Row],[Total Sales]]*Sheet1[[#This Row],[Discount]]</f>
        <v>3390</v>
      </c>
      <c r="W772" s="4">
        <f>Sheet1[[#This Row],[Quantity]]*Sheet1[[#This Row],[Profit]]</f>
        <v>372</v>
      </c>
      <c r="X772" s="5">
        <f>Sheet1[[#This Row],[Total Profit]]/Sheet1[[#This Row],[Sales After Discount]]</f>
        <v>0.10973451327433628</v>
      </c>
      <c r="Y772" s="4">
        <f>Sheet1[[#This Row],[Shipping_cost]]*Sheet1[[#This Row],[Quantity]]</f>
        <v>272.89999999999998</v>
      </c>
      <c r="Z772" s="4">
        <f>Sheet1[[#This Row],[Total Profit]]-Sheet1[[#This Row],[Total Shipping Cost]]</f>
        <v>99.100000000000023</v>
      </c>
      <c r="AA772" s="4" t="str">
        <f>IF(Sheet1[[#This Row],[Net Profit]]&gt;0,"Profit","Loss")</f>
        <v>Profit</v>
      </c>
    </row>
    <row r="773" spans="1:27" x14ac:dyDescent="0.25">
      <c r="A773" t="s">
        <v>1026</v>
      </c>
      <c r="B773" s="1">
        <v>40599</v>
      </c>
      <c r="C773" s="1">
        <v>40599</v>
      </c>
      <c r="D773" t="s">
        <v>41</v>
      </c>
      <c r="E773" t="s">
        <v>1027</v>
      </c>
      <c r="F773" t="s">
        <v>3</v>
      </c>
      <c r="G773" t="s">
        <v>195</v>
      </c>
      <c r="H773" t="s">
        <v>5</v>
      </c>
      <c r="I773" t="s">
        <v>6</v>
      </c>
      <c r="J773" t="s">
        <v>6</v>
      </c>
      <c r="K773" t="s">
        <v>7</v>
      </c>
      <c r="L773" t="s">
        <v>97</v>
      </c>
      <c r="M773">
        <v>54</v>
      </c>
      <c r="N773">
        <v>4</v>
      </c>
      <c r="O773">
        <v>0</v>
      </c>
      <c r="P773">
        <v>12.84</v>
      </c>
      <c r="Q773">
        <v>22.06</v>
      </c>
      <c r="R773" t="s">
        <v>45</v>
      </c>
      <c r="S773">
        <f>Sheet1[[#This Row],[Ship_date]]-Sheet1[[#This Row],[Order_date]]</f>
        <v>0</v>
      </c>
      <c r="T773">
        <f>Sheet1[[#This Row],[Quantity]]*Sheet1[[#This Row],[Sales]]</f>
        <v>216</v>
      </c>
      <c r="U773">
        <f>Sheet1[[#This Row],[Total Sales]]*Sheet1[[#This Row],[Discount]]</f>
        <v>0</v>
      </c>
      <c r="V773" s="4">
        <f>Sheet1[[#This Row],[Total Sales]]-Sheet1[[#This Row],[Total Sales]]*Sheet1[[#This Row],[Discount]]</f>
        <v>216</v>
      </c>
      <c r="W773" s="4">
        <f>Sheet1[[#This Row],[Quantity]]*Sheet1[[#This Row],[Profit]]</f>
        <v>51.36</v>
      </c>
      <c r="X773" s="5">
        <f>Sheet1[[#This Row],[Total Profit]]/Sheet1[[#This Row],[Sales After Discount]]</f>
        <v>0.23777777777777778</v>
      </c>
      <c r="Y773" s="4">
        <f>Sheet1[[#This Row],[Shipping_cost]]*Sheet1[[#This Row],[Quantity]]</f>
        <v>88.24</v>
      </c>
      <c r="Z773" s="4">
        <f>Sheet1[[#This Row],[Total Profit]]-Sheet1[[#This Row],[Total Shipping Cost]]</f>
        <v>-36.879999999999995</v>
      </c>
      <c r="AA773" s="4" t="str">
        <f>IF(Sheet1[[#This Row],[Net Profit]]&gt;0,"Profit","Loss")</f>
        <v>Loss</v>
      </c>
    </row>
    <row r="774" spans="1:27" x14ac:dyDescent="0.25">
      <c r="A774" t="s">
        <v>1030</v>
      </c>
      <c r="B774" s="1">
        <v>40599</v>
      </c>
      <c r="C774" s="1">
        <v>40602</v>
      </c>
      <c r="D774" t="s">
        <v>18</v>
      </c>
      <c r="E774" t="s">
        <v>1031</v>
      </c>
      <c r="F774" t="s">
        <v>3</v>
      </c>
      <c r="G774" t="s">
        <v>1032</v>
      </c>
      <c r="H774" t="s">
        <v>110</v>
      </c>
      <c r="I774" t="s">
        <v>75</v>
      </c>
      <c r="J774" t="s">
        <v>111</v>
      </c>
      <c r="K774" t="s">
        <v>32</v>
      </c>
      <c r="L774" t="s">
        <v>33</v>
      </c>
      <c r="M774">
        <v>57</v>
      </c>
      <c r="N774">
        <v>3</v>
      </c>
      <c r="O774">
        <v>0</v>
      </c>
      <c r="P774">
        <v>6.84</v>
      </c>
      <c r="Q774">
        <v>20.100000000000001</v>
      </c>
      <c r="R774" t="s">
        <v>45</v>
      </c>
      <c r="S774">
        <f>Sheet1[[#This Row],[Ship_date]]-Sheet1[[#This Row],[Order_date]]</f>
        <v>3</v>
      </c>
      <c r="T774">
        <f>Sheet1[[#This Row],[Quantity]]*Sheet1[[#This Row],[Sales]]</f>
        <v>171</v>
      </c>
      <c r="U774">
        <f>Sheet1[[#This Row],[Total Sales]]*Sheet1[[#This Row],[Discount]]</f>
        <v>0</v>
      </c>
      <c r="V774" s="4">
        <f>Sheet1[[#This Row],[Total Sales]]-Sheet1[[#This Row],[Total Sales]]*Sheet1[[#This Row],[Discount]]</f>
        <v>171</v>
      </c>
      <c r="W774" s="4">
        <f>Sheet1[[#This Row],[Quantity]]*Sheet1[[#This Row],[Profit]]</f>
        <v>20.52</v>
      </c>
      <c r="X774" s="5">
        <f>Sheet1[[#This Row],[Total Profit]]/Sheet1[[#This Row],[Sales After Discount]]</f>
        <v>0.12</v>
      </c>
      <c r="Y774" s="4">
        <f>Sheet1[[#This Row],[Shipping_cost]]*Sheet1[[#This Row],[Quantity]]</f>
        <v>60.300000000000004</v>
      </c>
      <c r="Z774" s="4">
        <f>Sheet1[[#This Row],[Total Profit]]-Sheet1[[#This Row],[Total Shipping Cost]]</f>
        <v>-39.78</v>
      </c>
      <c r="AA774" s="4" t="str">
        <f>IF(Sheet1[[#This Row],[Net Profit]]&gt;0,"Profit","Loss")</f>
        <v>Loss</v>
      </c>
    </row>
    <row r="775" spans="1:27" x14ac:dyDescent="0.25">
      <c r="A775" t="s">
        <v>1033</v>
      </c>
      <c r="B775" s="1">
        <v>40599</v>
      </c>
      <c r="C775" s="1">
        <v>40601</v>
      </c>
      <c r="D775" t="s">
        <v>18</v>
      </c>
      <c r="E775" t="s">
        <v>1034</v>
      </c>
      <c r="F775" t="s">
        <v>26</v>
      </c>
      <c r="G775" t="s">
        <v>1035</v>
      </c>
      <c r="H775" t="s">
        <v>893</v>
      </c>
      <c r="I775" t="s">
        <v>6</v>
      </c>
      <c r="J775" t="s">
        <v>6</v>
      </c>
      <c r="K775" t="s">
        <v>7</v>
      </c>
      <c r="L775" t="s">
        <v>97</v>
      </c>
      <c r="M775">
        <v>98</v>
      </c>
      <c r="N775">
        <v>6</v>
      </c>
      <c r="O775">
        <v>0</v>
      </c>
      <c r="P775">
        <v>34.200000000000003</v>
      </c>
      <c r="Q775">
        <v>18.739999999999998</v>
      </c>
      <c r="R775" t="s">
        <v>23</v>
      </c>
      <c r="S775">
        <f>Sheet1[[#This Row],[Ship_date]]-Sheet1[[#This Row],[Order_date]]</f>
        <v>2</v>
      </c>
      <c r="T775">
        <f>Sheet1[[#This Row],[Quantity]]*Sheet1[[#This Row],[Sales]]</f>
        <v>588</v>
      </c>
      <c r="U775">
        <f>Sheet1[[#This Row],[Total Sales]]*Sheet1[[#This Row],[Discount]]</f>
        <v>0</v>
      </c>
      <c r="V775" s="4">
        <f>Sheet1[[#This Row],[Total Sales]]-Sheet1[[#This Row],[Total Sales]]*Sheet1[[#This Row],[Discount]]</f>
        <v>588</v>
      </c>
      <c r="W775" s="4">
        <f>Sheet1[[#This Row],[Quantity]]*Sheet1[[#This Row],[Profit]]</f>
        <v>205.20000000000002</v>
      </c>
      <c r="X775" s="5">
        <f>Sheet1[[#This Row],[Total Profit]]/Sheet1[[#This Row],[Sales After Discount]]</f>
        <v>0.34897959183673471</v>
      </c>
      <c r="Y775" s="4">
        <f>Sheet1[[#This Row],[Shipping_cost]]*Sheet1[[#This Row],[Quantity]]</f>
        <v>112.44</v>
      </c>
      <c r="Z775" s="4">
        <f>Sheet1[[#This Row],[Total Profit]]-Sheet1[[#This Row],[Total Shipping Cost]]</f>
        <v>92.760000000000019</v>
      </c>
      <c r="AA775" s="4" t="str">
        <f>IF(Sheet1[[#This Row],[Net Profit]]&gt;0,"Profit","Loss")</f>
        <v>Profit</v>
      </c>
    </row>
    <row r="776" spans="1:27" x14ac:dyDescent="0.25">
      <c r="A776" t="s">
        <v>1036</v>
      </c>
      <c r="B776" s="1">
        <v>40599</v>
      </c>
      <c r="C776" s="1">
        <v>40603</v>
      </c>
      <c r="D776" t="s">
        <v>1</v>
      </c>
      <c r="E776" t="s">
        <v>1037</v>
      </c>
      <c r="F776" t="s">
        <v>3</v>
      </c>
      <c r="G776" t="s">
        <v>74</v>
      </c>
      <c r="H776" t="s">
        <v>74</v>
      </c>
      <c r="I776" t="s">
        <v>75</v>
      </c>
      <c r="J776" t="s">
        <v>76</v>
      </c>
      <c r="K776" t="s">
        <v>38</v>
      </c>
      <c r="L776" t="s">
        <v>50</v>
      </c>
      <c r="M776">
        <v>232</v>
      </c>
      <c r="N776">
        <v>2</v>
      </c>
      <c r="O776">
        <v>2E-3</v>
      </c>
      <c r="P776">
        <v>43.695120000000003</v>
      </c>
      <c r="Q776">
        <v>14.26</v>
      </c>
      <c r="R776" t="s">
        <v>9</v>
      </c>
      <c r="S776">
        <f>Sheet1[[#This Row],[Ship_date]]-Sheet1[[#This Row],[Order_date]]</f>
        <v>4</v>
      </c>
      <c r="T776">
        <f>Sheet1[[#This Row],[Quantity]]*Sheet1[[#This Row],[Sales]]</f>
        <v>464</v>
      </c>
      <c r="U776">
        <f>Sheet1[[#This Row],[Total Sales]]*Sheet1[[#This Row],[Discount]]</f>
        <v>0.92800000000000005</v>
      </c>
      <c r="V776" s="4">
        <f>Sheet1[[#This Row],[Total Sales]]-Sheet1[[#This Row],[Total Sales]]*Sheet1[[#This Row],[Discount]]</f>
        <v>463.072</v>
      </c>
      <c r="W776" s="4">
        <f>Sheet1[[#This Row],[Quantity]]*Sheet1[[#This Row],[Profit]]</f>
        <v>87.390240000000006</v>
      </c>
      <c r="X776" s="5">
        <f>Sheet1[[#This Row],[Total Profit]]/Sheet1[[#This Row],[Sales After Discount]]</f>
        <v>0.18871847142560985</v>
      </c>
      <c r="Y776" s="4">
        <f>Sheet1[[#This Row],[Shipping_cost]]*Sheet1[[#This Row],[Quantity]]</f>
        <v>28.52</v>
      </c>
      <c r="Z776" s="4">
        <f>Sheet1[[#This Row],[Total Profit]]-Sheet1[[#This Row],[Total Shipping Cost]]</f>
        <v>58.87024000000001</v>
      </c>
      <c r="AA776" s="4" t="str">
        <f>IF(Sheet1[[#This Row],[Net Profit]]&gt;0,"Profit","Loss")</f>
        <v>Profit</v>
      </c>
    </row>
    <row r="777" spans="1:27" x14ac:dyDescent="0.25">
      <c r="A777" t="s">
        <v>1038</v>
      </c>
      <c r="B777" s="1">
        <v>40599</v>
      </c>
      <c r="C777" s="1">
        <v>40604</v>
      </c>
      <c r="D777" t="s">
        <v>1</v>
      </c>
      <c r="E777" t="s">
        <v>139</v>
      </c>
      <c r="F777" t="s">
        <v>3</v>
      </c>
      <c r="G777" t="s">
        <v>426</v>
      </c>
      <c r="H777" t="s">
        <v>126</v>
      </c>
      <c r="I777" t="s">
        <v>127</v>
      </c>
      <c r="J777" t="s">
        <v>192</v>
      </c>
      <c r="K777" t="s">
        <v>7</v>
      </c>
      <c r="L777" t="s">
        <v>31</v>
      </c>
      <c r="M777">
        <v>33</v>
      </c>
      <c r="N777">
        <v>4</v>
      </c>
      <c r="O777">
        <v>0.2</v>
      </c>
      <c r="P777">
        <v>11.102399999999999</v>
      </c>
      <c r="Q777">
        <v>2.37</v>
      </c>
      <c r="R777" t="s">
        <v>23</v>
      </c>
      <c r="S777">
        <f>Sheet1[[#This Row],[Ship_date]]-Sheet1[[#This Row],[Order_date]]</f>
        <v>5</v>
      </c>
      <c r="T777">
        <f>Sheet1[[#This Row],[Quantity]]*Sheet1[[#This Row],[Sales]]</f>
        <v>132</v>
      </c>
      <c r="U777">
        <f>Sheet1[[#This Row],[Total Sales]]*Sheet1[[#This Row],[Discount]]</f>
        <v>26.400000000000002</v>
      </c>
      <c r="V777" s="4">
        <f>Sheet1[[#This Row],[Total Sales]]-Sheet1[[#This Row],[Total Sales]]*Sheet1[[#This Row],[Discount]]</f>
        <v>105.6</v>
      </c>
      <c r="W777" s="4">
        <f>Sheet1[[#This Row],[Quantity]]*Sheet1[[#This Row],[Profit]]</f>
        <v>44.409599999999998</v>
      </c>
      <c r="X777" s="5">
        <f>Sheet1[[#This Row],[Total Profit]]/Sheet1[[#This Row],[Sales After Discount]]</f>
        <v>0.42054545454545456</v>
      </c>
      <c r="Y777" s="4">
        <f>Sheet1[[#This Row],[Shipping_cost]]*Sheet1[[#This Row],[Quantity]]</f>
        <v>9.48</v>
      </c>
      <c r="Z777" s="4">
        <f>Sheet1[[#This Row],[Total Profit]]-Sheet1[[#This Row],[Total Shipping Cost]]</f>
        <v>34.929599999999994</v>
      </c>
      <c r="AA777" s="4" t="str">
        <f>IF(Sheet1[[#This Row],[Net Profit]]&gt;0,"Profit","Loss")</f>
        <v>Profit</v>
      </c>
    </row>
    <row r="778" spans="1:27" x14ac:dyDescent="0.25">
      <c r="A778" t="s">
        <v>1026</v>
      </c>
      <c r="B778" s="1">
        <v>40599</v>
      </c>
      <c r="C778" s="1">
        <v>40599</v>
      </c>
      <c r="D778" t="s">
        <v>41</v>
      </c>
      <c r="E778" t="s">
        <v>1027</v>
      </c>
      <c r="F778" t="s">
        <v>3</v>
      </c>
      <c r="G778" t="s">
        <v>195</v>
      </c>
      <c r="H778" t="s">
        <v>5</v>
      </c>
      <c r="I778" t="s">
        <v>6</v>
      </c>
      <c r="J778" t="s">
        <v>6</v>
      </c>
      <c r="K778" t="s">
        <v>7</v>
      </c>
      <c r="L778" t="s">
        <v>87</v>
      </c>
      <c r="M778">
        <v>8</v>
      </c>
      <c r="N778">
        <v>1</v>
      </c>
      <c r="O778">
        <v>0</v>
      </c>
      <c r="P778">
        <v>0.56999999999999995</v>
      </c>
      <c r="Q778">
        <v>2.14</v>
      </c>
      <c r="R778" t="s">
        <v>45</v>
      </c>
      <c r="S778">
        <f>Sheet1[[#This Row],[Ship_date]]-Sheet1[[#This Row],[Order_date]]</f>
        <v>0</v>
      </c>
      <c r="T778">
        <f>Sheet1[[#This Row],[Quantity]]*Sheet1[[#This Row],[Sales]]</f>
        <v>8</v>
      </c>
      <c r="U778">
        <f>Sheet1[[#This Row],[Total Sales]]*Sheet1[[#This Row],[Discount]]</f>
        <v>0</v>
      </c>
      <c r="V778" s="4">
        <f>Sheet1[[#This Row],[Total Sales]]-Sheet1[[#This Row],[Total Sales]]*Sheet1[[#This Row],[Discount]]</f>
        <v>8</v>
      </c>
      <c r="W778" s="4">
        <f>Sheet1[[#This Row],[Quantity]]*Sheet1[[#This Row],[Profit]]</f>
        <v>0.56999999999999995</v>
      </c>
      <c r="X778" s="5">
        <f>Sheet1[[#This Row],[Total Profit]]/Sheet1[[#This Row],[Sales After Discount]]</f>
        <v>7.1249999999999994E-2</v>
      </c>
      <c r="Y778" s="4">
        <f>Sheet1[[#This Row],[Shipping_cost]]*Sheet1[[#This Row],[Quantity]]</f>
        <v>2.14</v>
      </c>
      <c r="Z778" s="4">
        <f>Sheet1[[#This Row],[Total Profit]]-Sheet1[[#This Row],[Total Shipping Cost]]</f>
        <v>-1.5700000000000003</v>
      </c>
      <c r="AA778" s="4" t="str">
        <f>IF(Sheet1[[#This Row],[Net Profit]]&gt;0,"Profit","Loss")</f>
        <v>Loss</v>
      </c>
    </row>
    <row r="779" spans="1:27" x14ac:dyDescent="0.25">
      <c r="A779" t="s">
        <v>1038</v>
      </c>
      <c r="B779" s="1">
        <v>40599</v>
      </c>
      <c r="C779" s="1">
        <v>40604</v>
      </c>
      <c r="D779" t="s">
        <v>1</v>
      </c>
      <c r="E779" t="s">
        <v>139</v>
      </c>
      <c r="F779" t="s">
        <v>3</v>
      </c>
      <c r="G779" t="s">
        <v>426</v>
      </c>
      <c r="H779" t="s">
        <v>126</v>
      </c>
      <c r="I779" t="s">
        <v>127</v>
      </c>
      <c r="J779" t="s">
        <v>192</v>
      </c>
      <c r="K779" t="s">
        <v>7</v>
      </c>
      <c r="L779" t="s">
        <v>31</v>
      </c>
      <c r="M779">
        <v>23</v>
      </c>
      <c r="N779">
        <v>3</v>
      </c>
      <c r="O779">
        <v>0.2</v>
      </c>
      <c r="P779">
        <v>7.6868999999999996</v>
      </c>
      <c r="Q779">
        <v>1.97</v>
      </c>
      <c r="R779" t="s">
        <v>23</v>
      </c>
      <c r="S779">
        <f>Sheet1[[#This Row],[Ship_date]]-Sheet1[[#This Row],[Order_date]]</f>
        <v>5</v>
      </c>
      <c r="T779">
        <f>Sheet1[[#This Row],[Quantity]]*Sheet1[[#This Row],[Sales]]</f>
        <v>69</v>
      </c>
      <c r="U779">
        <f>Sheet1[[#This Row],[Total Sales]]*Sheet1[[#This Row],[Discount]]</f>
        <v>13.8</v>
      </c>
      <c r="V779" s="4">
        <f>Sheet1[[#This Row],[Total Sales]]-Sheet1[[#This Row],[Total Sales]]*Sheet1[[#This Row],[Discount]]</f>
        <v>55.2</v>
      </c>
      <c r="W779" s="4">
        <f>Sheet1[[#This Row],[Quantity]]*Sheet1[[#This Row],[Profit]]</f>
        <v>23.060699999999997</v>
      </c>
      <c r="X779" s="5">
        <f>Sheet1[[#This Row],[Total Profit]]/Sheet1[[#This Row],[Sales After Discount]]</f>
        <v>0.41776630434782602</v>
      </c>
      <c r="Y779" s="4">
        <f>Sheet1[[#This Row],[Shipping_cost]]*Sheet1[[#This Row],[Quantity]]</f>
        <v>5.91</v>
      </c>
      <c r="Z779" s="4">
        <f>Sheet1[[#This Row],[Total Profit]]-Sheet1[[#This Row],[Total Shipping Cost]]</f>
        <v>17.150699999999997</v>
      </c>
      <c r="AA779" s="4" t="str">
        <f>IF(Sheet1[[#This Row],[Net Profit]]&gt;0,"Profit","Loss")</f>
        <v>Profit</v>
      </c>
    </row>
    <row r="780" spans="1:27" x14ac:dyDescent="0.25">
      <c r="A780" t="s">
        <v>1033</v>
      </c>
      <c r="B780" s="1">
        <v>40599</v>
      </c>
      <c r="C780" s="1">
        <v>40601</v>
      </c>
      <c r="D780" t="s">
        <v>18</v>
      </c>
      <c r="E780" t="s">
        <v>1034</v>
      </c>
      <c r="F780" t="s">
        <v>26</v>
      </c>
      <c r="G780" t="s">
        <v>1035</v>
      </c>
      <c r="H780" t="s">
        <v>893</v>
      </c>
      <c r="I780" t="s">
        <v>6</v>
      </c>
      <c r="J780" t="s">
        <v>6</v>
      </c>
      <c r="K780" t="s">
        <v>7</v>
      </c>
      <c r="L780" t="s">
        <v>87</v>
      </c>
      <c r="M780">
        <v>9</v>
      </c>
      <c r="N780">
        <v>1</v>
      </c>
      <c r="O780">
        <v>0</v>
      </c>
      <c r="P780">
        <v>1.59</v>
      </c>
      <c r="Q780">
        <v>1.1299999999999999</v>
      </c>
      <c r="R780" t="s">
        <v>23</v>
      </c>
      <c r="S780">
        <f>Sheet1[[#This Row],[Ship_date]]-Sheet1[[#This Row],[Order_date]]</f>
        <v>2</v>
      </c>
      <c r="T780">
        <f>Sheet1[[#This Row],[Quantity]]*Sheet1[[#This Row],[Sales]]</f>
        <v>9</v>
      </c>
      <c r="U780">
        <f>Sheet1[[#This Row],[Total Sales]]*Sheet1[[#This Row],[Discount]]</f>
        <v>0</v>
      </c>
      <c r="V780" s="4">
        <f>Sheet1[[#This Row],[Total Sales]]-Sheet1[[#This Row],[Total Sales]]*Sheet1[[#This Row],[Discount]]</f>
        <v>9</v>
      </c>
      <c r="W780" s="4">
        <f>Sheet1[[#This Row],[Quantity]]*Sheet1[[#This Row],[Profit]]</f>
        <v>1.59</v>
      </c>
      <c r="X780" s="5">
        <f>Sheet1[[#This Row],[Total Profit]]/Sheet1[[#This Row],[Sales After Discount]]</f>
        <v>0.17666666666666667</v>
      </c>
      <c r="Y780" s="4">
        <f>Sheet1[[#This Row],[Shipping_cost]]*Sheet1[[#This Row],[Quantity]]</f>
        <v>1.1299999999999999</v>
      </c>
      <c r="Z780" s="4">
        <f>Sheet1[[#This Row],[Total Profit]]-Sheet1[[#This Row],[Total Shipping Cost]]</f>
        <v>0.46000000000000019</v>
      </c>
      <c r="AA780" s="4" t="str">
        <f>IF(Sheet1[[#This Row],[Net Profit]]&gt;0,"Profit","Loss")</f>
        <v>Profit</v>
      </c>
    </row>
    <row r="781" spans="1:27" x14ac:dyDescent="0.25">
      <c r="A781" t="s">
        <v>1033</v>
      </c>
      <c r="B781" s="1">
        <v>40599</v>
      </c>
      <c r="C781" s="1">
        <v>40601</v>
      </c>
      <c r="D781" t="s">
        <v>18</v>
      </c>
      <c r="E781" t="s">
        <v>1034</v>
      </c>
      <c r="F781" t="s">
        <v>26</v>
      </c>
      <c r="G781" t="s">
        <v>1035</v>
      </c>
      <c r="H781" t="s">
        <v>893</v>
      </c>
      <c r="I781" t="s">
        <v>6</v>
      </c>
      <c r="J781" t="s">
        <v>6</v>
      </c>
      <c r="K781" t="s">
        <v>7</v>
      </c>
      <c r="L781" t="s">
        <v>137</v>
      </c>
      <c r="M781">
        <v>7</v>
      </c>
      <c r="N781">
        <v>1</v>
      </c>
      <c r="O781">
        <v>0</v>
      </c>
      <c r="P781">
        <v>0.56999999999999995</v>
      </c>
      <c r="Q781">
        <v>0.7</v>
      </c>
      <c r="R781" t="s">
        <v>23</v>
      </c>
      <c r="S781">
        <f>Sheet1[[#This Row],[Ship_date]]-Sheet1[[#This Row],[Order_date]]</f>
        <v>2</v>
      </c>
      <c r="T781">
        <f>Sheet1[[#This Row],[Quantity]]*Sheet1[[#This Row],[Sales]]</f>
        <v>7</v>
      </c>
      <c r="U781">
        <f>Sheet1[[#This Row],[Total Sales]]*Sheet1[[#This Row],[Discount]]</f>
        <v>0</v>
      </c>
      <c r="V781" s="4">
        <f>Sheet1[[#This Row],[Total Sales]]-Sheet1[[#This Row],[Total Sales]]*Sheet1[[#This Row],[Discount]]</f>
        <v>7</v>
      </c>
      <c r="W781" s="4">
        <f>Sheet1[[#This Row],[Quantity]]*Sheet1[[#This Row],[Profit]]</f>
        <v>0.56999999999999995</v>
      </c>
      <c r="X781" s="5">
        <f>Sheet1[[#This Row],[Total Profit]]/Sheet1[[#This Row],[Sales After Discount]]</f>
        <v>8.142857142857142E-2</v>
      </c>
      <c r="Y781" s="4">
        <f>Sheet1[[#This Row],[Shipping_cost]]*Sheet1[[#This Row],[Quantity]]</f>
        <v>0.7</v>
      </c>
      <c r="Z781" s="4">
        <f>Sheet1[[#This Row],[Total Profit]]-Sheet1[[#This Row],[Total Shipping Cost]]</f>
        <v>-0.13</v>
      </c>
      <c r="AA781" s="4" t="str">
        <f>IF(Sheet1[[#This Row],[Net Profit]]&gt;0,"Profit","Loss")</f>
        <v>Loss</v>
      </c>
    </row>
    <row r="782" spans="1:27" x14ac:dyDescent="0.25">
      <c r="A782" t="s">
        <v>1039</v>
      </c>
      <c r="B782" s="1">
        <v>40600</v>
      </c>
      <c r="C782" s="1">
        <v>40602</v>
      </c>
      <c r="D782" t="s">
        <v>18</v>
      </c>
      <c r="E782" t="s">
        <v>1040</v>
      </c>
      <c r="F782" t="s">
        <v>43</v>
      </c>
      <c r="G782" t="s">
        <v>1041</v>
      </c>
      <c r="H782" t="s">
        <v>345</v>
      </c>
      <c r="I782" t="s">
        <v>75</v>
      </c>
      <c r="J782" t="s">
        <v>76</v>
      </c>
      <c r="K782" t="s">
        <v>38</v>
      </c>
      <c r="L782" t="s">
        <v>50</v>
      </c>
      <c r="M782">
        <v>988</v>
      </c>
      <c r="N782">
        <v>5</v>
      </c>
      <c r="O782">
        <v>2E-3</v>
      </c>
      <c r="P782">
        <v>126.71939999999999</v>
      </c>
      <c r="Q782">
        <v>107.47</v>
      </c>
      <c r="R782" t="s">
        <v>9</v>
      </c>
      <c r="S782">
        <f>Sheet1[[#This Row],[Ship_date]]-Sheet1[[#This Row],[Order_date]]</f>
        <v>2</v>
      </c>
      <c r="T782">
        <f>Sheet1[[#This Row],[Quantity]]*Sheet1[[#This Row],[Sales]]</f>
        <v>4940</v>
      </c>
      <c r="U782">
        <f>Sheet1[[#This Row],[Total Sales]]*Sheet1[[#This Row],[Discount]]</f>
        <v>9.8800000000000008</v>
      </c>
      <c r="V782" s="4">
        <f>Sheet1[[#This Row],[Total Sales]]-Sheet1[[#This Row],[Total Sales]]*Sheet1[[#This Row],[Discount]]</f>
        <v>4930.12</v>
      </c>
      <c r="W782" s="4">
        <f>Sheet1[[#This Row],[Quantity]]*Sheet1[[#This Row],[Profit]]</f>
        <v>633.59699999999998</v>
      </c>
      <c r="X782" s="5">
        <f>Sheet1[[#This Row],[Total Profit]]/Sheet1[[#This Row],[Sales After Discount]]</f>
        <v>0.12851553309047245</v>
      </c>
      <c r="Y782" s="4">
        <f>Sheet1[[#This Row],[Shipping_cost]]*Sheet1[[#This Row],[Quantity]]</f>
        <v>537.35</v>
      </c>
      <c r="Z782" s="4">
        <f>Sheet1[[#This Row],[Total Profit]]-Sheet1[[#This Row],[Total Shipping Cost]]</f>
        <v>96.246999999999957</v>
      </c>
      <c r="AA782" s="4" t="str">
        <f>IF(Sheet1[[#This Row],[Net Profit]]&gt;0,"Profit","Loss")</f>
        <v>Profit</v>
      </c>
    </row>
    <row r="783" spans="1:27" x14ac:dyDescent="0.25">
      <c r="A783" t="s">
        <v>1039</v>
      </c>
      <c r="B783" s="1">
        <v>40600</v>
      </c>
      <c r="C783" s="1">
        <v>40602</v>
      </c>
      <c r="D783" t="s">
        <v>18</v>
      </c>
      <c r="E783" t="s">
        <v>1040</v>
      </c>
      <c r="F783" t="s">
        <v>43</v>
      </c>
      <c r="G783" t="s">
        <v>1041</v>
      </c>
      <c r="H783" t="s">
        <v>345</v>
      </c>
      <c r="I783" t="s">
        <v>75</v>
      </c>
      <c r="J783" t="s">
        <v>76</v>
      </c>
      <c r="K783" t="s">
        <v>32</v>
      </c>
      <c r="L783" t="s">
        <v>67</v>
      </c>
      <c r="M783">
        <v>685</v>
      </c>
      <c r="N783">
        <v>6</v>
      </c>
      <c r="O783">
        <v>0</v>
      </c>
      <c r="P783">
        <v>280.92</v>
      </c>
      <c r="Q783">
        <v>88.39</v>
      </c>
      <c r="R783" t="s">
        <v>9</v>
      </c>
      <c r="S783">
        <f>Sheet1[[#This Row],[Ship_date]]-Sheet1[[#This Row],[Order_date]]</f>
        <v>2</v>
      </c>
      <c r="T783">
        <f>Sheet1[[#This Row],[Quantity]]*Sheet1[[#This Row],[Sales]]</f>
        <v>4110</v>
      </c>
      <c r="U783">
        <f>Sheet1[[#This Row],[Total Sales]]*Sheet1[[#This Row],[Discount]]</f>
        <v>0</v>
      </c>
      <c r="V783" s="4">
        <f>Sheet1[[#This Row],[Total Sales]]-Sheet1[[#This Row],[Total Sales]]*Sheet1[[#This Row],[Discount]]</f>
        <v>4110</v>
      </c>
      <c r="W783" s="4">
        <f>Sheet1[[#This Row],[Quantity]]*Sheet1[[#This Row],[Profit]]</f>
        <v>1685.52</v>
      </c>
      <c r="X783" s="5">
        <f>Sheet1[[#This Row],[Total Profit]]/Sheet1[[#This Row],[Sales After Discount]]</f>
        <v>0.41010218978102192</v>
      </c>
      <c r="Y783" s="4">
        <f>Sheet1[[#This Row],[Shipping_cost]]*Sheet1[[#This Row],[Quantity]]</f>
        <v>530.34</v>
      </c>
      <c r="Z783" s="4">
        <f>Sheet1[[#This Row],[Total Profit]]-Sheet1[[#This Row],[Total Shipping Cost]]</f>
        <v>1155.1799999999998</v>
      </c>
      <c r="AA783" s="4" t="str">
        <f>IF(Sheet1[[#This Row],[Net Profit]]&gt;0,"Profit","Loss")</f>
        <v>Profit</v>
      </c>
    </row>
    <row r="784" spans="1:27" x14ac:dyDescent="0.25">
      <c r="A784" t="s">
        <v>1042</v>
      </c>
      <c r="B784" s="1">
        <v>40600</v>
      </c>
      <c r="C784" s="1">
        <v>40603</v>
      </c>
      <c r="D784" t="s">
        <v>18</v>
      </c>
      <c r="E784" t="s">
        <v>399</v>
      </c>
      <c r="F784" t="s">
        <v>43</v>
      </c>
      <c r="G784" t="s">
        <v>1043</v>
      </c>
      <c r="H784" t="s">
        <v>157</v>
      </c>
      <c r="I784" t="s">
        <v>14</v>
      </c>
      <c r="J784" t="s">
        <v>61</v>
      </c>
      <c r="K784" t="s">
        <v>38</v>
      </c>
      <c r="L784" t="s">
        <v>39</v>
      </c>
      <c r="M784">
        <v>287</v>
      </c>
      <c r="N784">
        <v>3</v>
      </c>
      <c r="O784">
        <v>0.17</v>
      </c>
      <c r="P784">
        <v>-45.104399999999998</v>
      </c>
      <c r="Q784">
        <v>81.63</v>
      </c>
      <c r="R784" t="s">
        <v>45</v>
      </c>
      <c r="S784">
        <f>Sheet1[[#This Row],[Ship_date]]-Sheet1[[#This Row],[Order_date]]</f>
        <v>3</v>
      </c>
      <c r="T784">
        <f>Sheet1[[#This Row],[Quantity]]*Sheet1[[#This Row],[Sales]]</f>
        <v>861</v>
      </c>
      <c r="U784">
        <f>Sheet1[[#This Row],[Total Sales]]*Sheet1[[#This Row],[Discount]]</f>
        <v>146.37</v>
      </c>
      <c r="V784" s="4">
        <f>Sheet1[[#This Row],[Total Sales]]-Sheet1[[#This Row],[Total Sales]]*Sheet1[[#This Row],[Discount]]</f>
        <v>714.63</v>
      </c>
      <c r="W784" s="4">
        <f>Sheet1[[#This Row],[Quantity]]*Sheet1[[#This Row],[Profit]]</f>
        <v>-135.31319999999999</v>
      </c>
      <c r="X784" s="5">
        <f>Sheet1[[#This Row],[Total Profit]]/Sheet1[[#This Row],[Sales After Discount]]</f>
        <v>-0.18934721464254228</v>
      </c>
      <c r="Y784" s="4">
        <f>Sheet1[[#This Row],[Shipping_cost]]*Sheet1[[#This Row],[Quantity]]</f>
        <v>244.89</v>
      </c>
      <c r="Z784" s="4">
        <f>Sheet1[[#This Row],[Total Profit]]-Sheet1[[#This Row],[Total Shipping Cost]]</f>
        <v>-380.20319999999998</v>
      </c>
      <c r="AA784" s="4" t="str">
        <f>IF(Sheet1[[#This Row],[Net Profit]]&gt;0,"Profit","Loss")</f>
        <v>Loss</v>
      </c>
    </row>
    <row r="785" spans="1:27" x14ac:dyDescent="0.25">
      <c r="A785" t="s">
        <v>1044</v>
      </c>
      <c r="B785" s="1">
        <v>40600</v>
      </c>
      <c r="C785" s="1">
        <v>40606</v>
      </c>
      <c r="D785" t="s">
        <v>1</v>
      </c>
      <c r="E785" t="s">
        <v>1045</v>
      </c>
      <c r="F785" t="s">
        <v>3</v>
      </c>
      <c r="G785" t="s">
        <v>1046</v>
      </c>
      <c r="H785" t="s">
        <v>207</v>
      </c>
      <c r="I785" t="s">
        <v>29</v>
      </c>
      <c r="J785" t="s">
        <v>76</v>
      </c>
      <c r="K785" t="s">
        <v>32</v>
      </c>
      <c r="L785" t="s">
        <v>33</v>
      </c>
      <c r="M785">
        <v>533</v>
      </c>
      <c r="N785">
        <v>6</v>
      </c>
      <c r="O785">
        <v>0.2</v>
      </c>
      <c r="P785">
        <v>-0.14399999999999999</v>
      </c>
      <c r="Q785">
        <v>39.26</v>
      </c>
      <c r="R785" t="s">
        <v>9</v>
      </c>
      <c r="S785">
        <f>Sheet1[[#This Row],[Ship_date]]-Sheet1[[#This Row],[Order_date]]</f>
        <v>6</v>
      </c>
      <c r="T785">
        <f>Sheet1[[#This Row],[Quantity]]*Sheet1[[#This Row],[Sales]]</f>
        <v>3198</v>
      </c>
      <c r="U785">
        <f>Sheet1[[#This Row],[Total Sales]]*Sheet1[[#This Row],[Discount]]</f>
        <v>639.6</v>
      </c>
      <c r="V785" s="4">
        <f>Sheet1[[#This Row],[Total Sales]]-Sheet1[[#This Row],[Total Sales]]*Sheet1[[#This Row],[Discount]]</f>
        <v>2558.4</v>
      </c>
      <c r="W785" s="4">
        <f>Sheet1[[#This Row],[Quantity]]*Sheet1[[#This Row],[Profit]]</f>
        <v>-0.86399999999999988</v>
      </c>
      <c r="X785" s="5">
        <f>Sheet1[[#This Row],[Total Profit]]/Sheet1[[#This Row],[Sales After Discount]]</f>
        <v>-3.3771106941838644E-4</v>
      </c>
      <c r="Y785" s="4">
        <f>Sheet1[[#This Row],[Shipping_cost]]*Sheet1[[#This Row],[Quantity]]</f>
        <v>235.56</v>
      </c>
      <c r="Z785" s="4">
        <f>Sheet1[[#This Row],[Total Profit]]-Sheet1[[#This Row],[Total Shipping Cost]]</f>
        <v>-236.42400000000001</v>
      </c>
      <c r="AA785" s="4" t="str">
        <f>IF(Sheet1[[#This Row],[Net Profit]]&gt;0,"Profit","Loss")</f>
        <v>Loss</v>
      </c>
    </row>
    <row r="786" spans="1:27" x14ac:dyDescent="0.25">
      <c r="A786" t="s">
        <v>1047</v>
      </c>
      <c r="B786" s="1">
        <v>40600</v>
      </c>
      <c r="C786" s="1">
        <v>40604</v>
      </c>
      <c r="D786" t="s">
        <v>18</v>
      </c>
      <c r="E786" t="s">
        <v>1048</v>
      </c>
      <c r="F786" t="s">
        <v>3</v>
      </c>
      <c r="G786" t="s">
        <v>380</v>
      </c>
      <c r="H786" t="s">
        <v>381</v>
      </c>
      <c r="I786" t="s">
        <v>75</v>
      </c>
      <c r="J786" t="s">
        <v>76</v>
      </c>
      <c r="K786" t="s">
        <v>7</v>
      </c>
      <c r="L786" t="s">
        <v>8</v>
      </c>
      <c r="M786">
        <v>268</v>
      </c>
      <c r="N786">
        <v>3</v>
      </c>
      <c r="O786">
        <v>0</v>
      </c>
      <c r="P786">
        <v>10.68</v>
      </c>
      <c r="Q786">
        <v>33.299999999999997</v>
      </c>
      <c r="R786" t="s">
        <v>9</v>
      </c>
      <c r="S786">
        <f>Sheet1[[#This Row],[Ship_date]]-Sheet1[[#This Row],[Order_date]]</f>
        <v>4</v>
      </c>
      <c r="T786">
        <f>Sheet1[[#This Row],[Quantity]]*Sheet1[[#This Row],[Sales]]</f>
        <v>804</v>
      </c>
      <c r="U786">
        <f>Sheet1[[#This Row],[Total Sales]]*Sheet1[[#This Row],[Discount]]</f>
        <v>0</v>
      </c>
      <c r="V786" s="4">
        <f>Sheet1[[#This Row],[Total Sales]]-Sheet1[[#This Row],[Total Sales]]*Sheet1[[#This Row],[Discount]]</f>
        <v>804</v>
      </c>
      <c r="W786" s="4">
        <f>Sheet1[[#This Row],[Quantity]]*Sheet1[[#This Row],[Profit]]</f>
        <v>32.04</v>
      </c>
      <c r="X786" s="5">
        <f>Sheet1[[#This Row],[Total Profit]]/Sheet1[[#This Row],[Sales After Discount]]</f>
        <v>3.9850746268656714E-2</v>
      </c>
      <c r="Y786" s="4">
        <f>Sheet1[[#This Row],[Shipping_cost]]*Sheet1[[#This Row],[Quantity]]</f>
        <v>99.899999999999991</v>
      </c>
      <c r="Z786" s="4">
        <f>Sheet1[[#This Row],[Total Profit]]-Sheet1[[#This Row],[Total Shipping Cost]]</f>
        <v>-67.859999999999985</v>
      </c>
      <c r="AA786" s="4" t="str">
        <f>IF(Sheet1[[#This Row],[Net Profit]]&gt;0,"Profit","Loss")</f>
        <v>Loss</v>
      </c>
    </row>
    <row r="787" spans="1:27" x14ac:dyDescent="0.25">
      <c r="A787" t="s">
        <v>1049</v>
      </c>
      <c r="B787" s="1">
        <v>40600</v>
      </c>
      <c r="C787" s="1">
        <v>40602</v>
      </c>
      <c r="D787" t="s">
        <v>142</v>
      </c>
      <c r="E787" t="s">
        <v>270</v>
      </c>
      <c r="F787" t="s">
        <v>3</v>
      </c>
      <c r="G787" t="s">
        <v>1050</v>
      </c>
      <c r="H787" t="s">
        <v>131</v>
      </c>
      <c r="I787" t="s">
        <v>14</v>
      </c>
      <c r="J787" t="s">
        <v>132</v>
      </c>
      <c r="K787" t="s">
        <v>7</v>
      </c>
      <c r="L787" t="s">
        <v>16</v>
      </c>
      <c r="M787">
        <v>79</v>
      </c>
      <c r="N787">
        <v>3</v>
      </c>
      <c r="O787">
        <v>0</v>
      </c>
      <c r="P787">
        <v>25.38</v>
      </c>
      <c r="Q787">
        <v>28.91</v>
      </c>
      <c r="R787" t="s">
        <v>45</v>
      </c>
      <c r="S787">
        <f>Sheet1[[#This Row],[Ship_date]]-Sheet1[[#This Row],[Order_date]]</f>
        <v>2</v>
      </c>
      <c r="T787">
        <f>Sheet1[[#This Row],[Quantity]]*Sheet1[[#This Row],[Sales]]</f>
        <v>237</v>
      </c>
      <c r="U787">
        <f>Sheet1[[#This Row],[Total Sales]]*Sheet1[[#This Row],[Discount]]</f>
        <v>0</v>
      </c>
      <c r="V787" s="4">
        <f>Sheet1[[#This Row],[Total Sales]]-Sheet1[[#This Row],[Total Sales]]*Sheet1[[#This Row],[Discount]]</f>
        <v>237</v>
      </c>
      <c r="W787" s="4">
        <f>Sheet1[[#This Row],[Quantity]]*Sheet1[[#This Row],[Profit]]</f>
        <v>76.14</v>
      </c>
      <c r="X787" s="5">
        <f>Sheet1[[#This Row],[Total Profit]]/Sheet1[[#This Row],[Sales After Discount]]</f>
        <v>0.32126582278481014</v>
      </c>
      <c r="Y787" s="4">
        <f>Sheet1[[#This Row],[Shipping_cost]]*Sheet1[[#This Row],[Quantity]]</f>
        <v>86.73</v>
      </c>
      <c r="Z787" s="4">
        <f>Sheet1[[#This Row],[Total Profit]]-Sheet1[[#This Row],[Total Shipping Cost]]</f>
        <v>-10.590000000000003</v>
      </c>
      <c r="AA787" s="4" t="str">
        <f>IF(Sheet1[[#This Row],[Net Profit]]&gt;0,"Profit","Loss")</f>
        <v>Loss</v>
      </c>
    </row>
    <row r="788" spans="1:27" x14ac:dyDescent="0.25">
      <c r="A788" t="s">
        <v>1051</v>
      </c>
      <c r="B788" s="1">
        <v>40600</v>
      </c>
      <c r="C788" s="1">
        <v>40604</v>
      </c>
      <c r="D788" t="s">
        <v>1</v>
      </c>
      <c r="E788" t="s">
        <v>379</v>
      </c>
      <c r="F788" t="s">
        <v>43</v>
      </c>
      <c r="G788" t="s">
        <v>120</v>
      </c>
      <c r="H788" t="s">
        <v>110</v>
      </c>
      <c r="I788" t="s">
        <v>75</v>
      </c>
      <c r="J788" t="s">
        <v>111</v>
      </c>
      <c r="K788" t="s">
        <v>32</v>
      </c>
      <c r="L788" t="s">
        <v>56</v>
      </c>
      <c r="M788">
        <v>360</v>
      </c>
      <c r="N788">
        <v>3</v>
      </c>
      <c r="O788">
        <v>0</v>
      </c>
      <c r="P788">
        <v>104.46</v>
      </c>
      <c r="Q788">
        <v>27.4</v>
      </c>
      <c r="R788" t="s">
        <v>9</v>
      </c>
      <c r="S788">
        <f>Sheet1[[#This Row],[Ship_date]]-Sheet1[[#This Row],[Order_date]]</f>
        <v>4</v>
      </c>
      <c r="T788">
        <f>Sheet1[[#This Row],[Quantity]]*Sheet1[[#This Row],[Sales]]</f>
        <v>1080</v>
      </c>
      <c r="U788">
        <f>Sheet1[[#This Row],[Total Sales]]*Sheet1[[#This Row],[Discount]]</f>
        <v>0</v>
      </c>
      <c r="V788" s="4">
        <f>Sheet1[[#This Row],[Total Sales]]-Sheet1[[#This Row],[Total Sales]]*Sheet1[[#This Row],[Discount]]</f>
        <v>1080</v>
      </c>
      <c r="W788" s="4">
        <f>Sheet1[[#This Row],[Quantity]]*Sheet1[[#This Row],[Profit]]</f>
        <v>313.38</v>
      </c>
      <c r="X788" s="5">
        <f>Sheet1[[#This Row],[Total Profit]]/Sheet1[[#This Row],[Sales After Discount]]</f>
        <v>0.29016666666666668</v>
      </c>
      <c r="Y788" s="4">
        <f>Sheet1[[#This Row],[Shipping_cost]]*Sheet1[[#This Row],[Quantity]]</f>
        <v>82.199999999999989</v>
      </c>
      <c r="Z788" s="4">
        <f>Sheet1[[#This Row],[Total Profit]]-Sheet1[[#This Row],[Total Shipping Cost]]</f>
        <v>231.18</v>
      </c>
      <c r="AA788" s="4" t="str">
        <f>IF(Sheet1[[#This Row],[Net Profit]]&gt;0,"Profit","Loss")</f>
        <v>Profit</v>
      </c>
    </row>
    <row r="789" spans="1:27" x14ac:dyDescent="0.25">
      <c r="A789" t="s">
        <v>1052</v>
      </c>
      <c r="B789" s="1">
        <v>40600</v>
      </c>
      <c r="C789" s="1">
        <v>40604</v>
      </c>
      <c r="D789" t="s">
        <v>1</v>
      </c>
      <c r="E789" t="s">
        <v>379</v>
      </c>
      <c r="F789" t="s">
        <v>43</v>
      </c>
      <c r="G789" t="s">
        <v>117</v>
      </c>
      <c r="H789" t="s">
        <v>101</v>
      </c>
      <c r="I789" t="s">
        <v>75</v>
      </c>
      <c r="J789" t="s">
        <v>102</v>
      </c>
      <c r="K789" t="s">
        <v>32</v>
      </c>
      <c r="L789" t="s">
        <v>56</v>
      </c>
      <c r="M789">
        <v>144</v>
      </c>
      <c r="N789">
        <v>3</v>
      </c>
      <c r="O789">
        <v>0.6</v>
      </c>
      <c r="P789">
        <v>-111.684</v>
      </c>
      <c r="Q789">
        <v>14.32</v>
      </c>
      <c r="R789" t="s">
        <v>9</v>
      </c>
      <c r="S789">
        <f>Sheet1[[#This Row],[Ship_date]]-Sheet1[[#This Row],[Order_date]]</f>
        <v>4</v>
      </c>
      <c r="T789">
        <f>Sheet1[[#This Row],[Quantity]]*Sheet1[[#This Row],[Sales]]</f>
        <v>432</v>
      </c>
      <c r="U789">
        <f>Sheet1[[#This Row],[Total Sales]]*Sheet1[[#This Row],[Discount]]</f>
        <v>259.2</v>
      </c>
      <c r="V789" s="4">
        <f>Sheet1[[#This Row],[Total Sales]]-Sheet1[[#This Row],[Total Sales]]*Sheet1[[#This Row],[Discount]]</f>
        <v>172.8</v>
      </c>
      <c r="W789" s="4">
        <f>Sheet1[[#This Row],[Quantity]]*Sheet1[[#This Row],[Profit]]</f>
        <v>-335.05200000000002</v>
      </c>
      <c r="X789" s="5">
        <f>Sheet1[[#This Row],[Total Profit]]/Sheet1[[#This Row],[Sales After Discount]]</f>
        <v>-1.9389583333333333</v>
      </c>
      <c r="Y789" s="4">
        <f>Sheet1[[#This Row],[Shipping_cost]]*Sheet1[[#This Row],[Quantity]]</f>
        <v>42.96</v>
      </c>
      <c r="Z789" s="4">
        <f>Sheet1[[#This Row],[Total Profit]]-Sheet1[[#This Row],[Total Shipping Cost]]</f>
        <v>-378.012</v>
      </c>
      <c r="AA789" s="4" t="str">
        <f>IF(Sheet1[[#This Row],[Net Profit]]&gt;0,"Profit","Loss")</f>
        <v>Loss</v>
      </c>
    </row>
    <row r="790" spans="1:27" x14ac:dyDescent="0.25">
      <c r="A790" t="s">
        <v>1051</v>
      </c>
      <c r="B790" s="1">
        <v>40600</v>
      </c>
      <c r="C790" s="1">
        <v>40604</v>
      </c>
      <c r="D790" t="s">
        <v>1</v>
      </c>
      <c r="E790" t="s">
        <v>379</v>
      </c>
      <c r="F790" t="s">
        <v>43</v>
      </c>
      <c r="G790" t="s">
        <v>120</v>
      </c>
      <c r="H790" t="s">
        <v>110</v>
      </c>
      <c r="I790" t="s">
        <v>75</v>
      </c>
      <c r="J790" t="s">
        <v>111</v>
      </c>
      <c r="K790" t="s">
        <v>38</v>
      </c>
      <c r="L790" t="s">
        <v>77</v>
      </c>
      <c r="M790">
        <v>177</v>
      </c>
      <c r="N790">
        <v>4</v>
      </c>
      <c r="O790">
        <v>0</v>
      </c>
      <c r="P790">
        <v>54.96</v>
      </c>
      <c r="Q790">
        <v>9.2799999999999994</v>
      </c>
      <c r="R790" t="s">
        <v>9</v>
      </c>
      <c r="S790">
        <f>Sheet1[[#This Row],[Ship_date]]-Sheet1[[#This Row],[Order_date]]</f>
        <v>4</v>
      </c>
      <c r="T790">
        <f>Sheet1[[#This Row],[Quantity]]*Sheet1[[#This Row],[Sales]]</f>
        <v>708</v>
      </c>
      <c r="U790">
        <f>Sheet1[[#This Row],[Total Sales]]*Sheet1[[#This Row],[Discount]]</f>
        <v>0</v>
      </c>
      <c r="V790" s="4">
        <f>Sheet1[[#This Row],[Total Sales]]-Sheet1[[#This Row],[Total Sales]]*Sheet1[[#This Row],[Discount]]</f>
        <v>708</v>
      </c>
      <c r="W790" s="4">
        <f>Sheet1[[#This Row],[Quantity]]*Sheet1[[#This Row],[Profit]]</f>
        <v>219.84</v>
      </c>
      <c r="X790" s="5">
        <f>Sheet1[[#This Row],[Total Profit]]/Sheet1[[#This Row],[Sales After Discount]]</f>
        <v>0.31050847457627118</v>
      </c>
      <c r="Y790" s="4">
        <f>Sheet1[[#This Row],[Shipping_cost]]*Sheet1[[#This Row],[Quantity]]</f>
        <v>37.119999999999997</v>
      </c>
      <c r="Z790" s="4">
        <f>Sheet1[[#This Row],[Total Profit]]-Sheet1[[#This Row],[Total Shipping Cost]]</f>
        <v>182.72</v>
      </c>
      <c r="AA790" s="4" t="str">
        <f>IF(Sheet1[[#This Row],[Net Profit]]&gt;0,"Profit","Loss")</f>
        <v>Profit</v>
      </c>
    </row>
    <row r="791" spans="1:27" x14ac:dyDescent="0.25">
      <c r="A791" t="s">
        <v>1047</v>
      </c>
      <c r="B791" s="1">
        <v>40600</v>
      </c>
      <c r="C791" s="1">
        <v>40604</v>
      </c>
      <c r="D791" t="s">
        <v>18</v>
      </c>
      <c r="E791" t="s">
        <v>1048</v>
      </c>
      <c r="F791" t="s">
        <v>3</v>
      </c>
      <c r="G791" t="s">
        <v>380</v>
      </c>
      <c r="H791" t="s">
        <v>381</v>
      </c>
      <c r="I791" t="s">
        <v>75</v>
      </c>
      <c r="J791" t="s">
        <v>76</v>
      </c>
      <c r="K791" t="s">
        <v>7</v>
      </c>
      <c r="L791" t="s">
        <v>16</v>
      </c>
      <c r="M791">
        <v>58</v>
      </c>
      <c r="N791">
        <v>2</v>
      </c>
      <c r="O791">
        <v>0</v>
      </c>
      <c r="P791">
        <v>0</v>
      </c>
      <c r="Q791">
        <v>8.1999999999999993</v>
      </c>
      <c r="R791" t="s">
        <v>9</v>
      </c>
      <c r="S791">
        <f>Sheet1[[#This Row],[Ship_date]]-Sheet1[[#This Row],[Order_date]]</f>
        <v>4</v>
      </c>
      <c r="T791">
        <f>Sheet1[[#This Row],[Quantity]]*Sheet1[[#This Row],[Sales]]</f>
        <v>116</v>
      </c>
      <c r="U791">
        <f>Sheet1[[#This Row],[Total Sales]]*Sheet1[[#This Row],[Discount]]</f>
        <v>0</v>
      </c>
      <c r="V791" s="4">
        <f>Sheet1[[#This Row],[Total Sales]]-Sheet1[[#This Row],[Total Sales]]*Sheet1[[#This Row],[Discount]]</f>
        <v>116</v>
      </c>
      <c r="W791" s="4">
        <f>Sheet1[[#This Row],[Quantity]]*Sheet1[[#This Row],[Profit]]</f>
        <v>0</v>
      </c>
      <c r="X791" s="5">
        <f>Sheet1[[#This Row],[Total Profit]]/Sheet1[[#This Row],[Sales After Discount]]</f>
        <v>0</v>
      </c>
      <c r="Y791" s="4">
        <f>Sheet1[[#This Row],[Shipping_cost]]*Sheet1[[#This Row],[Quantity]]</f>
        <v>16.399999999999999</v>
      </c>
      <c r="Z791" s="4">
        <f>Sheet1[[#This Row],[Total Profit]]-Sheet1[[#This Row],[Total Shipping Cost]]</f>
        <v>-16.399999999999999</v>
      </c>
      <c r="AA791" s="4" t="str">
        <f>IF(Sheet1[[#This Row],[Net Profit]]&gt;0,"Profit","Loss")</f>
        <v>Loss</v>
      </c>
    </row>
    <row r="792" spans="1:27" x14ac:dyDescent="0.25">
      <c r="A792" t="s">
        <v>1044</v>
      </c>
      <c r="B792" s="1">
        <v>40600</v>
      </c>
      <c r="C792" s="1">
        <v>40606</v>
      </c>
      <c r="D792" t="s">
        <v>1</v>
      </c>
      <c r="E792" t="s">
        <v>1045</v>
      </c>
      <c r="F792" t="s">
        <v>3</v>
      </c>
      <c r="G792" t="s">
        <v>1046</v>
      </c>
      <c r="H792" t="s">
        <v>207</v>
      </c>
      <c r="I792" t="s">
        <v>29</v>
      </c>
      <c r="J792" t="s">
        <v>76</v>
      </c>
      <c r="K792" t="s">
        <v>38</v>
      </c>
      <c r="L792" t="s">
        <v>77</v>
      </c>
      <c r="M792">
        <v>120</v>
      </c>
      <c r="N792">
        <v>3</v>
      </c>
      <c r="O792">
        <v>0.5</v>
      </c>
      <c r="P792">
        <v>-40.68</v>
      </c>
      <c r="Q792">
        <v>7.74</v>
      </c>
      <c r="R792" t="s">
        <v>9</v>
      </c>
      <c r="S792">
        <f>Sheet1[[#This Row],[Ship_date]]-Sheet1[[#This Row],[Order_date]]</f>
        <v>6</v>
      </c>
      <c r="T792">
        <f>Sheet1[[#This Row],[Quantity]]*Sheet1[[#This Row],[Sales]]</f>
        <v>360</v>
      </c>
      <c r="U792">
        <f>Sheet1[[#This Row],[Total Sales]]*Sheet1[[#This Row],[Discount]]</f>
        <v>180</v>
      </c>
      <c r="V792" s="4">
        <f>Sheet1[[#This Row],[Total Sales]]-Sheet1[[#This Row],[Total Sales]]*Sheet1[[#This Row],[Discount]]</f>
        <v>180</v>
      </c>
      <c r="W792" s="4">
        <f>Sheet1[[#This Row],[Quantity]]*Sheet1[[#This Row],[Profit]]</f>
        <v>-122.03999999999999</v>
      </c>
      <c r="X792" s="5">
        <f>Sheet1[[#This Row],[Total Profit]]/Sheet1[[#This Row],[Sales After Discount]]</f>
        <v>-0.67799999999999994</v>
      </c>
      <c r="Y792" s="4">
        <f>Sheet1[[#This Row],[Shipping_cost]]*Sheet1[[#This Row],[Quantity]]</f>
        <v>23.22</v>
      </c>
      <c r="Z792" s="4">
        <f>Sheet1[[#This Row],[Total Profit]]-Sheet1[[#This Row],[Total Shipping Cost]]</f>
        <v>-145.26</v>
      </c>
      <c r="AA792" s="4" t="str">
        <f>IF(Sheet1[[#This Row],[Net Profit]]&gt;0,"Profit","Loss")</f>
        <v>Loss</v>
      </c>
    </row>
    <row r="793" spans="1:27" x14ac:dyDescent="0.25">
      <c r="A793" t="s">
        <v>1053</v>
      </c>
      <c r="B793" s="1">
        <v>40600</v>
      </c>
      <c r="C793" s="1">
        <v>40604</v>
      </c>
      <c r="D793" t="s">
        <v>1</v>
      </c>
      <c r="E793" t="s">
        <v>1054</v>
      </c>
      <c r="F793" t="s">
        <v>3</v>
      </c>
      <c r="G793" t="s">
        <v>614</v>
      </c>
      <c r="H793" t="s">
        <v>169</v>
      </c>
      <c r="I793" t="s">
        <v>14</v>
      </c>
      <c r="J793" t="s">
        <v>132</v>
      </c>
      <c r="K793" t="s">
        <v>38</v>
      </c>
      <c r="L793" t="s">
        <v>82</v>
      </c>
      <c r="M793">
        <v>59</v>
      </c>
      <c r="N793">
        <v>1</v>
      </c>
      <c r="O793">
        <v>0</v>
      </c>
      <c r="P793">
        <v>10.050000000000001</v>
      </c>
      <c r="Q793">
        <v>7.27</v>
      </c>
      <c r="R793" t="s">
        <v>23</v>
      </c>
      <c r="S793">
        <f>Sheet1[[#This Row],[Ship_date]]-Sheet1[[#This Row],[Order_date]]</f>
        <v>4</v>
      </c>
      <c r="T793">
        <f>Sheet1[[#This Row],[Quantity]]*Sheet1[[#This Row],[Sales]]</f>
        <v>59</v>
      </c>
      <c r="U793">
        <f>Sheet1[[#This Row],[Total Sales]]*Sheet1[[#This Row],[Discount]]</f>
        <v>0</v>
      </c>
      <c r="V793" s="4">
        <f>Sheet1[[#This Row],[Total Sales]]-Sheet1[[#This Row],[Total Sales]]*Sheet1[[#This Row],[Discount]]</f>
        <v>59</v>
      </c>
      <c r="W793" s="4">
        <f>Sheet1[[#This Row],[Quantity]]*Sheet1[[#This Row],[Profit]]</f>
        <v>10.050000000000001</v>
      </c>
      <c r="X793" s="5">
        <f>Sheet1[[#This Row],[Total Profit]]/Sheet1[[#This Row],[Sales After Discount]]</f>
        <v>0.17033898305084746</v>
      </c>
      <c r="Y793" s="4">
        <f>Sheet1[[#This Row],[Shipping_cost]]*Sheet1[[#This Row],[Quantity]]</f>
        <v>7.27</v>
      </c>
      <c r="Z793" s="4">
        <f>Sheet1[[#This Row],[Total Profit]]-Sheet1[[#This Row],[Total Shipping Cost]]</f>
        <v>2.7800000000000011</v>
      </c>
      <c r="AA793" s="4" t="str">
        <f>IF(Sheet1[[#This Row],[Net Profit]]&gt;0,"Profit","Loss")</f>
        <v>Profit</v>
      </c>
    </row>
    <row r="794" spans="1:27" x14ac:dyDescent="0.25">
      <c r="A794" t="s">
        <v>1051</v>
      </c>
      <c r="B794" s="1">
        <v>40600</v>
      </c>
      <c r="C794" s="1">
        <v>40604</v>
      </c>
      <c r="D794" t="s">
        <v>1</v>
      </c>
      <c r="E794" t="s">
        <v>379</v>
      </c>
      <c r="F794" t="s">
        <v>43</v>
      </c>
      <c r="G794" t="s">
        <v>120</v>
      </c>
      <c r="H794" t="s">
        <v>110</v>
      </c>
      <c r="I794" t="s">
        <v>75</v>
      </c>
      <c r="J794" t="s">
        <v>111</v>
      </c>
      <c r="K794" t="s">
        <v>7</v>
      </c>
      <c r="L794" t="s">
        <v>16</v>
      </c>
      <c r="M794">
        <v>55</v>
      </c>
      <c r="N794">
        <v>2</v>
      </c>
      <c r="O794">
        <v>0</v>
      </c>
      <c r="P794">
        <v>1.64</v>
      </c>
      <c r="Q794">
        <v>4.8600000000000003</v>
      </c>
      <c r="R794" t="s">
        <v>9</v>
      </c>
      <c r="S794">
        <f>Sheet1[[#This Row],[Ship_date]]-Sheet1[[#This Row],[Order_date]]</f>
        <v>4</v>
      </c>
      <c r="T794">
        <f>Sheet1[[#This Row],[Quantity]]*Sheet1[[#This Row],[Sales]]</f>
        <v>110</v>
      </c>
      <c r="U794">
        <f>Sheet1[[#This Row],[Total Sales]]*Sheet1[[#This Row],[Discount]]</f>
        <v>0</v>
      </c>
      <c r="V794" s="4">
        <f>Sheet1[[#This Row],[Total Sales]]-Sheet1[[#This Row],[Total Sales]]*Sheet1[[#This Row],[Discount]]</f>
        <v>110</v>
      </c>
      <c r="W794" s="4">
        <f>Sheet1[[#This Row],[Quantity]]*Sheet1[[#This Row],[Profit]]</f>
        <v>3.28</v>
      </c>
      <c r="X794" s="5">
        <f>Sheet1[[#This Row],[Total Profit]]/Sheet1[[#This Row],[Sales After Discount]]</f>
        <v>2.9818181818181817E-2</v>
      </c>
      <c r="Y794" s="4">
        <f>Sheet1[[#This Row],[Shipping_cost]]*Sheet1[[#This Row],[Quantity]]</f>
        <v>9.7200000000000006</v>
      </c>
      <c r="Z794" s="4">
        <f>Sheet1[[#This Row],[Total Profit]]-Sheet1[[#This Row],[Total Shipping Cost]]</f>
        <v>-6.4400000000000013</v>
      </c>
      <c r="AA794" s="4" t="str">
        <f>IF(Sheet1[[#This Row],[Net Profit]]&gt;0,"Profit","Loss")</f>
        <v>Loss</v>
      </c>
    </row>
    <row r="795" spans="1:27" x14ac:dyDescent="0.25">
      <c r="A795" t="s">
        <v>1039</v>
      </c>
      <c r="B795" s="1">
        <v>40600</v>
      </c>
      <c r="C795" s="1">
        <v>40602</v>
      </c>
      <c r="D795" t="s">
        <v>18</v>
      </c>
      <c r="E795" t="s">
        <v>1040</v>
      </c>
      <c r="F795" t="s">
        <v>43</v>
      </c>
      <c r="G795" t="s">
        <v>1041</v>
      </c>
      <c r="H795" t="s">
        <v>345</v>
      </c>
      <c r="I795" t="s">
        <v>75</v>
      </c>
      <c r="J795" t="s">
        <v>76</v>
      </c>
      <c r="K795" t="s">
        <v>32</v>
      </c>
      <c r="L795" t="s">
        <v>33</v>
      </c>
      <c r="M795">
        <v>67</v>
      </c>
      <c r="N795">
        <v>2</v>
      </c>
      <c r="O795">
        <v>0</v>
      </c>
      <c r="P795">
        <v>32.76</v>
      </c>
      <c r="Q795">
        <v>4.74</v>
      </c>
      <c r="R795" t="s">
        <v>9</v>
      </c>
      <c r="S795">
        <f>Sheet1[[#This Row],[Ship_date]]-Sheet1[[#This Row],[Order_date]]</f>
        <v>2</v>
      </c>
      <c r="T795">
        <f>Sheet1[[#This Row],[Quantity]]*Sheet1[[#This Row],[Sales]]</f>
        <v>134</v>
      </c>
      <c r="U795">
        <f>Sheet1[[#This Row],[Total Sales]]*Sheet1[[#This Row],[Discount]]</f>
        <v>0</v>
      </c>
      <c r="V795" s="4">
        <f>Sheet1[[#This Row],[Total Sales]]-Sheet1[[#This Row],[Total Sales]]*Sheet1[[#This Row],[Discount]]</f>
        <v>134</v>
      </c>
      <c r="W795" s="4">
        <f>Sheet1[[#This Row],[Quantity]]*Sheet1[[#This Row],[Profit]]</f>
        <v>65.52</v>
      </c>
      <c r="X795" s="5">
        <f>Sheet1[[#This Row],[Total Profit]]/Sheet1[[#This Row],[Sales After Discount]]</f>
        <v>0.48895522388059698</v>
      </c>
      <c r="Y795" s="4">
        <f>Sheet1[[#This Row],[Shipping_cost]]*Sheet1[[#This Row],[Quantity]]</f>
        <v>9.48</v>
      </c>
      <c r="Z795" s="4">
        <f>Sheet1[[#This Row],[Total Profit]]-Sheet1[[#This Row],[Total Shipping Cost]]</f>
        <v>56.039999999999992</v>
      </c>
      <c r="AA795" s="4" t="str">
        <f>IF(Sheet1[[#This Row],[Net Profit]]&gt;0,"Profit","Loss")</f>
        <v>Profit</v>
      </c>
    </row>
    <row r="796" spans="1:27" x14ac:dyDescent="0.25">
      <c r="A796" t="s">
        <v>1047</v>
      </c>
      <c r="B796" s="1">
        <v>40600</v>
      </c>
      <c r="C796" s="1">
        <v>40604</v>
      </c>
      <c r="D796" t="s">
        <v>18</v>
      </c>
      <c r="E796" t="s">
        <v>1048</v>
      </c>
      <c r="F796" t="s">
        <v>3</v>
      </c>
      <c r="G796" t="s">
        <v>380</v>
      </c>
      <c r="H796" t="s">
        <v>381</v>
      </c>
      <c r="I796" t="s">
        <v>75</v>
      </c>
      <c r="J796" t="s">
        <v>76</v>
      </c>
      <c r="K796" t="s">
        <v>7</v>
      </c>
      <c r="L796" t="s">
        <v>91</v>
      </c>
      <c r="M796">
        <v>47</v>
      </c>
      <c r="N796">
        <v>3</v>
      </c>
      <c r="O796">
        <v>0</v>
      </c>
      <c r="P796">
        <v>17.34</v>
      </c>
      <c r="Q796">
        <v>3.89</v>
      </c>
      <c r="R796" t="s">
        <v>9</v>
      </c>
      <c r="S796">
        <f>Sheet1[[#This Row],[Ship_date]]-Sheet1[[#This Row],[Order_date]]</f>
        <v>4</v>
      </c>
      <c r="T796">
        <f>Sheet1[[#This Row],[Quantity]]*Sheet1[[#This Row],[Sales]]</f>
        <v>141</v>
      </c>
      <c r="U796">
        <f>Sheet1[[#This Row],[Total Sales]]*Sheet1[[#This Row],[Discount]]</f>
        <v>0</v>
      </c>
      <c r="V796" s="4">
        <f>Sheet1[[#This Row],[Total Sales]]-Sheet1[[#This Row],[Total Sales]]*Sheet1[[#This Row],[Discount]]</f>
        <v>141</v>
      </c>
      <c r="W796" s="4">
        <f>Sheet1[[#This Row],[Quantity]]*Sheet1[[#This Row],[Profit]]</f>
        <v>52.019999999999996</v>
      </c>
      <c r="X796" s="5">
        <f>Sheet1[[#This Row],[Total Profit]]/Sheet1[[#This Row],[Sales After Discount]]</f>
        <v>0.36893617021276592</v>
      </c>
      <c r="Y796" s="4">
        <f>Sheet1[[#This Row],[Shipping_cost]]*Sheet1[[#This Row],[Quantity]]</f>
        <v>11.67</v>
      </c>
      <c r="Z796" s="4">
        <f>Sheet1[[#This Row],[Total Profit]]-Sheet1[[#This Row],[Total Shipping Cost]]</f>
        <v>40.349999999999994</v>
      </c>
      <c r="AA796" s="4" t="str">
        <f>IF(Sheet1[[#This Row],[Net Profit]]&gt;0,"Profit","Loss")</f>
        <v>Profit</v>
      </c>
    </row>
    <row r="797" spans="1:27" x14ac:dyDescent="0.25">
      <c r="A797" t="s">
        <v>1051</v>
      </c>
      <c r="B797" s="1">
        <v>40600</v>
      </c>
      <c r="C797" s="1">
        <v>40604</v>
      </c>
      <c r="D797" t="s">
        <v>1</v>
      </c>
      <c r="E797" t="s">
        <v>379</v>
      </c>
      <c r="F797" t="s">
        <v>43</v>
      </c>
      <c r="G797" t="s">
        <v>120</v>
      </c>
      <c r="H797" t="s">
        <v>110</v>
      </c>
      <c r="I797" t="s">
        <v>75</v>
      </c>
      <c r="J797" t="s">
        <v>111</v>
      </c>
      <c r="K797" t="s">
        <v>38</v>
      </c>
      <c r="L797" t="s">
        <v>82</v>
      </c>
      <c r="M797">
        <v>52</v>
      </c>
      <c r="N797">
        <v>3</v>
      </c>
      <c r="O797">
        <v>0</v>
      </c>
      <c r="P797">
        <v>18.66</v>
      </c>
      <c r="Q797">
        <v>3.68</v>
      </c>
      <c r="R797" t="s">
        <v>9</v>
      </c>
      <c r="S797">
        <f>Sheet1[[#This Row],[Ship_date]]-Sheet1[[#This Row],[Order_date]]</f>
        <v>4</v>
      </c>
      <c r="T797">
        <f>Sheet1[[#This Row],[Quantity]]*Sheet1[[#This Row],[Sales]]</f>
        <v>156</v>
      </c>
      <c r="U797">
        <f>Sheet1[[#This Row],[Total Sales]]*Sheet1[[#This Row],[Discount]]</f>
        <v>0</v>
      </c>
      <c r="V797" s="4">
        <f>Sheet1[[#This Row],[Total Sales]]-Sheet1[[#This Row],[Total Sales]]*Sheet1[[#This Row],[Discount]]</f>
        <v>156</v>
      </c>
      <c r="W797" s="4">
        <f>Sheet1[[#This Row],[Quantity]]*Sheet1[[#This Row],[Profit]]</f>
        <v>55.980000000000004</v>
      </c>
      <c r="X797" s="5">
        <f>Sheet1[[#This Row],[Total Profit]]/Sheet1[[#This Row],[Sales After Discount]]</f>
        <v>0.35884615384615387</v>
      </c>
      <c r="Y797" s="4">
        <f>Sheet1[[#This Row],[Shipping_cost]]*Sheet1[[#This Row],[Quantity]]</f>
        <v>11.040000000000001</v>
      </c>
      <c r="Z797" s="4">
        <f>Sheet1[[#This Row],[Total Profit]]-Sheet1[[#This Row],[Total Shipping Cost]]</f>
        <v>44.940000000000005</v>
      </c>
      <c r="AA797" s="4" t="str">
        <f>IF(Sheet1[[#This Row],[Net Profit]]&gt;0,"Profit","Loss")</f>
        <v>Profit</v>
      </c>
    </row>
    <row r="798" spans="1:27" x14ac:dyDescent="0.25">
      <c r="A798" t="s">
        <v>1052</v>
      </c>
      <c r="B798" s="1">
        <v>40600</v>
      </c>
      <c r="C798" s="1">
        <v>40604</v>
      </c>
      <c r="D798" t="s">
        <v>1</v>
      </c>
      <c r="E798" t="s">
        <v>379</v>
      </c>
      <c r="F798" t="s">
        <v>43</v>
      </c>
      <c r="G798" t="s">
        <v>117</v>
      </c>
      <c r="H798" t="s">
        <v>101</v>
      </c>
      <c r="I798" t="s">
        <v>75</v>
      </c>
      <c r="J798" t="s">
        <v>102</v>
      </c>
      <c r="K798" t="s">
        <v>38</v>
      </c>
      <c r="L798" t="s">
        <v>77</v>
      </c>
      <c r="M798">
        <v>71</v>
      </c>
      <c r="N798">
        <v>4</v>
      </c>
      <c r="O798">
        <v>0.6</v>
      </c>
      <c r="P798">
        <v>-51.456000000000003</v>
      </c>
      <c r="Q798">
        <v>2.95</v>
      </c>
      <c r="R798" t="s">
        <v>9</v>
      </c>
      <c r="S798">
        <f>Sheet1[[#This Row],[Ship_date]]-Sheet1[[#This Row],[Order_date]]</f>
        <v>4</v>
      </c>
      <c r="T798">
        <f>Sheet1[[#This Row],[Quantity]]*Sheet1[[#This Row],[Sales]]</f>
        <v>284</v>
      </c>
      <c r="U798">
        <f>Sheet1[[#This Row],[Total Sales]]*Sheet1[[#This Row],[Discount]]</f>
        <v>170.4</v>
      </c>
      <c r="V798" s="4">
        <f>Sheet1[[#This Row],[Total Sales]]-Sheet1[[#This Row],[Total Sales]]*Sheet1[[#This Row],[Discount]]</f>
        <v>113.6</v>
      </c>
      <c r="W798" s="4">
        <f>Sheet1[[#This Row],[Quantity]]*Sheet1[[#This Row],[Profit]]</f>
        <v>-205.82400000000001</v>
      </c>
      <c r="X798" s="5">
        <f>Sheet1[[#This Row],[Total Profit]]/Sheet1[[#This Row],[Sales After Discount]]</f>
        <v>-1.8118309859154931</v>
      </c>
      <c r="Y798" s="4">
        <f>Sheet1[[#This Row],[Shipping_cost]]*Sheet1[[#This Row],[Quantity]]</f>
        <v>11.8</v>
      </c>
      <c r="Z798" s="4">
        <f>Sheet1[[#This Row],[Total Profit]]-Sheet1[[#This Row],[Total Shipping Cost]]</f>
        <v>-217.62400000000002</v>
      </c>
      <c r="AA798" s="4" t="str">
        <f>IF(Sheet1[[#This Row],[Net Profit]]&gt;0,"Profit","Loss")</f>
        <v>Loss</v>
      </c>
    </row>
    <row r="799" spans="1:27" x14ac:dyDescent="0.25">
      <c r="A799" t="s">
        <v>1052</v>
      </c>
      <c r="B799" s="1">
        <v>40600</v>
      </c>
      <c r="C799" s="1">
        <v>40604</v>
      </c>
      <c r="D799" t="s">
        <v>1</v>
      </c>
      <c r="E799" t="s">
        <v>379</v>
      </c>
      <c r="F799" t="s">
        <v>43</v>
      </c>
      <c r="G799" t="s">
        <v>117</v>
      </c>
      <c r="H799" t="s">
        <v>101</v>
      </c>
      <c r="I799" t="s">
        <v>75</v>
      </c>
      <c r="J799" t="s">
        <v>102</v>
      </c>
      <c r="K799" t="s">
        <v>7</v>
      </c>
      <c r="L799" t="s">
        <v>16</v>
      </c>
      <c r="M799">
        <v>22</v>
      </c>
      <c r="N799">
        <v>2</v>
      </c>
      <c r="O799">
        <v>0.6</v>
      </c>
      <c r="P799">
        <v>-31.384</v>
      </c>
      <c r="Q799">
        <v>2.0699999999999998</v>
      </c>
      <c r="R799" t="s">
        <v>9</v>
      </c>
      <c r="S799">
        <f>Sheet1[[#This Row],[Ship_date]]-Sheet1[[#This Row],[Order_date]]</f>
        <v>4</v>
      </c>
      <c r="T799">
        <f>Sheet1[[#This Row],[Quantity]]*Sheet1[[#This Row],[Sales]]</f>
        <v>44</v>
      </c>
      <c r="U799">
        <f>Sheet1[[#This Row],[Total Sales]]*Sheet1[[#This Row],[Discount]]</f>
        <v>26.4</v>
      </c>
      <c r="V799" s="4">
        <f>Sheet1[[#This Row],[Total Sales]]-Sheet1[[#This Row],[Total Sales]]*Sheet1[[#This Row],[Discount]]</f>
        <v>17.600000000000001</v>
      </c>
      <c r="W799" s="4">
        <f>Sheet1[[#This Row],[Quantity]]*Sheet1[[#This Row],[Profit]]</f>
        <v>-62.768000000000001</v>
      </c>
      <c r="X799" s="5">
        <f>Sheet1[[#This Row],[Total Profit]]/Sheet1[[#This Row],[Sales After Discount]]</f>
        <v>-3.566363636363636</v>
      </c>
      <c r="Y799" s="4">
        <f>Sheet1[[#This Row],[Shipping_cost]]*Sheet1[[#This Row],[Quantity]]</f>
        <v>4.1399999999999997</v>
      </c>
      <c r="Z799" s="4">
        <f>Sheet1[[#This Row],[Total Profit]]-Sheet1[[#This Row],[Total Shipping Cost]]</f>
        <v>-66.908000000000001</v>
      </c>
      <c r="AA799" s="4" t="str">
        <f>IF(Sheet1[[#This Row],[Net Profit]]&gt;0,"Profit","Loss")</f>
        <v>Loss</v>
      </c>
    </row>
    <row r="800" spans="1:27" x14ac:dyDescent="0.25">
      <c r="A800" t="s">
        <v>1052</v>
      </c>
      <c r="B800" s="1">
        <v>40600</v>
      </c>
      <c r="C800" s="1">
        <v>40604</v>
      </c>
      <c r="D800" t="s">
        <v>1</v>
      </c>
      <c r="E800" t="s">
        <v>379</v>
      </c>
      <c r="F800" t="s">
        <v>43</v>
      </c>
      <c r="G800" t="s">
        <v>117</v>
      </c>
      <c r="H800" t="s">
        <v>101</v>
      </c>
      <c r="I800" t="s">
        <v>75</v>
      </c>
      <c r="J800" t="s">
        <v>102</v>
      </c>
      <c r="K800" t="s">
        <v>38</v>
      </c>
      <c r="L800" t="s">
        <v>82</v>
      </c>
      <c r="M800">
        <v>21</v>
      </c>
      <c r="N800">
        <v>3</v>
      </c>
      <c r="O800">
        <v>0.6</v>
      </c>
      <c r="P800">
        <v>-12.516</v>
      </c>
      <c r="Q800">
        <v>1.87</v>
      </c>
      <c r="R800" t="s">
        <v>9</v>
      </c>
      <c r="S800">
        <f>Sheet1[[#This Row],[Ship_date]]-Sheet1[[#This Row],[Order_date]]</f>
        <v>4</v>
      </c>
      <c r="T800">
        <f>Sheet1[[#This Row],[Quantity]]*Sheet1[[#This Row],[Sales]]</f>
        <v>63</v>
      </c>
      <c r="U800">
        <f>Sheet1[[#This Row],[Total Sales]]*Sheet1[[#This Row],[Discount]]</f>
        <v>37.799999999999997</v>
      </c>
      <c r="V800" s="4">
        <f>Sheet1[[#This Row],[Total Sales]]-Sheet1[[#This Row],[Total Sales]]*Sheet1[[#This Row],[Discount]]</f>
        <v>25.200000000000003</v>
      </c>
      <c r="W800" s="4">
        <f>Sheet1[[#This Row],[Quantity]]*Sheet1[[#This Row],[Profit]]</f>
        <v>-37.548000000000002</v>
      </c>
      <c r="X800" s="5">
        <f>Sheet1[[#This Row],[Total Profit]]/Sheet1[[#This Row],[Sales After Discount]]</f>
        <v>-1.49</v>
      </c>
      <c r="Y800" s="4">
        <f>Sheet1[[#This Row],[Shipping_cost]]*Sheet1[[#This Row],[Quantity]]</f>
        <v>5.61</v>
      </c>
      <c r="Z800" s="4">
        <f>Sheet1[[#This Row],[Total Profit]]-Sheet1[[#This Row],[Total Shipping Cost]]</f>
        <v>-43.158000000000001</v>
      </c>
      <c r="AA800" s="4" t="str">
        <f>IF(Sheet1[[#This Row],[Net Profit]]&gt;0,"Profit","Loss")</f>
        <v>Loss</v>
      </c>
    </row>
    <row r="801" spans="1:27" x14ac:dyDescent="0.25">
      <c r="A801" t="s">
        <v>1039</v>
      </c>
      <c r="B801" s="1">
        <v>40600</v>
      </c>
      <c r="C801" s="1">
        <v>40602</v>
      </c>
      <c r="D801" t="s">
        <v>18</v>
      </c>
      <c r="E801" t="s">
        <v>1040</v>
      </c>
      <c r="F801" t="s">
        <v>43</v>
      </c>
      <c r="G801" t="s">
        <v>1041</v>
      </c>
      <c r="H801" t="s">
        <v>345</v>
      </c>
      <c r="I801" t="s">
        <v>75</v>
      </c>
      <c r="J801" t="s">
        <v>76</v>
      </c>
      <c r="K801" t="s">
        <v>7</v>
      </c>
      <c r="L801" t="s">
        <v>31</v>
      </c>
      <c r="M801">
        <v>11</v>
      </c>
      <c r="N801">
        <v>1</v>
      </c>
      <c r="O801">
        <v>0</v>
      </c>
      <c r="P801">
        <v>3.2</v>
      </c>
      <c r="Q801">
        <v>0.65</v>
      </c>
      <c r="R801" t="s">
        <v>9</v>
      </c>
      <c r="S801">
        <f>Sheet1[[#This Row],[Ship_date]]-Sheet1[[#This Row],[Order_date]]</f>
        <v>2</v>
      </c>
      <c r="T801">
        <f>Sheet1[[#This Row],[Quantity]]*Sheet1[[#This Row],[Sales]]</f>
        <v>11</v>
      </c>
      <c r="U801">
        <f>Sheet1[[#This Row],[Total Sales]]*Sheet1[[#This Row],[Discount]]</f>
        <v>0</v>
      </c>
      <c r="V801" s="4">
        <f>Sheet1[[#This Row],[Total Sales]]-Sheet1[[#This Row],[Total Sales]]*Sheet1[[#This Row],[Discount]]</f>
        <v>11</v>
      </c>
      <c r="W801" s="4">
        <f>Sheet1[[#This Row],[Quantity]]*Sheet1[[#This Row],[Profit]]</f>
        <v>3.2</v>
      </c>
      <c r="X801" s="5">
        <f>Sheet1[[#This Row],[Total Profit]]/Sheet1[[#This Row],[Sales After Discount]]</f>
        <v>0.29090909090909095</v>
      </c>
      <c r="Y801" s="4">
        <f>Sheet1[[#This Row],[Shipping_cost]]*Sheet1[[#This Row],[Quantity]]</f>
        <v>0.65</v>
      </c>
      <c r="Z801" s="4">
        <f>Sheet1[[#This Row],[Total Profit]]-Sheet1[[#This Row],[Total Shipping Cost]]</f>
        <v>2.5500000000000003</v>
      </c>
      <c r="AA801" s="4" t="str">
        <f>IF(Sheet1[[#This Row],[Net Profit]]&gt;0,"Profit","Loss")</f>
        <v>Profit</v>
      </c>
    </row>
    <row r="802" spans="1:27" x14ac:dyDescent="0.25">
      <c r="A802" t="s">
        <v>1055</v>
      </c>
      <c r="B802" s="1">
        <v>40601</v>
      </c>
      <c r="C802" s="1">
        <v>40608</v>
      </c>
      <c r="D802" t="s">
        <v>1</v>
      </c>
      <c r="E802" t="s">
        <v>1056</v>
      </c>
      <c r="F802" t="s">
        <v>3</v>
      </c>
      <c r="G802" t="s">
        <v>1057</v>
      </c>
      <c r="H802" t="s">
        <v>81</v>
      </c>
      <c r="I802" t="s">
        <v>22</v>
      </c>
      <c r="J802" t="s">
        <v>22</v>
      </c>
      <c r="K802" t="s">
        <v>38</v>
      </c>
      <c r="L802" t="s">
        <v>39</v>
      </c>
      <c r="M802">
        <v>625</v>
      </c>
      <c r="N802">
        <v>8</v>
      </c>
      <c r="O802">
        <v>0</v>
      </c>
      <c r="P802">
        <v>93.6</v>
      </c>
      <c r="Q802">
        <v>54.7</v>
      </c>
      <c r="R802" t="s">
        <v>9</v>
      </c>
      <c r="S802">
        <f>Sheet1[[#This Row],[Ship_date]]-Sheet1[[#This Row],[Order_date]]</f>
        <v>7</v>
      </c>
      <c r="T802">
        <f>Sheet1[[#This Row],[Quantity]]*Sheet1[[#This Row],[Sales]]</f>
        <v>5000</v>
      </c>
      <c r="U802">
        <f>Sheet1[[#This Row],[Total Sales]]*Sheet1[[#This Row],[Discount]]</f>
        <v>0</v>
      </c>
      <c r="V802" s="4">
        <f>Sheet1[[#This Row],[Total Sales]]-Sheet1[[#This Row],[Total Sales]]*Sheet1[[#This Row],[Discount]]</f>
        <v>5000</v>
      </c>
      <c r="W802" s="4">
        <f>Sheet1[[#This Row],[Quantity]]*Sheet1[[#This Row],[Profit]]</f>
        <v>748.8</v>
      </c>
      <c r="X802" s="5">
        <f>Sheet1[[#This Row],[Total Profit]]/Sheet1[[#This Row],[Sales After Discount]]</f>
        <v>0.14976</v>
      </c>
      <c r="Y802" s="4">
        <f>Sheet1[[#This Row],[Shipping_cost]]*Sheet1[[#This Row],[Quantity]]</f>
        <v>437.6</v>
      </c>
      <c r="Z802" s="4">
        <f>Sheet1[[#This Row],[Total Profit]]-Sheet1[[#This Row],[Total Shipping Cost]]</f>
        <v>311.19999999999993</v>
      </c>
      <c r="AA802" s="4" t="str">
        <f>IF(Sheet1[[#This Row],[Net Profit]]&gt;0,"Profit","Loss")</f>
        <v>Profit</v>
      </c>
    </row>
    <row r="803" spans="1:27" x14ac:dyDescent="0.25">
      <c r="A803" t="s">
        <v>1058</v>
      </c>
      <c r="B803" s="1">
        <v>40602</v>
      </c>
      <c r="C803" s="1">
        <v>40605</v>
      </c>
      <c r="D803" t="s">
        <v>142</v>
      </c>
      <c r="E803" t="s">
        <v>481</v>
      </c>
      <c r="F803" t="s">
        <v>26</v>
      </c>
      <c r="G803" t="s">
        <v>926</v>
      </c>
      <c r="H803" t="s">
        <v>801</v>
      </c>
      <c r="I803" t="s">
        <v>14</v>
      </c>
      <c r="J803" t="s">
        <v>132</v>
      </c>
      <c r="K803" t="s">
        <v>7</v>
      </c>
      <c r="L803" t="s">
        <v>44</v>
      </c>
      <c r="M803">
        <v>811</v>
      </c>
      <c r="N803">
        <v>3</v>
      </c>
      <c r="O803">
        <v>0.5</v>
      </c>
      <c r="P803">
        <v>-599.94000000000005</v>
      </c>
      <c r="Q803">
        <v>236.16</v>
      </c>
      <c r="R803" t="s">
        <v>45</v>
      </c>
      <c r="S803">
        <f>Sheet1[[#This Row],[Ship_date]]-Sheet1[[#This Row],[Order_date]]</f>
        <v>3</v>
      </c>
      <c r="T803">
        <f>Sheet1[[#This Row],[Quantity]]*Sheet1[[#This Row],[Sales]]</f>
        <v>2433</v>
      </c>
      <c r="U803">
        <f>Sheet1[[#This Row],[Total Sales]]*Sheet1[[#This Row],[Discount]]</f>
        <v>1216.5</v>
      </c>
      <c r="V803" s="4">
        <f>Sheet1[[#This Row],[Total Sales]]-Sheet1[[#This Row],[Total Sales]]*Sheet1[[#This Row],[Discount]]</f>
        <v>1216.5</v>
      </c>
      <c r="W803" s="4">
        <f>Sheet1[[#This Row],[Quantity]]*Sheet1[[#This Row],[Profit]]</f>
        <v>-1799.8200000000002</v>
      </c>
      <c r="X803" s="5">
        <f>Sheet1[[#This Row],[Total Profit]]/Sheet1[[#This Row],[Sales After Discount]]</f>
        <v>-1.4795067817509249</v>
      </c>
      <c r="Y803" s="4">
        <f>Sheet1[[#This Row],[Shipping_cost]]*Sheet1[[#This Row],[Quantity]]</f>
        <v>708.48</v>
      </c>
      <c r="Z803" s="4">
        <f>Sheet1[[#This Row],[Total Profit]]-Sheet1[[#This Row],[Total Shipping Cost]]</f>
        <v>-2508.3000000000002</v>
      </c>
      <c r="AA803" s="4" t="str">
        <f>IF(Sheet1[[#This Row],[Net Profit]]&gt;0,"Profit","Loss")</f>
        <v>Loss</v>
      </c>
    </row>
    <row r="804" spans="1:27" x14ac:dyDescent="0.25">
      <c r="A804" t="s">
        <v>1058</v>
      </c>
      <c r="B804" s="1">
        <v>40602</v>
      </c>
      <c r="C804" s="1">
        <v>40605</v>
      </c>
      <c r="D804" t="s">
        <v>142</v>
      </c>
      <c r="E804" t="s">
        <v>481</v>
      </c>
      <c r="F804" t="s">
        <v>26</v>
      </c>
      <c r="G804" t="s">
        <v>926</v>
      </c>
      <c r="H804" t="s">
        <v>801</v>
      </c>
      <c r="I804" t="s">
        <v>14</v>
      </c>
      <c r="J804" t="s">
        <v>132</v>
      </c>
      <c r="K804" t="s">
        <v>32</v>
      </c>
      <c r="L804" t="s">
        <v>33</v>
      </c>
      <c r="M804">
        <v>401</v>
      </c>
      <c r="N804">
        <v>10</v>
      </c>
      <c r="O804">
        <v>0.2</v>
      </c>
      <c r="P804">
        <v>-5.22</v>
      </c>
      <c r="Q804">
        <v>108.34</v>
      </c>
      <c r="R804" t="s">
        <v>45</v>
      </c>
      <c r="S804">
        <f>Sheet1[[#This Row],[Ship_date]]-Sheet1[[#This Row],[Order_date]]</f>
        <v>3</v>
      </c>
      <c r="T804">
        <f>Sheet1[[#This Row],[Quantity]]*Sheet1[[#This Row],[Sales]]</f>
        <v>4010</v>
      </c>
      <c r="U804">
        <f>Sheet1[[#This Row],[Total Sales]]*Sheet1[[#This Row],[Discount]]</f>
        <v>802</v>
      </c>
      <c r="V804" s="4">
        <f>Sheet1[[#This Row],[Total Sales]]-Sheet1[[#This Row],[Total Sales]]*Sheet1[[#This Row],[Discount]]</f>
        <v>3208</v>
      </c>
      <c r="W804" s="4">
        <f>Sheet1[[#This Row],[Quantity]]*Sheet1[[#This Row],[Profit]]</f>
        <v>-52.199999999999996</v>
      </c>
      <c r="X804" s="5">
        <f>Sheet1[[#This Row],[Total Profit]]/Sheet1[[#This Row],[Sales After Discount]]</f>
        <v>-1.6271820448877806E-2</v>
      </c>
      <c r="Y804" s="4">
        <f>Sheet1[[#This Row],[Shipping_cost]]*Sheet1[[#This Row],[Quantity]]</f>
        <v>1083.4000000000001</v>
      </c>
      <c r="Z804" s="4">
        <f>Sheet1[[#This Row],[Total Profit]]-Sheet1[[#This Row],[Total Shipping Cost]]</f>
        <v>-1135.6000000000001</v>
      </c>
      <c r="AA804" s="4" t="str">
        <f>IF(Sheet1[[#This Row],[Net Profit]]&gt;0,"Profit","Loss")</f>
        <v>Loss</v>
      </c>
    </row>
    <row r="805" spans="1:27" x14ac:dyDescent="0.25">
      <c r="A805" t="s">
        <v>1059</v>
      </c>
      <c r="B805" s="1">
        <v>40602</v>
      </c>
      <c r="C805" s="1">
        <v>40602</v>
      </c>
      <c r="D805" t="s">
        <v>41</v>
      </c>
      <c r="E805" t="s">
        <v>1060</v>
      </c>
      <c r="F805" t="s">
        <v>3</v>
      </c>
      <c r="G805" t="s">
        <v>1014</v>
      </c>
      <c r="H805" t="s">
        <v>101</v>
      </c>
      <c r="I805" t="s">
        <v>75</v>
      </c>
      <c r="J805" t="s">
        <v>102</v>
      </c>
      <c r="K805" t="s">
        <v>38</v>
      </c>
      <c r="L805" t="s">
        <v>39</v>
      </c>
      <c r="M805">
        <v>358</v>
      </c>
      <c r="N805">
        <v>2</v>
      </c>
      <c r="O805">
        <v>0</v>
      </c>
      <c r="P805">
        <v>110.96</v>
      </c>
      <c r="Q805">
        <v>64.95</v>
      </c>
      <c r="R805" t="s">
        <v>23</v>
      </c>
      <c r="S805">
        <f>Sheet1[[#This Row],[Ship_date]]-Sheet1[[#This Row],[Order_date]]</f>
        <v>0</v>
      </c>
      <c r="T805">
        <f>Sheet1[[#This Row],[Quantity]]*Sheet1[[#This Row],[Sales]]</f>
        <v>716</v>
      </c>
      <c r="U805">
        <f>Sheet1[[#This Row],[Total Sales]]*Sheet1[[#This Row],[Discount]]</f>
        <v>0</v>
      </c>
      <c r="V805" s="4">
        <f>Sheet1[[#This Row],[Total Sales]]-Sheet1[[#This Row],[Total Sales]]*Sheet1[[#This Row],[Discount]]</f>
        <v>716</v>
      </c>
      <c r="W805" s="4">
        <f>Sheet1[[#This Row],[Quantity]]*Sheet1[[#This Row],[Profit]]</f>
        <v>221.92</v>
      </c>
      <c r="X805" s="5">
        <f>Sheet1[[#This Row],[Total Profit]]/Sheet1[[#This Row],[Sales After Discount]]</f>
        <v>0.30994413407821225</v>
      </c>
      <c r="Y805" s="4">
        <f>Sheet1[[#This Row],[Shipping_cost]]*Sheet1[[#This Row],[Quantity]]</f>
        <v>129.9</v>
      </c>
      <c r="Z805" s="4">
        <f>Sheet1[[#This Row],[Total Profit]]-Sheet1[[#This Row],[Total Shipping Cost]]</f>
        <v>92.019999999999982</v>
      </c>
      <c r="AA805" s="4" t="str">
        <f>IF(Sheet1[[#This Row],[Net Profit]]&gt;0,"Profit","Loss")</f>
        <v>Profit</v>
      </c>
    </row>
    <row r="806" spans="1:27" x14ac:dyDescent="0.25">
      <c r="A806" t="s">
        <v>1058</v>
      </c>
      <c r="B806" s="1">
        <v>40602</v>
      </c>
      <c r="C806" s="1">
        <v>40605</v>
      </c>
      <c r="D806" t="s">
        <v>142</v>
      </c>
      <c r="E806" t="s">
        <v>481</v>
      </c>
      <c r="F806" t="s">
        <v>26</v>
      </c>
      <c r="G806" t="s">
        <v>926</v>
      </c>
      <c r="H806" t="s">
        <v>801</v>
      </c>
      <c r="I806" t="s">
        <v>14</v>
      </c>
      <c r="J806" t="s">
        <v>132</v>
      </c>
      <c r="K806" t="s">
        <v>7</v>
      </c>
      <c r="L806" t="s">
        <v>44</v>
      </c>
      <c r="M806">
        <v>311</v>
      </c>
      <c r="N806">
        <v>2</v>
      </c>
      <c r="O806">
        <v>0.5</v>
      </c>
      <c r="P806">
        <v>-224.01</v>
      </c>
      <c r="Q806">
        <v>60.79</v>
      </c>
      <c r="R806" t="s">
        <v>45</v>
      </c>
      <c r="S806">
        <f>Sheet1[[#This Row],[Ship_date]]-Sheet1[[#This Row],[Order_date]]</f>
        <v>3</v>
      </c>
      <c r="T806">
        <f>Sheet1[[#This Row],[Quantity]]*Sheet1[[#This Row],[Sales]]</f>
        <v>622</v>
      </c>
      <c r="U806">
        <f>Sheet1[[#This Row],[Total Sales]]*Sheet1[[#This Row],[Discount]]</f>
        <v>311</v>
      </c>
      <c r="V806" s="4">
        <f>Sheet1[[#This Row],[Total Sales]]-Sheet1[[#This Row],[Total Sales]]*Sheet1[[#This Row],[Discount]]</f>
        <v>311</v>
      </c>
      <c r="W806" s="4">
        <f>Sheet1[[#This Row],[Quantity]]*Sheet1[[#This Row],[Profit]]</f>
        <v>-448.02</v>
      </c>
      <c r="X806" s="5">
        <f>Sheet1[[#This Row],[Total Profit]]/Sheet1[[#This Row],[Sales After Discount]]</f>
        <v>-1.4405787781350481</v>
      </c>
      <c r="Y806" s="4">
        <f>Sheet1[[#This Row],[Shipping_cost]]*Sheet1[[#This Row],[Quantity]]</f>
        <v>121.58</v>
      </c>
      <c r="Z806" s="4">
        <f>Sheet1[[#This Row],[Total Profit]]-Sheet1[[#This Row],[Total Shipping Cost]]</f>
        <v>-569.6</v>
      </c>
      <c r="AA806" s="4" t="str">
        <f>IF(Sheet1[[#This Row],[Net Profit]]&gt;0,"Profit","Loss")</f>
        <v>Loss</v>
      </c>
    </row>
    <row r="807" spans="1:27" x14ac:dyDescent="0.25">
      <c r="A807" t="s">
        <v>1058</v>
      </c>
      <c r="B807" s="1">
        <v>40602</v>
      </c>
      <c r="C807" s="1">
        <v>40605</v>
      </c>
      <c r="D807" t="s">
        <v>142</v>
      </c>
      <c r="E807" t="s">
        <v>481</v>
      </c>
      <c r="F807" t="s">
        <v>26</v>
      </c>
      <c r="G807" t="s">
        <v>926</v>
      </c>
      <c r="H807" t="s">
        <v>801</v>
      </c>
      <c r="I807" t="s">
        <v>14</v>
      </c>
      <c r="J807" t="s">
        <v>132</v>
      </c>
      <c r="K807" t="s">
        <v>32</v>
      </c>
      <c r="L807" t="s">
        <v>33</v>
      </c>
      <c r="M807">
        <v>140</v>
      </c>
      <c r="N807">
        <v>7</v>
      </c>
      <c r="O807">
        <v>0.2</v>
      </c>
      <c r="P807">
        <v>6.8040000000000003</v>
      </c>
      <c r="Q807">
        <v>50.88</v>
      </c>
      <c r="R807" t="s">
        <v>45</v>
      </c>
      <c r="S807">
        <f>Sheet1[[#This Row],[Ship_date]]-Sheet1[[#This Row],[Order_date]]</f>
        <v>3</v>
      </c>
      <c r="T807">
        <f>Sheet1[[#This Row],[Quantity]]*Sheet1[[#This Row],[Sales]]</f>
        <v>980</v>
      </c>
      <c r="U807">
        <f>Sheet1[[#This Row],[Total Sales]]*Sheet1[[#This Row],[Discount]]</f>
        <v>196</v>
      </c>
      <c r="V807" s="4">
        <f>Sheet1[[#This Row],[Total Sales]]-Sheet1[[#This Row],[Total Sales]]*Sheet1[[#This Row],[Discount]]</f>
        <v>784</v>
      </c>
      <c r="W807" s="4">
        <f>Sheet1[[#This Row],[Quantity]]*Sheet1[[#This Row],[Profit]]</f>
        <v>47.628</v>
      </c>
      <c r="X807" s="5">
        <f>Sheet1[[#This Row],[Total Profit]]/Sheet1[[#This Row],[Sales After Discount]]</f>
        <v>6.0749999999999998E-2</v>
      </c>
      <c r="Y807" s="4">
        <f>Sheet1[[#This Row],[Shipping_cost]]*Sheet1[[#This Row],[Quantity]]</f>
        <v>356.16</v>
      </c>
      <c r="Z807" s="4">
        <f>Sheet1[[#This Row],[Total Profit]]-Sheet1[[#This Row],[Total Shipping Cost]]</f>
        <v>-308.53200000000004</v>
      </c>
      <c r="AA807" s="4" t="str">
        <f>IF(Sheet1[[#This Row],[Net Profit]]&gt;0,"Profit","Loss")</f>
        <v>Loss</v>
      </c>
    </row>
    <row r="808" spans="1:27" x14ac:dyDescent="0.25">
      <c r="A808" t="s">
        <v>1061</v>
      </c>
      <c r="B808" s="1">
        <v>40602</v>
      </c>
      <c r="C808" s="1">
        <v>40606</v>
      </c>
      <c r="D808" t="s">
        <v>18</v>
      </c>
      <c r="E808" t="s">
        <v>748</v>
      </c>
      <c r="F808" t="s">
        <v>26</v>
      </c>
      <c r="G808" t="s">
        <v>59</v>
      </c>
      <c r="H808" t="s">
        <v>60</v>
      </c>
      <c r="I808" t="s">
        <v>14</v>
      </c>
      <c r="J808" t="s">
        <v>61</v>
      </c>
      <c r="K808" t="s">
        <v>38</v>
      </c>
      <c r="L808" t="s">
        <v>82</v>
      </c>
      <c r="M808">
        <v>120</v>
      </c>
      <c r="N808">
        <v>3</v>
      </c>
      <c r="O808">
        <v>0.45</v>
      </c>
      <c r="P808">
        <v>10.8225</v>
      </c>
      <c r="Q808">
        <v>18.64</v>
      </c>
      <c r="R808" t="s">
        <v>9</v>
      </c>
      <c r="S808">
        <f>Sheet1[[#This Row],[Ship_date]]-Sheet1[[#This Row],[Order_date]]</f>
        <v>4</v>
      </c>
      <c r="T808">
        <f>Sheet1[[#This Row],[Quantity]]*Sheet1[[#This Row],[Sales]]</f>
        <v>360</v>
      </c>
      <c r="U808">
        <f>Sheet1[[#This Row],[Total Sales]]*Sheet1[[#This Row],[Discount]]</f>
        <v>162</v>
      </c>
      <c r="V808" s="4">
        <f>Sheet1[[#This Row],[Total Sales]]-Sheet1[[#This Row],[Total Sales]]*Sheet1[[#This Row],[Discount]]</f>
        <v>198</v>
      </c>
      <c r="W808" s="4">
        <f>Sheet1[[#This Row],[Quantity]]*Sheet1[[#This Row],[Profit]]</f>
        <v>32.467500000000001</v>
      </c>
      <c r="X808" s="5">
        <f>Sheet1[[#This Row],[Total Profit]]/Sheet1[[#This Row],[Sales After Discount]]</f>
        <v>0.16397727272727272</v>
      </c>
      <c r="Y808" s="4">
        <f>Sheet1[[#This Row],[Shipping_cost]]*Sheet1[[#This Row],[Quantity]]</f>
        <v>55.92</v>
      </c>
      <c r="Z808" s="4">
        <f>Sheet1[[#This Row],[Total Profit]]-Sheet1[[#This Row],[Total Shipping Cost]]</f>
        <v>-23.452500000000001</v>
      </c>
      <c r="AA808" s="4" t="str">
        <f>IF(Sheet1[[#This Row],[Net Profit]]&gt;0,"Profit","Loss")</f>
        <v>Loss</v>
      </c>
    </row>
    <row r="809" spans="1:27" x14ac:dyDescent="0.25">
      <c r="A809" t="s">
        <v>1058</v>
      </c>
      <c r="B809" s="1">
        <v>40602</v>
      </c>
      <c r="C809" s="1">
        <v>40605</v>
      </c>
      <c r="D809" t="s">
        <v>142</v>
      </c>
      <c r="E809" t="s">
        <v>481</v>
      </c>
      <c r="F809" t="s">
        <v>26</v>
      </c>
      <c r="G809" t="s">
        <v>926</v>
      </c>
      <c r="H809" t="s">
        <v>801</v>
      </c>
      <c r="I809" t="s">
        <v>14</v>
      </c>
      <c r="J809" t="s">
        <v>132</v>
      </c>
      <c r="K809" t="s">
        <v>38</v>
      </c>
      <c r="L809" t="s">
        <v>82</v>
      </c>
      <c r="M809">
        <v>115</v>
      </c>
      <c r="N809">
        <v>2</v>
      </c>
      <c r="O809">
        <v>0.5</v>
      </c>
      <c r="P809">
        <v>-50.55</v>
      </c>
      <c r="Q809">
        <v>16.32</v>
      </c>
      <c r="R809" t="s">
        <v>45</v>
      </c>
      <c r="S809">
        <f>Sheet1[[#This Row],[Ship_date]]-Sheet1[[#This Row],[Order_date]]</f>
        <v>3</v>
      </c>
      <c r="T809">
        <f>Sheet1[[#This Row],[Quantity]]*Sheet1[[#This Row],[Sales]]</f>
        <v>230</v>
      </c>
      <c r="U809">
        <f>Sheet1[[#This Row],[Total Sales]]*Sheet1[[#This Row],[Discount]]</f>
        <v>115</v>
      </c>
      <c r="V809" s="4">
        <f>Sheet1[[#This Row],[Total Sales]]-Sheet1[[#This Row],[Total Sales]]*Sheet1[[#This Row],[Discount]]</f>
        <v>115</v>
      </c>
      <c r="W809" s="4">
        <f>Sheet1[[#This Row],[Quantity]]*Sheet1[[#This Row],[Profit]]</f>
        <v>-101.1</v>
      </c>
      <c r="X809" s="5">
        <f>Sheet1[[#This Row],[Total Profit]]/Sheet1[[#This Row],[Sales After Discount]]</f>
        <v>-0.87913043478260866</v>
      </c>
      <c r="Y809" s="4">
        <f>Sheet1[[#This Row],[Shipping_cost]]*Sheet1[[#This Row],[Quantity]]</f>
        <v>32.64</v>
      </c>
      <c r="Z809" s="4">
        <f>Sheet1[[#This Row],[Total Profit]]-Sheet1[[#This Row],[Total Shipping Cost]]</f>
        <v>-133.74</v>
      </c>
      <c r="AA809" s="4" t="str">
        <f>IF(Sheet1[[#This Row],[Net Profit]]&gt;0,"Profit","Loss")</f>
        <v>Loss</v>
      </c>
    </row>
    <row r="810" spans="1:27" x14ac:dyDescent="0.25">
      <c r="A810" t="s">
        <v>1061</v>
      </c>
      <c r="B810" s="1">
        <v>40602</v>
      </c>
      <c r="C810" s="1">
        <v>40606</v>
      </c>
      <c r="D810" t="s">
        <v>18</v>
      </c>
      <c r="E810" t="s">
        <v>748</v>
      </c>
      <c r="F810" t="s">
        <v>26</v>
      </c>
      <c r="G810" t="s">
        <v>59</v>
      </c>
      <c r="H810" t="s">
        <v>60</v>
      </c>
      <c r="I810" t="s">
        <v>14</v>
      </c>
      <c r="J810" t="s">
        <v>61</v>
      </c>
      <c r="K810" t="s">
        <v>7</v>
      </c>
      <c r="L810" t="s">
        <v>137</v>
      </c>
      <c r="M810">
        <v>125</v>
      </c>
      <c r="N810">
        <v>5</v>
      </c>
      <c r="O810">
        <v>0.15</v>
      </c>
      <c r="P810">
        <v>41.182499999999997</v>
      </c>
      <c r="Q810">
        <v>7.71</v>
      </c>
      <c r="R810" t="s">
        <v>9</v>
      </c>
      <c r="S810">
        <f>Sheet1[[#This Row],[Ship_date]]-Sheet1[[#This Row],[Order_date]]</f>
        <v>4</v>
      </c>
      <c r="T810">
        <f>Sheet1[[#This Row],[Quantity]]*Sheet1[[#This Row],[Sales]]</f>
        <v>625</v>
      </c>
      <c r="U810">
        <f>Sheet1[[#This Row],[Total Sales]]*Sheet1[[#This Row],[Discount]]</f>
        <v>93.75</v>
      </c>
      <c r="V810" s="4">
        <f>Sheet1[[#This Row],[Total Sales]]-Sheet1[[#This Row],[Total Sales]]*Sheet1[[#This Row],[Discount]]</f>
        <v>531.25</v>
      </c>
      <c r="W810" s="4">
        <f>Sheet1[[#This Row],[Quantity]]*Sheet1[[#This Row],[Profit]]</f>
        <v>205.91249999999999</v>
      </c>
      <c r="X810" s="5">
        <f>Sheet1[[#This Row],[Total Profit]]/Sheet1[[#This Row],[Sales After Discount]]</f>
        <v>0.3876</v>
      </c>
      <c r="Y810" s="4">
        <f>Sheet1[[#This Row],[Shipping_cost]]*Sheet1[[#This Row],[Quantity]]</f>
        <v>38.549999999999997</v>
      </c>
      <c r="Z810" s="4">
        <f>Sheet1[[#This Row],[Total Profit]]-Sheet1[[#This Row],[Total Shipping Cost]]</f>
        <v>167.36250000000001</v>
      </c>
      <c r="AA810" s="4" t="str">
        <f>IF(Sheet1[[#This Row],[Net Profit]]&gt;0,"Profit","Loss")</f>
        <v>Profit</v>
      </c>
    </row>
    <row r="811" spans="1:27" x14ac:dyDescent="0.25">
      <c r="A811" t="s">
        <v>1062</v>
      </c>
      <c r="B811" s="1">
        <v>40602</v>
      </c>
      <c r="C811" s="1">
        <v>40605</v>
      </c>
      <c r="D811" t="s">
        <v>142</v>
      </c>
      <c r="E811" t="s">
        <v>205</v>
      </c>
      <c r="F811" t="s">
        <v>3</v>
      </c>
      <c r="G811" t="s">
        <v>359</v>
      </c>
      <c r="H811" t="s">
        <v>126</v>
      </c>
      <c r="I811" t="s">
        <v>127</v>
      </c>
      <c r="J811" t="s">
        <v>173</v>
      </c>
      <c r="K811" t="s">
        <v>7</v>
      </c>
      <c r="L811" t="s">
        <v>91</v>
      </c>
      <c r="M811">
        <v>19</v>
      </c>
      <c r="N811">
        <v>4</v>
      </c>
      <c r="O811">
        <v>0.2</v>
      </c>
      <c r="P811">
        <v>3.4047999999999998</v>
      </c>
      <c r="Q811">
        <v>3.38</v>
      </c>
      <c r="R811" t="s">
        <v>9</v>
      </c>
      <c r="S811">
        <f>Sheet1[[#This Row],[Ship_date]]-Sheet1[[#This Row],[Order_date]]</f>
        <v>3</v>
      </c>
      <c r="T811">
        <f>Sheet1[[#This Row],[Quantity]]*Sheet1[[#This Row],[Sales]]</f>
        <v>76</v>
      </c>
      <c r="U811">
        <f>Sheet1[[#This Row],[Total Sales]]*Sheet1[[#This Row],[Discount]]</f>
        <v>15.200000000000001</v>
      </c>
      <c r="V811" s="4">
        <f>Sheet1[[#This Row],[Total Sales]]-Sheet1[[#This Row],[Total Sales]]*Sheet1[[#This Row],[Discount]]</f>
        <v>60.8</v>
      </c>
      <c r="W811" s="4">
        <f>Sheet1[[#This Row],[Quantity]]*Sheet1[[#This Row],[Profit]]</f>
        <v>13.619199999999999</v>
      </c>
      <c r="X811" s="5">
        <f>Sheet1[[#This Row],[Total Profit]]/Sheet1[[#This Row],[Sales After Discount]]</f>
        <v>0.224</v>
      </c>
      <c r="Y811" s="4">
        <f>Sheet1[[#This Row],[Shipping_cost]]*Sheet1[[#This Row],[Quantity]]</f>
        <v>13.52</v>
      </c>
      <c r="Z811" s="4">
        <f>Sheet1[[#This Row],[Total Profit]]-Sheet1[[#This Row],[Total Shipping Cost]]</f>
        <v>9.9199999999999733E-2</v>
      </c>
      <c r="AA811" s="4" t="str">
        <f>IF(Sheet1[[#This Row],[Net Profit]]&gt;0,"Profit","Loss")</f>
        <v>Profit</v>
      </c>
    </row>
    <row r="812" spans="1:27" x14ac:dyDescent="0.25">
      <c r="A812" t="s">
        <v>1063</v>
      </c>
      <c r="B812" s="1">
        <v>40602</v>
      </c>
      <c r="C812" s="1">
        <v>40609</v>
      </c>
      <c r="D812" t="s">
        <v>1</v>
      </c>
      <c r="E812" t="s">
        <v>461</v>
      </c>
      <c r="F812" t="s">
        <v>43</v>
      </c>
      <c r="G812" t="s">
        <v>235</v>
      </c>
      <c r="H812" t="s">
        <v>13</v>
      </c>
      <c r="I812" t="s">
        <v>14</v>
      </c>
      <c r="J812" t="s">
        <v>15</v>
      </c>
      <c r="K812" t="s">
        <v>7</v>
      </c>
      <c r="L812" t="s">
        <v>91</v>
      </c>
      <c r="M812">
        <v>18</v>
      </c>
      <c r="N812">
        <v>1</v>
      </c>
      <c r="O812">
        <v>0.4</v>
      </c>
      <c r="P812">
        <v>-10.007999999999999</v>
      </c>
      <c r="Q812">
        <v>2.15</v>
      </c>
      <c r="R812" t="s">
        <v>9</v>
      </c>
      <c r="S812">
        <f>Sheet1[[#This Row],[Ship_date]]-Sheet1[[#This Row],[Order_date]]</f>
        <v>7</v>
      </c>
      <c r="T812">
        <f>Sheet1[[#This Row],[Quantity]]*Sheet1[[#This Row],[Sales]]</f>
        <v>18</v>
      </c>
      <c r="U812">
        <f>Sheet1[[#This Row],[Total Sales]]*Sheet1[[#This Row],[Discount]]</f>
        <v>7.2</v>
      </c>
      <c r="V812" s="4">
        <f>Sheet1[[#This Row],[Total Sales]]-Sheet1[[#This Row],[Total Sales]]*Sheet1[[#This Row],[Discount]]</f>
        <v>10.8</v>
      </c>
      <c r="W812" s="4">
        <f>Sheet1[[#This Row],[Quantity]]*Sheet1[[#This Row],[Profit]]</f>
        <v>-10.007999999999999</v>
      </c>
      <c r="X812" s="5">
        <f>Sheet1[[#This Row],[Total Profit]]/Sheet1[[#This Row],[Sales After Discount]]</f>
        <v>-0.92666666666666653</v>
      </c>
      <c r="Y812" s="4">
        <f>Sheet1[[#This Row],[Shipping_cost]]*Sheet1[[#This Row],[Quantity]]</f>
        <v>2.15</v>
      </c>
      <c r="Z812" s="4">
        <f>Sheet1[[#This Row],[Total Profit]]-Sheet1[[#This Row],[Total Shipping Cost]]</f>
        <v>-12.157999999999999</v>
      </c>
      <c r="AA812" s="4" t="str">
        <f>IF(Sheet1[[#This Row],[Net Profit]]&gt;0,"Profit","Loss")</f>
        <v>Loss</v>
      </c>
    </row>
    <row r="813" spans="1:27" x14ac:dyDescent="0.25">
      <c r="A813" t="s">
        <v>1064</v>
      </c>
      <c r="B813" s="1">
        <v>40603</v>
      </c>
      <c r="C813" s="1">
        <v>40606</v>
      </c>
      <c r="D813" t="s">
        <v>142</v>
      </c>
      <c r="E813" t="s">
        <v>785</v>
      </c>
      <c r="F813" t="s">
        <v>3</v>
      </c>
      <c r="G813" t="s">
        <v>36</v>
      </c>
      <c r="H813" t="s">
        <v>37</v>
      </c>
      <c r="I813" t="s">
        <v>37</v>
      </c>
      <c r="J813" t="s">
        <v>37</v>
      </c>
      <c r="K813" t="s">
        <v>7</v>
      </c>
      <c r="L813" t="s">
        <v>8</v>
      </c>
      <c r="M813">
        <v>551</v>
      </c>
      <c r="N813">
        <v>4</v>
      </c>
      <c r="O813">
        <v>0</v>
      </c>
      <c r="P813">
        <v>71.64</v>
      </c>
      <c r="Q813">
        <v>164.36</v>
      </c>
      <c r="R813" t="s">
        <v>23</v>
      </c>
      <c r="S813">
        <f>Sheet1[[#This Row],[Ship_date]]-Sheet1[[#This Row],[Order_date]]</f>
        <v>3</v>
      </c>
      <c r="T813">
        <f>Sheet1[[#This Row],[Quantity]]*Sheet1[[#This Row],[Sales]]</f>
        <v>2204</v>
      </c>
      <c r="U813">
        <f>Sheet1[[#This Row],[Total Sales]]*Sheet1[[#This Row],[Discount]]</f>
        <v>0</v>
      </c>
      <c r="V813" s="4">
        <f>Sheet1[[#This Row],[Total Sales]]-Sheet1[[#This Row],[Total Sales]]*Sheet1[[#This Row],[Discount]]</f>
        <v>2204</v>
      </c>
      <c r="W813" s="4">
        <f>Sheet1[[#This Row],[Quantity]]*Sheet1[[#This Row],[Profit]]</f>
        <v>286.56</v>
      </c>
      <c r="X813" s="5">
        <f>Sheet1[[#This Row],[Total Profit]]/Sheet1[[#This Row],[Sales After Discount]]</f>
        <v>0.13001814882032667</v>
      </c>
      <c r="Y813" s="4">
        <f>Sheet1[[#This Row],[Shipping_cost]]*Sheet1[[#This Row],[Quantity]]</f>
        <v>657.44</v>
      </c>
      <c r="Z813" s="4">
        <f>Sheet1[[#This Row],[Total Profit]]-Sheet1[[#This Row],[Total Shipping Cost]]</f>
        <v>-370.88000000000005</v>
      </c>
      <c r="AA813" s="4" t="str">
        <f>IF(Sheet1[[#This Row],[Net Profit]]&gt;0,"Profit","Loss")</f>
        <v>Loss</v>
      </c>
    </row>
    <row r="814" spans="1:27" x14ac:dyDescent="0.25">
      <c r="A814" t="s">
        <v>1065</v>
      </c>
      <c r="B814" s="1">
        <v>40603</v>
      </c>
      <c r="C814" s="1">
        <v>40608</v>
      </c>
      <c r="D814" t="s">
        <v>1</v>
      </c>
      <c r="E814" t="s">
        <v>616</v>
      </c>
      <c r="F814" t="s">
        <v>43</v>
      </c>
      <c r="G814" t="s">
        <v>65</v>
      </c>
      <c r="H814" t="s">
        <v>66</v>
      </c>
      <c r="I814" t="s">
        <v>29</v>
      </c>
      <c r="J814" t="s">
        <v>30</v>
      </c>
      <c r="K814" t="s">
        <v>32</v>
      </c>
      <c r="L814" t="s">
        <v>67</v>
      </c>
      <c r="M814">
        <v>1314</v>
      </c>
      <c r="N814">
        <v>3</v>
      </c>
      <c r="O814">
        <v>0</v>
      </c>
      <c r="P814">
        <v>341.73</v>
      </c>
      <c r="Q814">
        <v>150.4</v>
      </c>
      <c r="R814" t="s">
        <v>23</v>
      </c>
      <c r="S814">
        <f>Sheet1[[#This Row],[Ship_date]]-Sheet1[[#This Row],[Order_date]]</f>
        <v>5</v>
      </c>
      <c r="T814">
        <f>Sheet1[[#This Row],[Quantity]]*Sheet1[[#This Row],[Sales]]</f>
        <v>3942</v>
      </c>
      <c r="U814">
        <f>Sheet1[[#This Row],[Total Sales]]*Sheet1[[#This Row],[Discount]]</f>
        <v>0</v>
      </c>
      <c r="V814" s="4">
        <f>Sheet1[[#This Row],[Total Sales]]-Sheet1[[#This Row],[Total Sales]]*Sheet1[[#This Row],[Discount]]</f>
        <v>3942</v>
      </c>
      <c r="W814" s="4">
        <f>Sheet1[[#This Row],[Quantity]]*Sheet1[[#This Row],[Profit]]</f>
        <v>1025.19</v>
      </c>
      <c r="X814" s="5">
        <f>Sheet1[[#This Row],[Total Profit]]/Sheet1[[#This Row],[Sales After Discount]]</f>
        <v>0.26006849315068492</v>
      </c>
      <c r="Y814" s="4">
        <f>Sheet1[[#This Row],[Shipping_cost]]*Sheet1[[#This Row],[Quantity]]</f>
        <v>451.20000000000005</v>
      </c>
      <c r="Z814" s="4">
        <f>Sheet1[[#This Row],[Total Profit]]-Sheet1[[#This Row],[Total Shipping Cost]]</f>
        <v>573.99</v>
      </c>
      <c r="AA814" s="4" t="str">
        <f>IF(Sheet1[[#This Row],[Net Profit]]&gt;0,"Profit","Loss")</f>
        <v>Profit</v>
      </c>
    </row>
    <row r="815" spans="1:27" x14ac:dyDescent="0.25">
      <c r="A815" t="s">
        <v>1066</v>
      </c>
      <c r="B815" s="1">
        <v>40603</v>
      </c>
      <c r="C815" s="1">
        <v>40607</v>
      </c>
      <c r="D815" t="s">
        <v>1</v>
      </c>
      <c r="E815" t="s">
        <v>452</v>
      </c>
      <c r="F815" t="s">
        <v>3</v>
      </c>
      <c r="G815" t="s">
        <v>1067</v>
      </c>
      <c r="H815" t="s">
        <v>1068</v>
      </c>
      <c r="I815" t="s">
        <v>22</v>
      </c>
      <c r="J815" t="s">
        <v>22</v>
      </c>
      <c r="K815" t="s">
        <v>38</v>
      </c>
      <c r="L815" t="s">
        <v>82</v>
      </c>
      <c r="M815">
        <v>1471</v>
      </c>
      <c r="N815">
        <v>6</v>
      </c>
      <c r="O815">
        <v>0</v>
      </c>
      <c r="P815">
        <v>264.60000000000002</v>
      </c>
      <c r="Q815">
        <v>146.55000000000001</v>
      </c>
      <c r="R815" t="s">
        <v>9</v>
      </c>
      <c r="S815">
        <f>Sheet1[[#This Row],[Ship_date]]-Sheet1[[#This Row],[Order_date]]</f>
        <v>4</v>
      </c>
      <c r="T815">
        <f>Sheet1[[#This Row],[Quantity]]*Sheet1[[#This Row],[Sales]]</f>
        <v>8826</v>
      </c>
      <c r="U815">
        <f>Sheet1[[#This Row],[Total Sales]]*Sheet1[[#This Row],[Discount]]</f>
        <v>0</v>
      </c>
      <c r="V815" s="4">
        <f>Sheet1[[#This Row],[Total Sales]]-Sheet1[[#This Row],[Total Sales]]*Sheet1[[#This Row],[Discount]]</f>
        <v>8826</v>
      </c>
      <c r="W815" s="4">
        <f>Sheet1[[#This Row],[Quantity]]*Sheet1[[#This Row],[Profit]]</f>
        <v>1587.6000000000001</v>
      </c>
      <c r="X815" s="5">
        <f>Sheet1[[#This Row],[Total Profit]]/Sheet1[[#This Row],[Sales After Discount]]</f>
        <v>0.17987763426240655</v>
      </c>
      <c r="Y815" s="4">
        <f>Sheet1[[#This Row],[Shipping_cost]]*Sheet1[[#This Row],[Quantity]]</f>
        <v>879.30000000000007</v>
      </c>
      <c r="Z815" s="4">
        <f>Sheet1[[#This Row],[Total Profit]]-Sheet1[[#This Row],[Total Shipping Cost]]</f>
        <v>708.30000000000007</v>
      </c>
      <c r="AA815" s="4" t="str">
        <f>IF(Sheet1[[#This Row],[Net Profit]]&gt;0,"Profit","Loss")</f>
        <v>Profit</v>
      </c>
    </row>
    <row r="816" spans="1:27" x14ac:dyDescent="0.25">
      <c r="A816" t="s">
        <v>1069</v>
      </c>
      <c r="B816" s="1">
        <v>40603</v>
      </c>
      <c r="C816" s="1">
        <v>40607</v>
      </c>
      <c r="D816" t="s">
        <v>1</v>
      </c>
      <c r="E816" t="s">
        <v>504</v>
      </c>
      <c r="F816" t="s">
        <v>3</v>
      </c>
      <c r="G816" t="s">
        <v>1070</v>
      </c>
      <c r="H816" t="s">
        <v>305</v>
      </c>
      <c r="I816" t="s">
        <v>29</v>
      </c>
      <c r="J816" t="s">
        <v>76</v>
      </c>
      <c r="K816" t="s">
        <v>7</v>
      </c>
      <c r="L816" t="s">
        <v>44</v>
      </c>
      <c r="M816">
        <v>364</v>
      </c>
      <c r="N816">
        <v>8</v>
      </c>
      <c r="O816">
        <v>0.2</v>
      </c>
      <c r="P816">
        <v>45.456000000000003</v>
      </c>
      <c r="Q816">
        <v>80.67</v>
      </c>
      <c r="R816" t="s">
        <v>23</v>
      </c>
      <c r="S816">
        <f>Sheet1[[#This Row],[Ship_date]]-Sheet1[[#This Row],[Order_date]]</f>
        <v>4</v>
      </c>
      <c r="T816">
        <f>Sheet1[[#This Row],[Quantity]]*Sheet1[[#This Row],[Sales]]</f>
        <v>2912</v>
      </c>
      <c r="U816">
        <f>Sheet1[[#This Row],[Total Sales]]*Sheet1[[#This Row],[Discount]]</f>
        <v>582.4</v>
      </c>
      <c r="V816" s="4">
        <f>Sheet1[[#This Row],[Total Sales]]-Sheet1[[#This Row],[Total Sales]]*Sheet1[[#This Row],[Discount]]</f>
        <v>2329.6</v>
      </c>
      <c r="W816" s="4">
        <f>Sheet1[[#This Row],[Quantity]]*Sheet1[[#This Row],[Profit]]</f>
        <v>363.64800000000002</v>
      </c>
      <c r="X816" s="5">
        <f>Sheet1[[#This Row],[Total Profit]]/Sheet1[[#This Row],[Sales After Discount]]</f>
        <v>0.15609890109890112</v>
      </c>
      <c r="Y816" s="4">
        <f>Sheet1[[#This Row],[Shipping_cost]]*Sheet1[[#This Row],[Quantity]]</f>
        <v>645.36</v>
      </c>
      <c r="Z816" s="4">
        <f>Sheet1[[#This Row],[Total Profit]]-Sheet1[[#This Row],[Total Shipping Cost]]</f>
        <v>-281.71199999999999</v>
      </c>
      <c r="AA816" s="4" t="str">
        <f>IF(Sheet1[[#This Row],[Net Profit]]&gt;0,"Profit","Loss")</f>
        <v>Loss</v>
      </c>
    </row>
    <row r="817" spans="1:27" x14ac:dyDescent="0.25">
      <c r="A817" t="s">
        <v>1071</v>
      </c>
      <c r="B817" s="1">
        <v>40603</v>
      </c>
      <c r="C817" s="1">
        <v>40607</v>
      </c>
      <c r="D817" t="s">
        <v>1</v>
      </c>
      <c r="E817" t="s">
        <v>1072</v>
      </c>
      <c r="F817" t="s">
        <v>26</v>
      </c>
      <c r="G817" t="s">
        <v>146</v>
      </c>
      <c r="H817" t="s">
        <v>126</v>
      </c>
      <c r="I817" t="s">
        <v>127</v>
      </c>
      <c r="J817" t="s">
        <v>76</v>
      </c>
      <c r="K817" t="s">
        <v>32</v>
      </c>
      <c r="L817" t="s">
        <v>56</v>
      </c>
      <c r="M817">
        <v>634</v>
      </c>
      <c r="N817">
        <v>6</v>
      </c>
      <c r="O817">
        <v>0.3</v>
      </c>
      <c r="P817">
        <v>-172.1172</v>
      </c>
      <c r="Q817">
        <v>70.05</v>
      </c>
      <c r="R817" t="s">
        <v>23</v>
      </c>
      <c r="S817">
        <f>Sheet1[[#This Row],[Ship_date]]-Sheet1[[#This Row],[Order_date]]</f>
        <v>4</v>
      </c>
      <c r="T817">
        <f>Sheet1[[#This Row],[Quantity]]*Sheet1[[#This Row],[Sales]]</f>
        <v>3804</v>
      </c>
      <c r="U817">
        <f>Sheet1[[#This Row],[Total Sales]]*Sheet1[[#This Row],[Discount]]</f>
        <v>1141.2</v>
      </c>
      <c r="V817" s="4">
        <f>Sheet1[[#This Row],[Total Sales]]-Sheet1[[#This Row],[Total Sales]]*Sheet1[[#This Row],[Discount]]</f>
        <v>2662.8</v>
      </c>
      <c r="W817" s="4">
        <f>Sheet1[[#This Row],[Quantity]]*Sheet1[[#This Row],[Profit]]</f>
        <v>-1032.7031999999999</v>
      </c>
      <c r="X817" s="5">
        <f>Sheet1[[#This Row],[Total Profit]]/Sheet1[[#This Row],[Sales After Discount]]</f>
        <v>-0.38782604776926538</v>
      </c>
      <c r="Y817" s="4">
        <f>Sheet1[[#This Row],[Shipping_cost]]*Sheet1[[#This Row],[Quantity]]</f>
        <v>420.29999999999995</v>
      </c>
      <c r="Z817" s="4">
        <f>Sheet1[[#This Row],[Total Profit]]-Sheet1[[#This Row],[Total Shipping Cost]]</f>
        <v>-1453.0031999999999</v>
      </c>
      <c r="AA817" s="4" t="str">
        <f>IF(Sheet1[[#This Row],[Net Profit]]&gt;0,"Profit","Loss")</f>
        <v>Loss</v>
      </c>
    </row>
    <row r="818" spans="1:27" x14ac:dyDescent="0.25">
      <c r="A818" t="s">
        <v>1064</v>
      </c>
      <c r="B818" s="1">
        <v>40603</v>
      </c>
      <c r="C818" s="1">
        <v>40606</v>
      </c>
      <c r="D818" t="s">
        <v>142</v>
      </c>
      <c r="E818" t="s">
        <v>785</v>
      </c>
      <c r="F818" t="s">
        <v>3</v>
      </c>
      <c r="G818" t="s">
        <v>36</v>
      </c>
      <c r="H818" t="s">
        <v>37</v>
      </c>
      <c r="I818" t="s">
        <v>37</v>
      </c>
      <c r="J818" t="s">
        <v>37</v>
      </c>
      <c r="K818" t="s">
        <v>32</v>
      </c>
      <c r="L818" t="s">
        <v>56</v>
      </c>
      <c r="M818">
        <v>246</v>
      </c>
      <c r="N818">
        <v>4</v>
      </c>
      <c r="O818">
        <v>0</v>
      </c>
      <c r="P818">
        <v>105.96</v>
      </c>
      <c r="Q818">
        <v>65.81</v>
      </c>
      <c r="R818" t="s">
        <v>23</v>
      </c>
      <c r="S818">
        <f>Sheet1[[#This Row],[Ship_date]]-Sheet1[[#This Row],[Order_date]]</f>
        <v>3</v>
      </c>
      <c r="T818">
        <f>Sheet1[[#This Row],[Quantity]]*Sheet1[[#This Row],[Sales]]</f>
        <v>984</v>
      </c>
      <c r="U818">
        <f>Sheet1[[#This Row],[Total Sales]]*Sheet1[[#This Row],[Discount]]</f>
        <v>0</v>
      </c>
      <c r="V818" s="4">
        <f>Sheet1[[#This Row],[Total Sales]]-Sheet1[[#This Row],[Total Sales]]*Sheet1[[#This Row],[Discount]]</f>
        <v>984</v>
      </c>
      <c r="W818" s="4">
        <f>Sheet1[[#This Row],[Quantity]]*Sheet1[[#This Row],[Profit]]</f>
        <v>423.84</v>
      </c>
      <c r="X818" s="5">
        <f>Sheet1[[#This Row],[Total Profit]]/Sheet1[[#This Row],[Sales After Discount]]</f>
        <v>0.43073170731707316</v>
      </c>
      <c r="Y818" s="4">
        <f>Sheet1[[#This Row],[Shipping_cost]]*Sheet1[[#This Row],[Quantity]]</f>
        <v>263.24</v>
      </c>
      <c r="Z818" s="4">
        <f>Sheet1[[#This Row],[Total Profit]]-Sheet1[[#This Row],[Total Shipping Cost]]</f>
        <v>160.59999999999997</v>
      </c>
      <c r="AA818" s="4" t="str">
        <f>IF(Sheet1[[#This Row],[Net Profit]]&gt;0,"Profit","Loss")</f>
        <v>Profit</v>
      </c>
    </row>
    <row r="819" spans="1:27" x14ac:dyDescent="0.25">
      <c r="A819" t="s">
        <v>1065</v>
      </c>
      <c r="B819" s="1">
        <v>40603</v>
      </c>
      <c r="C819" s="1">
        <v>40608</v>
      </c>
      <c r="D819" t="s">
        <v>1</v>
      </c>
      <c r="E819" t="s">
        <v>616</v>
      </c>
      <c r="F819" t="s">
        <v>43</v>
      </c>
      <c r="G819" t="s">
        <v>65</v>
      </c>
      <c r="H819" t="s">
        <v>66</v>
      </c>
      <c r="I819" t="s">
        <v>29</v>
      </c>
      <c r="J819" t="s">
        <v>30</v>
      </c>
      <c r="K819" t="s">
        <v>32</v>
      </c>
      <c r="L819" t="s">
        <v>56</v>
      </c>
      <c r="M819">
        <v>705</v>
      </c>
      <c r="N819">
        <v>5</v>
      </c>
      <c r="O819">
        <v>0</v>
      </c>
      <c r="P819">
        <v>288.75</v>
      </c>
      <c r="Q819">
        <v>64.400000000000006</v>
      </c>
      <c r="R819" t="s">
        <v>23</v>
      </c>
      <c r="S819">
        <f>Sheet1[[#This Row],[Ship_date]]-Sheet1[[#This Row],[Order_date]]</f>
        <v>5</v>
      </c>
      <c r="T819">
        <f>Sheet1[[#This Row],[Quantity]]*Sheet1[[#This Row],[Sales]]</f>
        <v>3525</v>
      </c>
      <c r="U819">
        <f>Sheet1[[#This Row],[Total Sales]]*Sheet1[[#This Row],[Discount]]</f>
        <v>0</v>
      </c>
      <c r="V819" s="4">
        <f>Sheet1[[#This Row],[Total Sales]]-Sheet1[[#This Row],[Total Sales]]*Sheet1[[#This Row],[Discount]]</f>
        <v>3525</v>
      </c>
      <c r="W819" s="4">
        <f>Sheet1[[#This Row],[Quantity]]*Sheet1[[#This Row],[Profit]]</f>
        <v>1443.75</v>
      </c>
      <c r="X819" s="5">
        <f>Sheet1[[#This Row],[Total Profit]]/Sheet1[[#This Row],[Sales After Discount]]</f>
        <v>0.40957446808510639</v>
      </c>
      <c r="Y819" s="4">
        <f>Sheet1[[#This Row],[Shipping_cost]]*Sheet1[[#This Row],[Quantity]]</f>
        <v>322</v>
      </c>
      <c r="Z819" s="4">
        <f>Sheet1[[#This Row],[Total Profit]]-Sheet1[[#This Row],[Total Shipping Cost]]</f>
        <v>1121.75</v>
      </c>
      <c r="AA819" s="4" t="str">
        <f>IF(Sheet1[[#This Row],[Net Profit]]&gt;0,"Profit","Loss")</f>
        <v>Profit</v>
      </c>
    </row>
    <row r="820" spans="1:27" x14ac:dyDescent="0.25">
      <c r="A820" t="s">
        <v>1066</v>
      </c>
      <c r="B820" s="1">
        <v>40603</v>
      </c>
      <c r="C820" s="1">
        <v>40607</v>
      </c>
      <c r="D820" t="s">
        <v>1</v>
      </c>
      <c r="E820" t="s">
        <v>452</v>
      </c>
      <c r="F820" t="s">
        <v>3</v>
      </c>
      <c r="G820" t="s">
        <v>1067</v>
      </c>
      <c r="H820" t="s">
        <v>1068</v>
      </c>
      <c r="I820" t="s">
        <v>22</v>
      </c>
      <c r="J820" t="s">
        <v>22</v>
      </c>
      <c r="K820" t="s">
        <v>7</v>
      </c>
      <c r="L820" t="s">
        <v>8</v>
      </c>
      <c r="M820">
        <v>1244</v>
      </c>
      <c r="N820">
        <v>6</v>
      </c>
      <c r="O820">
        <v>0</v>
      </c>
      <c r="P820">
        <v>211.5</v>
      </c>
      <c r="Q820">
        <v>60.78</v>
      </c>
      <c r="R820" t="s">
        <v>9</v>
      </c>
      <c r="S820">
        <f>Sheet1[[#This Row],[Ship_date]]-Sheet1[[#This Row],[Order_date]]</f>
        <v>4</v>
      </c>
      <c r="T820">
        <f>Sheet1[[#This Row],[Quantity]]*Sheet1[[#This Row],[Sales]]</f>
        <v>7464</v>
      </c>
      <c r="U820">
        <f>Sheet1[[#This Row],[Total Sales]]*Sheet1[[#This Row],[Discount]]</f>
        <v>0</v>
      </c>
      <c r="V820" s="4">
        <f>Sheet1[[#This Row],[Total Sales]]-Sheet1[[#This Row],[Total Sales]]*Sheet1[[#This Row],[Discount]]</f>
        <v>7464</v>
      </c>
      <c r="W820" s="4">
        <f>Sheet1[[#This Row],[Quantity]]*Sheet1[[#This Row],[Profit]]</f>
        <v>1269</v>
      </c>
      <c r="X820" s="5">
        <f>Sheet1[[#This Row],[Total Profit]]/Sheet1[[#This Row],[Sales After Discount]]</f>
        <v>0.170016077170418</v>
      </c>
      <c r="Y820" s="4">
        <f>Sheet1[[#This Row],[Shipping_cost]]*Sheet1[[#This Row],[Quantity]]</f>
        <v>364.68</v>
      </c>
      <c r="Z820" s="4">
        <f>Sheet1[[#This Row],[Total Profit]]-Sheet1[[#This Row],[Total Shipping Cost]]</f>
        <v>904.31999999999994</v>
      </c>
      <c r="AA820" s="4" t="str">
        <f>IF(Sheet1[[#This Row],[Net Profit]]&gt;0,"Profit","Loss")</f>
        <v>Profit</v>
      </c>
    </row>
    <row r="821" spans="1:27" x14ac:dyDescent="0.25">
      <c r="A821" t="s">
        <v>1073</v>
      </c>
      <c r="B821" s="1">
        <v>40603</v>
      </c>
      <c r="C821" s="1">
        <v>40605</v>
      </c>
      <c r="D821" t="s">
        <v>142</v>
      </c>
      <c r="E821" t="s">
        <v>1074</v>
      </c>
      <c r="F821" t="s">
        <v>3</v>
      </c>
      <c r="G821" t="s">
        <v>332</v>
      </c>
      <c r="H821" t="s">
        <v>13</v>
      </c>
      <c r="I821" t="s">
        <v>14</v>
      </c>
      <c r="J821" t="s">
        <v>15</v>
      </c>
      <c r="K821" t="s">
        <v>38</v>
      </c>
      <c r="L821" t="s">
        <v>39</v>
      </c>
      <c r="M821">
        <v>215</v>
      </c>
      <c r="N821">
        <v>2</v>
      </c>
      <c r="O821">
        <v>0.1</v>
      </c>
      <c r="P821">
        <v>7.1580000000000004</v>
      </c>
      <c r="Q821">
        <v>55.67</v>
      </c>
      <c r="R821" t="s">
        <v>23</v>
      </c>
      <c r="S821">
        <f>Sheet1[[#This Row],[Ship_date]]-Sheet1[[#This Row],[Order_date]]</f>
        <v>2</v>
      </c>
      <c r="T821">
        <f>Sheet1[[#This Row],[Quantity]]*Sheet1[[#This Row],[Sales]]</f>
        <v>430</v>
      </c>
      <c r="U821">
        <f>Sheet1[[#This Row],[Total Sales]]*Sheet1[[#This Row],[Discount]]</f>
        <v>43</v>
      </c>
      <c r="V821" s="4">
        <f>Sheet1[[#This Row],[Total Sales]]-Sheet1[[#This Row],[Total Sales]]*Sheet1[[#This Row],[Discount]]</f>
        <v>387</v>
      </c>
      <c r="W821" s="4">
        <f>Sheet1[[#This Row],[Quantity]]*Sheet1[[#This Row],[Profit]]</f>
        <v>14.316000000000001</v>
      </c>
      <c r="X821" s="5">
        <f>Sheet1[[#This Row],[Total Profit]]/Sheet1[[#This Row],[Sales After Discount]]</f>
        <v>3.6992248062015509E-2</v>
      </c>
      <c r="Y821" s="4">
        <f>Sheet1[[#This Row],[Shipping_cost]]*Sheet1[[#This Row],[Quantity]]</f>
        <v>111.34</v>
      </c>
      <c r="Z821" s="4">
        <f>Sheet1[[#This Row],[Total Profit]]-Sheet1[[#This Row],[Total Shipping Cost]]</f>
        <v>-97.024000000000001</v>
      </c>
      <c r="AA821" s="4" t="str">
        <f>IF(Sheet1[[#This Row],[Net Profit]]&gt;0,"Profit","Loss")</f>
        <v>Loss</v>
      </c>
    </row>
    <row r="822" spans="1:27" x14ac:dyDescent="0.25">
      <c r="A822" t="s">
        <v>1075</v>
      </c>
      <c r="B822" s="1">
        <v>40603</v>
      </c>
      <c r="C822" s="1">
        <v>40608</v>
      </c>
      <c r="D822" t="s">
        <v>18</v>
      </c>
      <c r="E822" t="s">
        <v>1076</v>
      </c>
      <c r="F822" t="s">
        <v>3</v>
      </c>
      <c r="G822" t="s">
        <v>740</v>
      </c>
      <c r="H822" t="s">
        <v>126</v>
      </c>
      <c r="I822" t="s">
        <v>127</v>
      </c>
      <c r="J822" t="s">
        <v>192</v>
      </c>
      <c r="K822" t="s">
        <v>32</v>
      </c>
      <c r="L822" t="s">
        <v>56</v>
      </c>
      <c r="M822">
        <v>458</v>
      </c>
      <c r="N822">
        <v>2</v>
      </c>
      <c r="O822">
        <v>0.2</v>
      </c>
      <c r="P822">
        <v>51.476399999999998</v>
      </c>
      <c r="Q822">
        <v>47.89</v>
      </c>
      <c r="R822" t="s">
        <v>9</v>
      </c>
      <c r="S822">
        <f>Sheet1[[#This Row],[Ship_date]]-Sheet1[[#This Row],[Order_date]]</f>
        <v>5</v>
      </c>
      <c r="T822">
        <f>Sheet1[[#This Row],[Quantity]]*Sheet1[[#This Row],[Sales]]</f>
        <v>916</v>
      </c>
      <c r="U822">
        <f>Sheet1[[#This Row],[Total Sales]]*Sheet1[[#This Row],[Discount]]</f>
        <v>183.20000000000002</v>
      </c>
      <c r="V822" s="4">
        <f>Sheet1[[#This Row],[Total Sales]]-Sheet1[[#This Row],[Total Sales]]*Sheet1[[#This Row],[Discount]]</f>
        <v>732.8</v>
      </c>
      <c r="W822" s="4">
        <f>Sheet1[[#This Row],[Quantity]]*Sheet1[[#This Row],[Profit]]</f>
        <v>102.9528</v>
      </c>
      <c r="X822" s="5">
        <f>Sheet1[[#This Row],[Total Profit]]/Sheet1[[#This Row],[Sales After Discount]]</f>
        <v>0.14049235807860264</v>
      </c>
      <c r="Y822" s="4">
        <f>Sheet1[[#This Row],[Shipping_cost]]*Sheet1[[#This Row],[Quantity]]</f>
        <v>95.78</v>
      </c>
      <c r="Z822" s="4">
        <f>Sheet1[[#This Row],[Total Profit]]-Sheet1[[#This Row],[Total Shipping Cost]]</f>
        <v>7.1727999999999952</v>
      </c>
      <c r="AA822" s="4" t="str">
        <f>IF(Sheet1[[#This Row],[Net Profit]]&gt;0,"Profit","Loss")</f>
        <v>Profit</v>
      </c>
    </row>
    <row r="823" spans="1:27" x14ac:dyDescent="0.25">
      <c r="A823" t="s">
        <v>1066</v>
      </c>
      <c r="B823" s="1">
        <v>40603</v>
      </c>
      <c r="C823" s="1">
        <v>40607</v>
      </c>
      <c r="D823" t="s">
        <v>1</v>
      </c>
      <c r="E823" t="s">
        <v>452</v>
      </c>
      <c r="F823" t="s">
        <v>3</v>
      </c>
      <c r="G823" t="s">
        <v>1067</v>
      </c>
      <c r="H823" t="s">
        <v>1068</v>
      </c>
      <c r="I823" t="s">
        <v>22</v>
      </c>
      <c r="J823" t="s">
        <v>22</v>
      </c>
      <c r="K823" t="s">
        <v>38</v>
      </c>
      <c r="L823" t="s">
        <v>50</v>
      </c>
      <c r="M823">
        <v>588</v>
      </c>
      <c r="N823">
        <v>2</v>
      </c>
      <c r="O823">
        <v>0</v>
      </c>
      <c r="P823">
        <v>123.36</v>
      </c>
      <c r="Q823">
        <v>42.88</v>
      </c>
      <c r="R823" t="s">
        <v>9</v>
      </c>
      <c r="S823">
        <f>Sheet1[[#This Row],[Ship_date]]-Sheet1[[#This Row],[Order_date]]</f>
        <v>4</v>
      </c>
      <c r="T823">
        <f>Sheet1[[#This Row],[Quantity]]*Sheet1[[#This Row],[Sales]]</f>
        <v>1176</v>
      </c>
      <c r="U823">
        <f>Sheet1[[#This Row],[Total Sales]]*Sheet1[[#This Row],[Discount]]</f>
        <v>0</v>
      </c>
      <c r="V823" s="4">
        <f>Sheet1[[#This Row],[Total Sales]]-Sheet1[[#This Row],[Total Sales]]*Sheet1[[#This Row],[Discount]]</f>
        <v>1176</v>
      </c>
      <c r="W823" s="4">
        <f>Sheet1[[#This Row],[Quantity]]*Sheet1[[#This Row],[Profit]]</f>
        <v>246.72</v>
      </c>
      <c r="X823" s="5">
        <f>Sheet1[[#This Row],[Total Profit]]/Sheet1[[#This Row],[Sales After Discount]]</f>
        <v>0.20979591836734693</v>
      </c>
      <c r="Y823" s="4">
        <f>Sheet1[[#This Row],[Shipping_cost]]*Sheet1[[#This Row],[Quantity]]</f>
        <v>85.76</v>
      </c>
      <c r="Z823" s="4">
        <f>Sheet1[[#This Row],[Total Profit]]-Sheet1[[#This Row],[Total Shipping Cost]]</f>
        <v>160.95999999999998</v>
      </c>
      <c r="AA823" s="4" t="str">
        <f>IF(Sheet1[[#This Row],[Net Profit]]&gt;0,"Profit","Loss")</f>
        <v>Profit</v>
      </c>
    </row>
    <row r="824" spans="1:27" x14ac:dyDescent="0.25">
      <c r="A824" t="s">
        <v>1077</v>
      </c>
      <c r="B824" s="1">
        <v>40603</v>
      </c>
      <c r="C824" s="1">
        <v>40609</v>
      </c>
      <c r="D824" t="s">
        <v>1</v>
      </c>
      <c r="E824" t="s">
        <v>1078</v>
      </c>
      <c r="F824" t="s">
        <v>3</v>
      </c>
      <c r="G824" t="s">
        <v>125</v>
      </c>
      <c r="H824" t="s">
        <v>126</v>
      </c>
      <c r="I824" t="s">
        <v>127</v>
      </c>
      <c r="J824" t="s">
        <v>76</v>
      </c>
      <c r="K824" t="s">
        <v>32</v>
      </c>
      <c r="L824" t="s">
        <v>62</v>
      </c>
      <c r="M824">
        <v>377</v>
      </c>
      <c r="N824">
        <v>3</v>
      </c>
      <c r="O824">
        <v>0.3</v>
      </c>
      <c r="P824">
        <v>-43.029600000000002</v>
      </c>
      <c r="Q824">
        <v>32.700000000000003</v>
      </c>
      <c r="R824" t="s">
        <v>9</v>
      </c>
      <c r="S824">
        <f>Sheet1[[#This Row],[Ship_date]]-Sheet1[[#This Row],[Order_date]]</f>
        <v>6</v>
      </c>
      <c r="T824">
        <f>Sheet1[[#This Row],[Quantity]]*Sheet1[[#This Row],[Sales]]</f>
        <v>1131</v>
      </c>
      <c r="U824">
        <f>Sheet1[[#This Row],[Total Sales]]*Sheet1[[#This Row],[Discount]]</f>
        <v>339.3</v>
      </c>
      <c r="V824" s="4">
        <f>Sheet1[[#This Row],[Total Sales]]-Sheet1[[#This Row],[Total Sales]]*Sheet1[[#This Row],[Discount]]</f>
        <v>791.7</v>
      </c>
      <c r="W824" s="4">
        <f>Sheet1[[#This Row],[Quantity]]*Sheet1[[#This Row],[Profit]]</f>
        <v>-129.08879999999999</v>
      </c>
      <c r="X824" s="5">
        <f>Sheet1[[#This Row],[Total Profit]]/Sheet1[[#This Row],[Sales After Discount]]</f>
        <v>-0.16305267146646454</v>
      </c>
      <c r="Y824" s="4">
        <f>Sheet1[[#This Row],[Shipping_cost]]*Sheet1[[#This Row],[Quantity]]</f>
        <v>98.100000000000009</v>
      </c>
      <c r="Z824" s="4">
        <f>Sheet1[[#This Row],[Total Profit]]-Sheet1[[#This Row],[Total Shipping Cost]]</f>
        <v>-227.18880000000001</v>
      </c>
      <c r="AA824" s="4" t="str">
        <f>IF(Sheet1[[#This Row],[Net Profit]]&gt;0,"Profit","Loss")</f>
        <v>Loss</v>
      </c>
    </row>
    <row r="825" spans="1:27" x14ac:dyDescent="0.25">
      <c r="A825" t="s">
        <v>1065</v>
      </c>
      <c r="B825" s="1">
        <v>40603</v>
      </c>
      <c r="C825" s="1">
        <v>40608</v>
      </c>
      <c r="D825" t="s">
        <v>1</v>
      </c>
      <c r="E825" t="s">
        <v>616</v>
      </c>
      <c r="F825" t="s">
        <v>43</v>
      </c>
      <c r="G825" t="s">
        <v>65</v>
      </c>
      <c r="H825" t="s">
        <v>66</v>
      </c>
      <c r="I825" t="s">
        <v>29</v>
      </c>
      <c r="J825" t="s">
        <v>30</v>
      </c>
      <c r="K825" t="s">
        <v>7</v>
      </c>
      <c r="L825" t="s">
        <v>91</v>
      </c>
      <c r="M825">
        <v>195</v>
      </c>
      <c r="N825">
        <v>4</v>
      </c>
      <c r="O825">
        <v>0</v>
      </c>
      <c r="P825">
        <v>34.92</v>
      </c>
      <c r="Q825">
        <v>25.39</v>
      </c>
      <c r="R825" t="s">
        <v>23</v>
      </c>
      <c r="S825">
        <f>Sheet1[[#This Row],[Ship_date]]-Sheet1[[#This Row],[Order_date]]</f>
        <v>5</v>
      </c>
      <c r="T825">
        <f>Sheet1[[#This Row],[Quantity]]*Sheet1[[#This Row],[Sales]]</f>
        <v>780</v>
      </c>
      <c r="U825">
        <f>Sheet1[[#This Row],[Total Sales]]*Sheet1[[#This Row],[Discount]]</f>
        <v>0</v>
      </c>
      <c r="V825" s="4">
        <f>Sheet1[[#This Row],[Total Sales]]-Sheet1[[#This Row],[Total Sales]]*Sheet1[[#This Row],[Discount]]</f>
        <v>780</v>
      </c>
      <c r="W825" s="4">
        <f>Sheet1[[#This Row],[Quantity]]*Sheet1[[#This Row],[Profit]]</f>
        <v>139.68</v>
      </c>
      <c r="X825" s="5">
        <f>Sheet1[[#This Row],[Total Profit]]/Sheet1[[#This Row],[Sales After Discount]]</f>
        <v>0.17907692307692308</v>
      </c>
      <c r="Y825" s="4">
        <f>Sheet1[[#This Row],[Shipping_cost]]*Sheet1[[#This Row],[Quantity]]</f>
        <v>101.56</v>
      </c>
      <c r="Z825" s="4">
        <f>Sheet1[[#This Row],[Total Profit]]-Sheet1[[#This Row],[Total Shipping Cost]]</f>
        <v>38.120000000000005</v>
      </c>
      <c r="AA825" s="4" t="str">
        <f>IF(Sheet1[[#This Row],[Net Profit]]&gt;0,"Profit","Loss")</f>
        <v>Profit</v>
      </c>
    </row>
    <row r="826" spans="1:27" x14ac:dyDescent="0.25">
      <c r="A826" t="s">
        <v>1079</v>
      </c>
      <c r="B826" s="1">
        <v>40603</v>
      </c>
      <c r="C826" s="1">
        <v>40607</v>
      </c>
      <c r="D826" t="s">
        <v>1</v>
      </c>
      <c r="E826" t="s">
        <v>1080</v>
      </c>
      <c r="F826" t="s">
        <v>3</v>
      </c>
      <c r="G826" t="s">
        <v>125</v>
      </c>
      <c r="H826" t="s">
        <v>126</v>
      </c>
      <c r="I826" t="s">
        <v>127</v>
      </c>
      <c r="J826" t="s">
        <v>76</v>
      </c>
      <c r="K826" t="s">
        <v>32</v>
      </c>
      <c r="L826" t="s">
        <v>56</v>
      </c>
      <c r="M826">
        <v>362</v>
      </c>
      <c r="N826">
        <v>6</v>
      </c>
      <c r="O826">
        <v>0.3</v>
      </c>
      <c r="P826">
        <v>0</v>
      </c>
      <c r="Q826">
        <v>25.22</v>
      </c>
      <c r="R826" t="s">
        <v>9</v>
      </c>
      <c r="S826">
        <f>Sheet1[[#This Row],[Ship_date]]-Sheet1[[#This Row],[Order_date]]</f>
        <v>4</v>
      </c>
      <c r="T826">
        <f>Sheet1[[#This Row],[Quantity]]*Sheet1[[#This Row],[Sales]]</f>
        <v>2172</v>
      </c>
      <c r="U826">
        <f>Sheet1[[#This Row],[Total Sales]]*Sheet1[[#This Row],[Discount]]</f>
        <v>651.6</v>
      </c>
      <c r="V826" s="4">
        <f>Sheet1[[#This Row],[Total Sales]]-Sheet1[[#This Row],[Total Sales]]*Sheet1[[#This Row],[Discount]]</f>
        <v>1520.4</v>
      </c>
      <c r="W826" s="4">
        <f>Sheet1[[#This Row],[Quantity]]*Sheet1[[#This Row],[Profit]]</f>
        <v>0</v>
      </c>
      <c r="X826" s="5">
        <f>Sheet1[[#This Row],[Total Profit]]/Sheet1[[#This Row],[Sales After Discount]]</f>
        <v>0</v>
      </c>
      <c r="Y826" s="4">
        <f>Sheet1[[#This Row],[Shipping_cost]]*Sheet1[[#This Row],[Quantity]]</f>
        <v>151.32</v>
      </c>
      <c r="Z826" s="4">
        <f>Sheet1[[#This Row],[Total Profit]]-Sheet1[[#This Row],[Total Shipping Cost]]</f>
        <v>-151.32</v>
      </c>
      <c r="AA826" s="4" t="str">
        <f>IF(Sheet1[[#This Row],[Net Profit]]&gt;0,"Profit","Loss")</f>
        <v>Loss</v>
      </c>
    </row>
    <row r="827" spans="1:27" x14ac:dyDescent="0.25">
      <c r="A827" t="s">
        <v>1081</v>
      </c>
      <c r="B827" s="1">
        <v>40603</v>
      </c>
      <c r="C827" s="1">
        <v>40603</v>
      </c>
      <c r="D827" t="s">
        <v>41</v>
      </c>
      <c r="E827" t="s">
        <v>1082</v>
      </c>
      <c r="F827" t="s">
        <v>26</v>
      </c>
      <c r="G827" t="s">
        <v>1083</v>
      </c>
      <c r="H827" t="s">
        <v>1068</v>
      </c>
      <c r="I827" t="s">
        <v>22</v>
      </c>
      <c r="J827" t="s">
        <v>22</v>
      </c>
      <c r="K827" t="s">
        <v>32</v>
      </c>
      <c r="L827" t="s">
        <v>56</v>
      </c>
      <c r="M827">
        <v>163</v>
      </c>
      <c r="N827">
        <v>2</v>
      </c>
      <c r="O827">
        <v>0</v>
      </c>
      <c r="P827">
        <v>76.5</v>
      </c>
      <c r="Q827">
        <v>24.42</v>
      </c>
      <c r="R827" t="s">
        <v>9</v>
      </c>
      <c r="S827">
        <f>Sheet1[[#This Row],[Ship_date]]-Sheet1[[#This Row],[Order_date]]</f>
        <v>0</v>
      </c>
      <c r="T827">
        <f>Sheet1[[#This Row],[Quantity]]*Sheet1[[#This Row],[Sales]]</f>
        <v>326</v>
      </c>
      <c r="U827">
        <f>Sheet1[[#This Row],[Total Sales]]*Sheet1[[#This Row],[Discount]]</f>
        <v>0</v>
      </c>
      <c r="V827" s="4">
        <f>Sheet1[[#This Row],[Total Sales]]-Sheet1[[#This Row],[Total Sales]]*Sheet1[[#This Row],[Discount]]</f>
        <v>326</v>
      </c>
      <c r="W827" s="4">
        <f>Sheet1[[#This Row],[Quantity]]*Sheet1[[#This Row],[Profit]]</f>
        <v>153</v>
      </c>
      <c r="X827" s="5">
        <f>Sheet1[[#This Row],[Total Profit]]/Sheet1[[#This Row],[Sales After Discount]]</f>
        <v>0.46932515337423314</v>
      </c>
      <c r="Y827" s="4">
        <f>Sheet1[[#This Row],[Shipping_cost]]*Sheet1[[#This Row],[Quantity]]</f>
        <v>48.84</v>
      </c>
      <c r="Z827" s="4">
        <f>Sheet1[[#This Row],[Total Profit]]-Sheet1[[#This Row],[Total Shipping Cost]]</f>
        <v>104.16</v>
      </c>
      <c r="AA827" s="4" t="str">
        <f>IF(Sheet1[[#This Row],[Net Profit]]&gt;0,"Profit","Loss")</f>
        <v>Profit</v>
      </c>
    </row>
    <row r="828" spans="1:27" x14ac:dyDescent="0.25">
      <c r="A828" t="s">
        <v>1081</v>
      </c>
      <c r="B828" s="1">
        <v>40603</v>
      </c>
      <c r="C828" s="1">
        <v>40603</v>
      </c>
      <c r="D828" t="s">
        <v>41</v>
      </c>
      <c r="E828" t="s">
        <v>1082</v>
      </c>
      <c r="F828" t="s">
        <v>26</v>
      </c>
      <c r="G828" t="s">
        <v>1083</v>
      </c>
      <c r="H828" t="s">
        <v>1068</v>
      </c>
      <c r="I828" t="s">
        <v>22</v>
      </c>
      <c r="J828" t="s">
        <v>22</v>
      </c>
      <c r="K828" t="s">
        <v>7</v>
      </c>
      <c r="L828" t="s">
        <v>8</v>
      </c>
      <c r="M828">
        <v>116</v>
      </c>
      <c r="N828">
        <v>2</v>
      </c>
      <c r="O828">
        <v>0</v>
      </c>
      <c r="P828">
        <v>30.06</v>
      </c>
      <c r="Q828">
        <v>19.52</v>
      </c>
      <c r="R828" t="s">
        <v>9</v>
      </c>
      <c r="S828">
        <f>Sheet1[[#This Row],[Ship_date]]-Sheet1[[#This Row],[Order_date]]</f>
        <v>0</v>
      </c>
      <c r="T828">
        <f>Sheet1[[#This Row],[Quantity]]*Sheet1[[#This Row],[Sales]]</f>
        <v>232</v>
      </c>
      <c r="U828">
        <f>Sheet1[[#This Row],[Total Sales]]*Sheet1[[#This Row],[Discount]]</f>
        <v>0</v>
      </c>
      <c r="V828" s="4">
        <f>Sheet1[[#This Row],[Total Sales]]-Sheet1[[#This Row],[Total Sales]]*Sheet1[[#This Row],[Discount]]</f>
        <v>232</v>
      </c>
      <c r="W828" s="4">
        <f>Sheet1[[#This Row],[Quantity]]*Sheet1[[#This Row],[Profit]]</f>
        <v>60.12</v>
      </c>
      <c r="X828" s="5">
        <f>Sheet1[[#This Row],[Total Profit]]/Sheet1[[#This Row],[Sales After Discount]]</f>
        <v>0.25913793103448274</v>
      </c>
      <c r="Y828" s="4">
        <f>Sheet1[[#This Row],[Shipping_cost]]*Sheet1[[#This Row],[Quantity]]</f>
        <v>39.04</v>
      </c>
      <c r="Z828" s="4">
        <f>Sheet1[[#This Row],[Total Profit]]-Sheet1[[#This Row],[Total Shipping Cost]]</f>
        <v>21.08</v>
      </c>
      <c r="AA828" s="4" t="str">
        <f>IF(Sheet1[[#This Row],[Net Profit]]&gt;0,"Profit","Loss")</f>
        <v>Profit</v>
      </c>
    </row>
    <row r="829" spans="1:27" x14ac:dyDescent="0.25">
      <c r="A829" t="s">
        <v>1064</v>
      </c>
      <c r="B829" s="1">
        <v>40603</v>
      </c>
      <c r="C829" s="1">
        <v>40606</v>
      </c>
      <c r="D829" t="s">
        <v>142</v>
      </c>
      <c r="E829" t="s">
        <v>785</v>
      </c>
      <c r="F829" t="s">
        <v>3</v>
      </c>
      <c r="G829" t="s">
        <v>36</v>
      </c>
      <c r="H829" t="s">
        <v>37</v>
      </c>
      <c r="I829" t="s">
        <v>37</v>
      </c>
      <c r="J829" t="s">
        <v>37</v>
      </c>
      <c r="K829" t="s">
        <v>38</v>
      </c>
      <c r="L829" t="s">
        <v>77</v>
      </c>
      <c r="M829">
        <v>493</v>
      </c>
      <c r="N829">
        <v>4</v>
      </c>
      <c r="O829">
        <v>0</v>
      </c>
      <c r="P829">
        <v>123.24</v>
      </c>
      <c r="Q829">
        <v>18.190000000000001</v>
      </c>
      <c r="R829" t="s">
        <v>23</v>
      </c>
      <c r="S829">
        <f>Sheet1[[#This Row],[Ship_date]]-Sheet1[[#This Row],[Order_date]]</f>
        <v>3</v>
      </c>
      <c r="T829">
        <f>Sheet1[[#This Row],[Quantity]]*Sheet1[[#This Row],[Sales]]</f>
        <v>1972</v>
      </c>
      <c r="U829">
        <f>Sheet1[[#This Row],[Total Sales]]*Sheet1[[#This Row],[Discount]]</f>
        <v>0</v>
      </c>
      <c r="V829" s="4">
        <f>Sheet1[[#This Row],[Total Sales]]-Sheet1[[#This Row],[Total Sales]]*Sheet1[[#This Row],[Discount]]</f>
        <v>1972</v>
      </c>
      <c r="W829" s="4">
        <f>Sheet1[[#This Row],[Quantity]]*Sheet1[[#This Row],[Profit]]</f>
        <v>492.96</v>
      </c>
      <c r="X829" s="5">
        <f>Sheet1[[#This Row],[Total Profit]]/Sheet1[[#This Row],[Sales After Discount]]</f>
        <v>0.24997971602434077</v>
      </c>
      <c r="Y829" s="4">
        <f>Sheet1[[#This Row],[Shipping_cost]]*Sheet1[[#This Row],[Quantity]]</f>
        <v>72.760000000000005</v>
      </c>
      <c r="Z829" s="4">
        <f>Sheet1[[#This Row],[Total Profit]]-Sheet1[[#This Row],[Total Shipping Cost]]</f>
        <v>420.2</v>
      </c>
      <c r="AA829" s="4" t="str">
        <f>IF(Sheet1[[#This Row],[Net Profit]]&gt;0,"Profit","Loss")</f>
        <v>Profit</v>
      </c>
    </row>
    <row r="830" spans="1:27" x14ac:dyDescent="0.25">
      <c r="A830" t="s">
        <v>1084</v>
      </c>
      <c r="B830" s="1">
        <v>40603</v>
      </c>
      <c r="C830" s="1">
        <v>40610</v>
      </c>
      <c r="D830" t="s">
        <v>1</v>
      </c>
      <c r="E830" t="s">
        <v>84</v>
      </c>
      <c r="F830" t="s">
        <v>3</v>
      </c>
      <c r="G830" t="s">
        <v>771</v>
      </c>
      <c r="H830" t="s">
        <v>115</v>
      </c>
      <c r="I830" t="s">
        <v>29</v>
      </c>
      <c r="J830" t="s">
        <v>76</v>
      </c>
      <c r="K830" t="s">
        <v>7</v>
      </c>
      <c r="L830" t="s">
        <v>91</v>
      </c>
      <c r="M830">
        <v>107</v>
      </c>
      <c r="N830">
        <v>4</v>
      </c>
      <c r="O830">
        <v>0</v>
      </c>
      <c r="P830">
        <v>29.88</v>
      </c>
      <c r="Q830">
        <v>16.48</v>
      </c>
      <c r="R830" t="s">
        <v>51</v>
      </c>
      <c r="S830">
        <f>Sheet1[[#This Row],[Ship_date]]-Sheet1[[#This Row],[Order_date]]</f>
        <v>7</v>
      </c>
      <c r="T830">
        <f>Sheet1[[#This Row],[Quantity]]*Sheet1[[#This Row],[Sales]]</f>
        <v>428</v>
      </c>
      <c r="U830">
        <f>Sheet1[[#This Row],[Total Sales]]*Sheet1[[#This Row],[Discount]]</f>
        <v>0</v>
      </c>
      <c r="V830" s="4">
        <f>Sheet1[[#This Row],[Total Sales]]-Sheet1[[#This Row],[Total Sales]]*Sheet1[[#This Row],[Discount]]</f>
        <v>428</v>
      </c>
      <c r="W830" s="4">
        <f>Sheet1[[#This Row],[Quantity]]*Sheet1[[#This Row],[Profit]]</f>
        <v>119.52</v>
      </c>
      <c r="X830" s="5">
        <f>Sheet1[[#This Row],[Total Profit]]/Sheet1[[#This Row],[Sales After Discount]]</f>
        <v>0.27925233644859815</v>
      </c>
      <c r="Y830" s="4">
        <f>Sheet1[[#This Row],[Shipping_cost]]*Sheet1[[#This Row],[Quantity]]</f>
        <v>65.92</v>
      </c>
      <c r="Z830" s="4">
        <f>Sheet1[[#This Row],[Total Profit]]-Sheet1[[#This Row],[Total Shipping Cost]]</f>
        <v>53.599999999999994</v>
      </c>
      <c r="AA830" s="4" t="str">
        <f>IF(Sheet1[[#This Row],[Net Profit]]&gt;0,"Profit","Loss")</f>
        <v>Profit</v>
      </c>
    </row>
    <row r="831" spans="1:27" x14ac:dyDescent="0.25">
      <c r="A831" t="s">
        <v>1066</v>
      </c>
      <c r="B831" s="1">
        <v>40603</v>
      </c>
      <c r="C831" s="1">
        <v>40607</v>
      </c>
      <c r="D831" t="s">
        <v>1</v>
      </c>
      <c r="E831" t="s">
        <v>452</v>
      </c>
      <c r="F831" t="s">
        <v>3</v>
      </c>
      <c r="G831" t="s">
        <v>1067</v>
      </c>
      <c r="H831" t="s">
        <v>1068</v>
      </c>
      <c r="I831" t="s">
        <v>22</v>
      </c>
      <c r="J831" t="s">
        <v>22</v>
      </c>
      <c r="K831" t="s">
        <v>38</v>
      </c>
      <c r="L831" t="s">
        <v>39</v>
      </c>
      <c r="M831">
        <v>266</v>
      </c>
      <c r="N831">
        <v>1</v>
      </c>
      <c r="O831">
        <v>0</v>
      </c>
      <c r="P831">
        <v>79.86</v>
      </c>
      <c r="Q831">
        <v>16.22</v>
      </c>
      <c r="R831" t="s">
        <v>9</v>
      </c>
      <c r="S831">
        <f>Sheet1[[#This Row],[Ship_date]]-Sheet1[[#This Row],[Order_date]]</f>
        <v>4</v>
      </c>
      <c r="T831">
        <f>Sheet1[[#This Row],[Quantity]]*Sheet1[[#This Row],[Sales]]</f>
        <v>266</v>
      </c>
      <c r="U831">
        <f>Sheet1[[#This Row],[Total Sales]]*Sheet1[[#This Row],[Discount]]</f>
        <v>0</v>
      </c>
      <c r="V831" s="4">
        <f>Sheet1[[#This Row],[Total Sales]]-Sheet1[[#This Row],[Total Sales]]*Sheet1[[#This Row],[Discount]]</f>
        <v>266</v>
      </c>
      <c r="W831" s="4">
        <f>Sheet1[[#This Row],[Quantity]]*Sheet1[[#This Row],[Profit]]</f>
        <v>79.86</v>
      </c>
      <c r="X831" s="5">
        <f>Sheet1[[#This Row],[Total Profit]]/Sheet1[[#This Row],[Sales After Discount]]</f>
        <v>0.30022556390977445</v>
      </c>
      <c r="Y831" s="4">
        <f>Sheet1[[#This Row],[Shipping_cost]]*Sheet1[[#This Row],[Quantity]]</f>
        <v>16.22</v>
      </c>
      <c r="Z831" s="4">
        <f>Sheet1[[#This Row],[Total Profit]]-Sheet1[[#This Row],[Total Shipping Cost]]</f>
        <v>63.64</v>
      </c>
      <c r="AA831" s="4" t="str">
        <f>IF(Sheet1[[#This Row],[Net Profit]]&gt;0,"Profit","Loss")</f>
        <v>Profit</v>
      </c>
    </row>
    <row r="832" spans="1:27" x14ac:dyDescent="0.25">
      <c r="A832" t="s">
        <v>1085</v>
      </c>
      <c r="B832" s="1">
        <v>40603</v>
      </c>
      <c r="C832" s="1">
        <v>40607</v>
      </c>
      <c r="D832" t="s">
        <v>1</v>
      </c>
      <c r="E832" t="s">
        <v>1086</v>
      </c>
      <c r="F832" t="s">
        <v>43</v>
      </c>
      <c r="G832" t="s">
        <v>1087</v>
      </c>
      <c r="H832" t="s">
        <v>131</v>
      </c>
      <c r="I832" t="s">
        <v>14</v>
      </c>
      <c r="J832" t="s">
        <v>132</v>
      </c>
      <c r="K832" t="s">
        <v>32</v>
      </c>
      <c r="L832" t="s">
        <v>33</v>
      </c>
      <c r="M832">
        <v>352</v>
      </c>
      <c r="N832">
        <v>7</v>
      </c>
      <c r="O832">
        <v>0</v>
      </c>
      <c r="P832">
        <v>59.64</v>
      </c>
      <c r="Q832">
        <v>15.91</v>
      </c>
      <c r="R832" t="s">
        <v>9</v>
      </c>
      <c r="S832">
        <f>Sheet1[[#This Row],[Ship_date]]-Sheet1[[#This Row],[Order_date]]</f>
        <v>4</v>
      </c>
      <c r="T832">
        <f>Sheet1[[#This Row],[Quantity]]*Sheet1[[#This Row],[Sales]]</f>
        <v>2464</v>
      </c>
      <c r="U832">
        <f>Sheet1[[#This Row],[Total Sales]]*Sheet1[[#This Row],[Discount]]</f>
        <v>0</v>
      </c>
      <c r="V832" s="4">
        <f>Sheet1[[#This Row],[Total Sales]]-Sheet1[[#This Row],[Total Sales]]*Sheet1[[#This Row],[Discount]]</f>
        <v>2464</v>
      </c>
      <c r="W832" s="4">
        <f>Sheet1[[#This Row],[Quantity]]*Sheet1[[#This Row],[Profit]]</f>
        <v>417.48</v>
      </c>
      <c r="X832" s="5">
        <f>Sheet1[[#This Row],[Total Profit]]/Sheet1[[#This Row],[Sales After Discount]]</f>
        <v>0.16943181818181818</v>
      </c>
      <c r="Y832" s="4">
        <f>Sheet1[[#This Row],[Shipping_cost]]*Sheet1[[#This Row],[Quantity]]</f>
        <v>111.37</v>
      </c>
      <c r="Z832" s="4">
        <f>Sheet1[[#This Row],[Total Profit]]-Sheet1[[#This Row],[Total Shipping Cost]]</f>
        <v>306.11</v>
      </c>
      <c r="AA832" s="4" t="str">
        <f>IF(Sheet1[[#This Row],[Net Profit]]&gt;0,"Profit","Loss")</f>
        <v>Profit</v>
      </c>
    </row>
    <row r="833" spans="1:27" x14ac:dyDescent="0.25">
      <c r="A833" t="s">
        <v>1088</v>
      </c>
      <c r="B833" s="1">
        <v>40603</v>
      </c>
      <c r="C833" s="1">
        <v>40608</v>
      </c>
      <c r="D833" t="s">
        <v>1</v>
      </c>
      <c r="E833" t="s">
        <v>1089</v>
      </c>
      <c r="F833" t="s">
        <v>3</v>
      </c>
      <c r="G833" t="s">
        <v>1090</v>
      </c>
      <c r="H833" t="s">
        <v>157</v>
      </c>
      <c r="I833" t="s">
        <v>14</v>
      </c>
      <c r="J833" t="s">
        <v>61</v>
      </c>
      <c r="K833" t="s">
        <v>32</v>
      </c>
      <c r="L833" t="s">
        <v>56</v>
      </c>
      <c r="M833">
        <v>239</v>
      </c>
      <c r="N833">
        <v>2</v>
      </c>
      <c r="O833">
        <v>0.27</v>
      </c>
      <c r="P833">
        <v>62.168999999999997</v>
      </c>
      <c r="Q833">
        <v>15.01</v>
      </c>
      <c r="R833" t="s">
        <v>9</v>
      </c>
      <c r="S833">
        <f>Sheet1[[#This Row],[Ship_date]]-Sheet1[[#This Row],[Order_date]]</f>
        <v>5</v>
      </c>
      <c r="T833">
        <f>Sheet1[[#This Row],[Quantity]]*Sheet1[[#This Row],[Sales]]</f>
        <v>478</v>
      </c>
      <c r="U833">
        <f>Sheet1[[#This Row],[Total Sales]]*Sheet1[[#This Row],[Discount]]</f>
        <v>129.06</v>
      </c>
      <c r="V833" s="4">
        <f>Sheet1[[#This Row],[Total Sales]]-Sheet1[[#This Row],[Total Sales]]*Sheet1[[#This Row],[Discount]]</f>
        <v>348.94</v>
      </c>
      <c r="W833" s="4">
        <f>Sheet1[[#This Row],[Quantity]]*Sheet1[[#This Row],[Profit]]</f>
        <v>124.33799999999999</v>
      </c>
      <c r="X833" s="5">
        <f>Sheet1[[#This Row],[Total Profit]]/Sheet1[[#This Row],[Sales After Discount]]</f>
        <v>0.35633060124949845</v>
      </c>
      <c r="Y833" s="4">
        <f>Sheet1[[#This Row],[Shipping_cost]]*Sheet1[[#This Row],[Quantity]]</f>
        <v>30.02</v>
      </c>
      <c r="Z833" s="4">
        <f>Sheet1[[#This Row],[Total Profit]]-Sheet1[[#This Row],[Total Shipping Cost]]</f>
        <v>94.317999999999998</v>
      </c>
      <c r="AA833" s="4" t="str">
        <f>IF(Sheet1[[#This Row],[Net Profit]]&gt;0,"Profit","Loss")</f>
        <v>Profit</v>
      </c>
    </row>
    <row r="834" spans="1:27" x14ac:dyDescent="0.25">
      <c r="A834" t="s">
        <v>1088</v>
      </c>
      <c r="B834" s="1">
        <v>40603</v>
      </c>
      <c r="C834" s="1">
        <v>40608</v>
      </c>
      <c r="D834" t="s">
        <v>1</v>
      </c>
      <c r="E834" t="s">
        <v>1089</v>
      </c>
      <c r="F834" t="s">
        <v>3</v>
      </c>
      <c r="G834" t="s">
        <v>1090</v>
      </c>
      <c r="H834" t="s">
        <v>157</v>
      </c>
      <c r="I834" t="s">
        <v>14</v>
      </c>
      <c r="J834" t="s">
        <v>61</v>
      </c>
      <c r="K834" t="s">
        <v>7</v>
      </c>
      <c r="L834" t="s">
        <v>96</v>
      </c>
      <c r="M834">
        <v>109</v>
      </c>
      <c r="N834">
        <v>9</v>
      </c>
      <c r="O834">
        <v>0.47</v>
      </c>
      <c r="P834">
        <v>-74.414699999999996</v>
      </c>
      <c r="Q834">
        <v>14.58</v>
      </c>
      <c r="R834" t="s">
        <v>9</v>
      </c>
      <c r="S834">
        <f>Sheet1[[#This Row],[Ship_date]]-Sheet1[[#This Row],[Order_date]]</f>
        <v>5</v>
      </c>
      <c r="T834">
        <f>Sheet1[[#This Row],[Quantity]]*Sheet1[[#This Row],[Sales]]</f>
        <v>981</v>
      </c>
      <c r="U834">
        <f>Sheet1[[#This Row],[Total Sales]]*Sheet1[[#This Row],[Discount]]</f>
        <v>461.07</v>
      </c>
      <c r="V834" s="4">
        <f>Sheet1[[#This Row],[Total Sales]]-Sheet1[[#This Row],[Total Sales]]*Sheet1[[#This Row],[Discount]]</f>
        <v>519.93000000000006</v>
      </c>
      <c r="W834" s="4">
        <f>Sheet1[[#This Row],[Quantity]]*Sheet1[[#This Row],[Profit]]</f>
        <v>-669.73230000000001</v>
      </c>
      <c r="X834" s="5">
        <f>Sheet1[[#This Row],[Total Profit]]/Sheet1[[#This Row],[Sales After Discount]]</f>
        <v>-1.2881201315561708</v>
      </c>
      <c r="Y834" s="4">
        <f>Sheet1[[#This Row],[Shipping_cost]]*Sheet1[[#This Row],[Quantity]]</f>
        <v>131.22</v>
      </c>
      <c r="Z834" s="4">
        <f>Sheet1[[#This Row],[Total Profit]]-Sheet1[[#This Row],[Total Shipping Cost]]</f>
        <v>-800.95230000000004</v>
      </c>
      <c r="AA834" s="4" t="str">
        <f>IF(Sheet1[[#This Row],[Net Profit]]&gt;0,"Profit","Loss")</f>
        <v>Loss</v>
      </c>
    </row>
    <row r="835" spans="1:27" x14ac:dyDescent="0.25">
      <c r="A835" t="s">
        <v>1091</v>
      </c>
      <c r="B835" s="1">
        <v>40603</v>
      </c>
      <c r="C835" s="1">
        <v>40607</v>
      </c>
      <c r="D835" t="s">
        <v>1</v>
      </c>
      <c r="E835" t="s">
        <v>717</v>
      </c>
      <c r="F835" t="s">
        <v>43</v>
      </c>
      <c r="G835" t="s">
        <v>1070</v>
      </c>
      <c r="H835" t="s">
        <v>305</v>
      </c>
      <c r="I835" t="s">
        <v>29</v>
      </c>
      <c r="J835" t="s">
        <v>76</v>
      </c>
      <c r="K835" t="s">
        <v>38</v>
      </c>
      <c r="L835" t="s">
        <v>82</v>
      </c>
      <c r="M835">
        <v>151</v>
      </c>
      <c r="N835">
        <v>2</v>
      </c>
      <c r="O835">
        <v>0.1</v>
      </c>
      <c r="P835">
        <v>-5.0579999999999998</v>
      </c>
      <c r="Q835">
        <v>14.22</v>
      </c>
      <c r="R835" t="s">
        <v>9</v>
      </c>
      <c r="S835">
        <f>Sheet1[[#This Row],[Ship_date]]-Sheet1[[#This Row],[Order_date]]</f>
        <v>4</v>
      </c>
      <c r="T835">
        <f>Sheet1[[#This Row],[Quantity]]*Sheet1[[#This Row],[Sales]]</f>
        <v>302</v>
      </c>
      <c r="U835">
        <f>Sheet1[[#This Row],[Total Sales]]*Sheet1[[#This Row],[Discount]]</f>
        <v>30.200000000000003</v>
      </c>
      <c r="V835" s="4">
        <f>Sheet1[[#This Row],[Total Sales]]-Sheet1[[#This Row],[Total Sales]]*Sheet1[[#This Row],[Discount]]</f>
        <v>271.8</v>
      </c>
      <c r="W835" s="4">
        <f>Sheet1[[#This Row],[Quantity]]*Sheet1[[#This Row],[Profit]]</f>
        <v>-10.116</v>
      </c>
      <c r="X835" s="5">
        <f>Sheet1[[#This Row],[Total Profit]]/Sheet1[[#This Row],[Sales After Discount]]</f>
        <v>-3.7218543046357612E-2</v>
      </c>
      <c r="Y835" s="4">
        <f>Sheet1[[#This Row],[Shipping_cost]]*Sheet1[[#This Row],[Quantity]]</f>
        <v>28.44</v>
      </c>
      <c r="Z835" s="4">
        <f>Sheet1[[#This Row],[Total Profit]]-Sheet1[[#This Row],[Total Shipping Cost]]</f>
        <v>-38.555999999999997</v>
      </c>
      <c r="AA835" s="4" t="str">
        <f>IF(Sheet1[[#This Row],[Net Profit]]&gt;0,"Profit","Loss")</f>
        <v>Loss</v>
      </c>
    </row>
    <row r="836" spans="1:27" x14ac:dyDescent="0.25">
      <c r="A836" t="s">
        <v>1092</v>
      </c>
      <c r="B836" s="1">
        <v>40603</v>
      </c>
      <c r="C836" s="1">
        <v>40607</v>
      </c>
      <c r="D836" t="s">
        <v>1</v>
      </c>
      <c r="E836" t="s">
        <v>1089</v>
      </c>
      <c r="F836" t="s">
        <v>3</v>
      </c>
      <c r="G836" t="s">
        <v>1093</v>
      </c>
      <c r="H836" t="s">
        <v>13</v>
      </c>
      <c r="I836" t="s">
        <v>14</v>
      </c>
      <c r="J836" t="s">
        <v>15</v>
      </c>
      <c r="K836" t="s">
        <v>38</v>
      </c>
      <c r="L836" t="s">
        <v>77</v>
      </c>
      <c r="M836">
        <v>92</v>
      </c>
      <c r="N836">
        <v>1</v>
      </c>
      <c r="O836">
        <v>0.4</v>
      </c>
      <c r="P836">
        <v>-45.948</v>
      </c>
      <c r="Q836">
        <v>13.96</v>
      </c>
      <c r="R836" t="s">
        <v>23</v>
      </c>
      <c r="S836">
        <f>Sheet1[[#This Row],[Ship_date]]-Sheet1[[#This Row],[Order_date]]</f>
        <v>4</v>
      </c>
      <c r="T836">
        <f>Sheet1[[#This Row],[Quantity]]*Sheet1[[#This Row],[Sales]]</f>
        <v>92</v>
      </c>
      <c r="U836">
        <f>Sheet1[[#This Row],[Total Sales]]*Sheet1[[#This Row],[Discount]]</f>
        <v>36.800000000000004</v>
      </c>
      <c r="V836" s="4">
        <f>Sheet1[[#This Row],[Total Sales]]-Sheet1[[#This Row],[Total Sales]]*Sheet1[[#This Row],[Discount]]</f>
        <v>55.199999999999996</v>
      </c>
      <c r="W836" s="4">
        <f>Sheet1[[#This Row],[Quantity]]*Sheet1[[#This Row],[Profit]]</f>
        <v>-45.948</v>
      </c>
      <c r="X836" s="5">
        <f>Sheet1[[#This Row],[Total Profit]]/Sheet1[[#This Row],[Sales After Discount]]</f>
        <v>-0.83239130434782616</v>
      </c>
      <c r="Y836" s="4">
        <f>Sheet1[[#This Row],[Shipping_cost]]*Sheet1[[#This Row],[Quantity]]</f>
        <v>13.96</v>
      </c>
      <c r="Z836" s="4">
        <f>Sheet1[[#This Row],[Total Profit]]-Sheet1[[#This Row],[Total Shipping Cost]]</f>
        <v>-59.908000000000001</v>
      </c>
      <c r="AA836" s="4" t="str">
        <f>IF(Sheet1[[#This Row],[Net Profit]]&gt;0,"Profit","Loss")</f>
        <v>Loss</v>
      </c>
    </row>
    <row r="837" spans="1:27" x14ac:dyDescent="0.25">
      <c r="A837" t="s">
        <v>1066</v>
      </c>
      <c r="B837" s="1">
        <v>40603</v>
      </c>
      <c r="C837" s="1">
        <v>40607</v>
      </c>
      <c r="D837" t="s">
        <v>1</v>
      </c>
      <c r="E837" t="s">
        <v>452</v>
      </c>
      <c r="F837" t="s">
        <v>3</v>
      </c>
      <c r="G837" t="s">
        <v>1067</v>
      </c>
      <c r="H837" t="s">
        <v>1068</v>
      </c>
      <c r="I837" t="s">
        <v>22</v>
      </c>
      <c r="J837" t="s">
        <v>22</v>
      </c>
      <c r="K837" t="s">
        <v>32</v>
      </c>
      <c r="L837" t="s">
        <v>67</v>
      </c>
      <c r="M837">
        <v>197</v>
      </c>
      <c r="N837">
        <v>1</v>
      </c>
      <c r="O837">
        <v>0</v>
      </c>
      <c r="P837">
        <v>86.55</v>
      </c>
      <c r="Q837">
        <v>12.33</v>
      </c>
      <c r="R837" t="s">
        <v>9</v>
      </c>
      <c r="S837">
        <f>Sheet1[[#This Row],[Ship_date]]-Sheet1[[#This Row],[Order_date]]</f>
        <v>4</v>
      </c>
      <c r="T837">
        <f>Sheet1[[#This Row],[Quantity]]*Sheet1[[#This Row],[Sales]]</f>
        <v>197</v>
      </c>
      <c r="U837">
        <f>Sheet1[[#This Row],[Total Sales]]*Sheet1[[#This Row],[Discount]]</f>
        <v>0</v>
      </c>
      <c r="V837" s="4">
        <f>Sheet1[[#This Row],[Total Sales]]-Sheet1[[#This Row],[Total Sales]]*Sheet1[[#This Row],[Discount]]</f>
        <v>197</v>
      </c>
      <c r="W837" s="4">
        <f>Sheet1[[#This Row],[Quantity]]*Sheet1[[#This Row],[Profit]]</f>
        <v>86.55</v>
      </c>
      <c r="X837" s="5">
        <f>Sheet1[[#This Row],[Total Profit]]/Sheet1[[#This Row],[Sales After Discount]]</f>
        <v>0.43934010152284264</v>
      </c>
      <c r="Y837" s="4">
        <f>Sheet1[[#This Row],[Shipping_cost]]*Sheet1[[#This Row],[Quantity]]</f>
        <v>12.33</v>
      </c>
      <c r="Z837" s="4">
        <f>Sheet1[[#This Row],[Total Profit]]-Sheet1[[#This Row],[Total Shipping Cost]]</f>
        <v>74.22</v>
      </c>
      <c r="AA837" s="4" t="str">
        <f>IF(Sheet1[[#This Row],[Net Profit]]&gt;0,"Profit","Loss")</f>
        <v>Profit</v>
      </c>
    </row>
    <row r="838" spans="1:27" x14ac:dyDescent="0.25">
      <c r="A838" t="s">
        <v>1069</v>
      </c>
      <c r="B838" s="1">
        <v>40603</v>
      </c>
      <c r="C838" s="1">
        <v>40607</v>
      </c>
      <c r="D838" t="s">
        <v>1</v>
      </c>
      <c r="E838" t="s">
        <v>504</v>
      </c>
      <c r="F838" t="s">
        <v>3</v>
      </c>
      <c r="G838" t="s">
        <v>1070</v>
      </c>
      <c r="H838" t="s">
        <v>305</v>
      </c>
      <c r="I838" t="s">
        <v>29</v>
      </c>
      <c r="J838" t="s">
        <v>76</v>
      </c>
      <c r="K838" t="s">
        <v>7</v>
      </c>
      <c r="L838" t="s">
        <v>8</v>
      </c>
      <c r="M838">
        <v>118</v>
      </c>
      <c r="N838">
        <v>3</v>
      </c>
      <c r="O838">
        <v>0.2</v>
      </c>
      <c r="P838">
        <v>36.683999999999997</v>
      </c>
      <c r="Q838">
        <v>11.43</v>
      </c>
      <c r="R838" t="s">
        <v>23</v>
      </c>
      <c r="S838">
        <f>Sheet1[[#This Row],[Ship_date]]-Sheet1[[#This Row],[Order_date]]</f>
        <v>4</v>
      </c>
      <c r="T838">
        <f>Sheet1[[#This Row],[Quantity]]*Sheet1[[#This Row],[Sales]]</f>
        <v>354</v>
      </c>
      <c r="U838">
        <f>Sheet1[[#This Row],[Total Sales]]*Sheet1[[#This Row],[Discount]]</f>
        <v>70.8</v>
      </c>
      <c r="V838" s="4">
        <f>Sheet1[[#This Row],[Total Sales]]-Sheet1[[#This Row],[Total Sales]]*Sheet1[[#This Row],[Discount]]</f>
        <v>283.2</v>
      </c>
      <c r="W838" s="4">
        <f>Sheet1[[#This Row],[Quantity]]*Sheet1[[#This Row],[Profit]]</f>
        <v>110.05199999999999</v>
      </c>
      <c r="X838" s="5">
        <f>Sheet1[[#This Row],[Total Profit]]/Sheet1[[#This Row],[Sales After Discount]]</f>
        <v>0.3886016949152542</v>
      </c>
      <c r="Y838" s="4">
        <f>Sheet1[[#This Row],[Shipping_cost]]*Sheet1[[#This Row],[Quantity]]</f>
        <v>34.29</v>
      </c>
      <c r="Z838" s="4">
        <f>Sheet1[[#This Row],[Total Profit]]-Sheet1[[#This Row],[Total Shipping Cost]]</f>
        <v>75.762</v>
      </c>
      <c r="AA838" s="4" t="str">
        <f>IF(Sheet1[[#This Row],[Net Profit]]&gt;0,"Profit","Loss")</f>
        <v>Profit</v>
      </c>
    </row>
    <row r="839" spans="1:27" x14ac:dyDescent="0.25">
      <c r="A839" t="s">
        <v>1077</v>
      </c>
      <c r="B839" s="1">
        <v>40603</v>
      </c>
      <c r="C839" s="1">
        <v>40609</v>
      </c>
      <c r="D839" t="s">
        <v>1</v>
      </c>
      <c r="E839" t="s">
        <v>1078</v>
      </c>
      <c r="F839" t="s">
        <v>3</v>
      </c>
      <c r="G839" t="s">
        <v>125</v>
      </c>
      <c r="H839" t="s">
        <v>126</v>
      </c>
      <c r="I839" t="s">
        <v>127</v>
      </c>
      <c r="J839" t="s">
        <v>76</v>
      </c>
      <c r="K839" t="s">
        <v>7</v>
      </c>
      <c r="L839" t="s">
        <v>8</v>
      </c>
      <c r="M839">
        <v>137</v>
      </c>
      <c r="N839">
        <v>3</v>
      </c>
      <c r="O839">
        <v>0.2</v>
      </c>
      <c r="P839">
        <v>8.5845000000000002</v>
      </c>
      <c r="Q839">
        <v>8.49</v>
      </c>
      <c r="R839" t="s">
        <v>9</v>
      </c>
      <c r="S839">
        <f>Sheet1[[#This Row],[Ship_date]]-Sheet1[[#This Row],[Order_date]]</f>
        <v>6</v>
      </c>
      <c r="T839">
        <f>Sheet1[[#This Row],[Quantity]]*Sheet1[[#This Row],[Sales]]</f>
        <v>411</v>
      </c>
      <c r="U839">
        <f>Sheet1[[#This Row],[Total Sales]]*Sheet1[[#This Row],[Discount]]</f>
        <v>82.2</v>
      </c>
      <c r="V839" s="4">
        <f>Sheet1[[#This Row],[Total Sales]]-Sheet1[[#This Row],[Total Sales]]*Sheet1[[#This Row],[Discount]]</f>
        <v>328.8</v>
      </c>
      <c r="W839" s="4">
        <f>Sheet1[[#This Row],[Quantity]]*Sheet1[[#This Row],[Profit]]</f>
        <v>25.753500000000003</v>
      </c>
      <c r="X839" s="5">
        <f>Sheet1[[#This Row],[Total Profit]]/Sheet1[[#This Row],[Sales After Discount]]</f>
        <v>7.8325729927007301E-2</v>
      </c>
      <c r="Y839" s="4">
        <f>Sheet1[[#This Row],[Shipping_cost]]*Sheet1[[#This Row],[Quantity]]</f>
        <v>25.47</v>
      </c>
      <c r="Z839" s="4">
        <f>Sheet1[[#This Row],[Total Profit]]-Sheet1[[#This Row],[Total Shipping Cost]]</f>
        <v>0.28350000000000364</v>
      </c>
      <c r="AA839" s="4" t="str">
        <f>IF(Sheet1[[#This Row],[Net Profit]]&gt;0,"Profit","Loss")</f>
        <v>Profit</v>
      </c>
    </row>
    <row r="840" spans="1:27" x14ac:dyDescent="0.25">
      <c r="A840" t="s">
        <v>1081</v>
      </c>
      <c r="B840" s="1">
        <v>40603</v>
      </c>
      <c r="C840" s="1">
        <v>40603</v>
      </c>
      <c r="D840" t="s">
        <v>41</v>
      </c>
      <c r="E840" t="s">
        <v>1082</v>
      </c>
      <c r="F840" t="s">
        <v>26</v>
      </c>
      <c r="G840" t="s">
        <v>1083</v>
      </c>
      <c r="H840" t="s">
        <v>1068</v>
      </c>
      <c r="I840" t="s">
        <v>22</v>
      </c>
      <c r="J840" t="s">
        <v>22</v>
      </c>
      <c r="K840" t="s">
        <v>7</v>
      </c>
      <c r="L840" t="s">
        <v>91</v>
      </c>
      <c r="M840">
        <v>99</v>
      </c>
      <c r="N840">
        <v>2</v>
      </c>
      <c r="O840">
        <v>0</v>
      </c>
      <c r="P840">
        <v>15.78</v>
      </c>
      <c r="Q840">
        <v>8.42</v>
      </c>
      <c r="R840" t="s">
        <v>9</v>
      </c>
      <c r="S840">
        <f>Sheet1[[#This Row],[Ship_date]]-Sheet1[[#This Row],[Order_date]]</f>
        <v>0</v>
      </c>
      <c r="T840">
        <f>Sheet1[[#This Row],[Quantity]]*Sheet1[[#This Row],[Sales]]</f>
        <v>198</v>
      </c>
      <c r="U840">
        <f>Sheet1[[#This Row],[Total Sales]]*Sheet1[[#This Row],[Discount]]</f>
        <v>0</v>
      </c>
      <c r="V840" s="4">
        <f>Sheet1[[#This Row],[Total Sales]]-Sheet1[[#This Row],[Total Sales]]*Sheet1[[#This Row],[Discount]]</f>
        <v>198</v>
      </c>
      <c r="W840" s="4">
        <f>Sheet1[[#This Row],[Quantity]]*Sheet1[[#This Row],[Profit]]</f>
        <v>31.56</v>
      </c>
      <c r="X840" s="5">
        <f>Sheet1[[#This Row],[Total Profit]]/Sheet1[[#This Row],[Sales After Discount]]</f>
        <v>0.15939393939393939</v>
      </c>
      <c r="Y840" s="4">
        <f>Sheet1[[#This Row],[Shipping_cost]]*Sheet1[[#This Row],[Quantity]]</f>
        <v>16.84</v>
      </c>
      <c r="Z840" s="4">
        <f>Sheet1[[#This Row],[Total Profit]]-Sheet1[[#This Row],[Total Shipping Cost]]</f>
        <v>14.719999999999999</v>
      </c>
      <c r="AA840" s="4" t="str">
        <f>IF(Sheet1[[#This Row],[Net Profit]]&gt;0,"Profit","Loss")</f>
        <v>Profit</v>
      </c>
    </row>
    <row r="841" spans="1:27" x14ac:dyDescent="0.25">
      <c r="A841" t="s">
        <v>1069</v>
      </c>
      <c r="B841" s="1">
        <v>40603</v>
      </c>
      <c r="C841" s="1">
        <v>40607</v>
      </c>
      <c r="D841" t="s">
        <v>1</v>
      </c>
      <c r="E841" t="s">
        <v>504</v>
      </c>
      <c r="F841" t="s">
        <v>3</v>
      </c>
      <c r="G841" t="s">
        <v>1070</v>
      </c>
      <c r="H841" t="s">
        <v>305</v>
      </c>
      <c r="I841" t="s">
        <v>29</v>
      </c>
      <c r="J841" t="s">
        <v>76</v>
      </c>
      <c r="K841" t="s">
        <v>7</v>
      </c>
      <c r="L841" t="s">
        <v>8</v>
      </c>
      <c r="M841">
        <v>63</v>
      </c>
      <c r="N841">
        <v>3</v>
      </c>
      <c r="O841">
        <v>0.2</v>
      </c>
      <c r="P841">
        <v>23.76</v>
      </c>
      <c r="Q841">
        <v>8.2200000000000006</v>
      </c>
      <c r="R841" t="s">
        <v>23</v>
      </c>
      <c r="S841">
        <f>Sheet1[[#This Row],[Ship_date]]-Sheet1[[#This Row],[Order_date]]</f>
        <v>4</v>
      </c>
      <c r="T841">
        <f>Sheet1[[#This Row],[Quantity]]*Sheet1[[#This Row],[Sales]]</f>
        <v>189</v>
      </c>
      <c r="U841">
        <f>Sheet1[[#This Row],[Total Sales]]*Sheet1[[#This Row],[Discount]]</f>
        <v>37.800000000000004</v>
      </c>
      <c r="V841" s="4">
        <f>Sheet1[[#This Row],[Total Sales]]-Sheet1[[#This Row],[Total Sales]]*Sheet1[[#This Row],[Discount]]</f>
        <v>151.19999999999999</v>
      </c>
      <c r="W841" s="4">
        <f>Sheet1[[#This Row],[Quantity]]*Sheet1[[#This Row],[Profit]]</f>
        <v>71.28</v>
      </c>
      <c r="X841" s="5">
        <f>Sheet1[[#This Row],[Total Profit]]/Sheet1[[#This Row],[Sales After Discount]]</f>
        <v>0.47142857142857147</v>
      </c>
      <c r="Y841" s="4">
        <f>Sheet1[[#This Row],[Shipping_cost]]*Sheet1[[#This Row],[Quantity]]</f>
        <v>24.660000000000004</v>
      </c>
      <c r="Z841" s="4">
        <f>Sheet1[[#This Row],[Total Profit]]-Sheet1[[#This Row],[Total Shipping Cost]]</f>
        <v>46.62</v>
      </c>
      <c r="AA841" s="4" t="str">
        <f>IF(Sheet1[[#This Row],[Net Profit]]&gt;0,"Profit","Loss")</f>
        <v>Profit</v>
      </c>
    </row>
    <row r="842" spans="1:27" x14ac:dyDescent="0.25">
      <c r="A842" t="s">
        <v>1079</v>
      </c>
      <c r="B842" s="1">
        <v>40603</v>
      </c>
      <c r="C842" s="1">
        <v>40607</v>
      </c>
      <c r="D842" t="s">
        <v>1</v>
      </c>
      <c r="E842" t="s">
        <v>1080</v>
      </c>
      <c r="F842" t="s">
        <v>3</v>
      </c>
      <c r="G842" t="s">
        <v>125</v>
      </c>
      <c r="H842" t="s">
        <v>126</v>
      </c>
      <c r="I842" t="s">
        <v>127</v>
      </c>
      <c r="J842" t="s">
        <v>76</v>
      </c>
      <c r="K842" t="s">
        <v>7</v>
      </c>
      <c r="L842" t="s">
        <v>8</v>
      </c>
      <c r="M842">
        <v>130</v>
      </c>
      <c r="N842">
        <v>3</v>
      </c>
      <c r="O842">
        <v>0.2</v>
      </c>
      <c r="P842">
        <v>-22.671600000000002</v>
      </c>
      <c r="Q842">
        <v>8</v>
      </c>
      <c r="R842" t="s">
        <v>9</v>
      </c>
      <c r="S842">
        <f>Sheet1[[#This Row],[Ship_date]]-Sheet1[[#This Row],[Order_date]]</f>
        <v>4</v>
      </c>
      <c r="T842">
        <f>Sheet1[[#This Row],[Quantity]]*Sheet1[[#This Row],[Sales]]</f>
        <v>390</v>
      </c>
      <c r="U842">
        <f>Sheet1[[#This Row],[Total Sales]]*Sheet1[[#This Row],[Discount]]</f>
        <v>78</v>
      </c>
      <c r="V842" s="4">
        <f>Sheet1[[#This Row],[Total Sales]]-Sheet1[[#This Row],[Total Sales]]*Sheet1[[#This Row],[Discount]]</f>
        <v>312</v>
      </c>
      <c r="W842" s="4">
        <f>Sheet1[[#This Row],[Quantity]]*Sheet1[[#This Row],[Profit]]</f>
        <v>-68.014800000000008</v>
      </c>
      <c r="X842" s="5">
        <f>Sheet1[[#This Row],[Total Profit]]/Sheet1[[#This Row],[Sales After Discount]]</f>
        <v>-0.21799615384615387</v>
      </c>
      <c r="Y842" s="4">
        <f>Sheet1[[#This Row],[Shipping_cost]]*Sheet1[[#This Row],[Quantity]]</f>
        <v>24</v>
      </c>
      <c r="Z842" s="4">
        <f>Sheet1[[#This Row],[Total Profit]]-Sheet1[[#This Row],[Total Shipping Cost]]</f>
        <v>-92.014800000000008</v>
      </c>
      <c r="AA842" s="4" t="str">
        <f>IF(Sheet1[[#This Row],[Net Profit]]&gt;0,"Profit","Loss")</f>
        <v>Loss</v>
      </c>
    </row>
    <row r="843" spans="1:27" x14ac:dyDescent="0.25">
      <c r="A843" t="s">
        <v>1079</v>
      </c>
      <c r="B843" s="1">
        <v>40603</v>
      </c>
      <c r="C843" s="1">
        <v>40607</v>
      </c>
      <c r="D843" t="s">
        <v>1</v>
      </c>
      <c r="E843" t="s">
        <v>1080</v>
      </c>
      <c r="F843" t="s">
        <v>3</v>
      </c>
      <c r="G843" t="s">
        <v>125</v>
      </c>
      <c r="H843" t="s">
        <v>126</v>
      </c>
      <c r="I843" t="s">
        <v>127</v>
      </c>
      <c r="J843" t="s">
        <v>76</v>
      </c>
      <c r="K843" t="s">
        <v>32</v>
      </c>
      <c r="L843" t="s">
        <v>33</v>
      </c>
      <c r="M843">
        <v>64</v>
      </c>
      <c r="N843">
        <v>6</v>
      </c>
      <c r="O843">
        <v>0.6</v>
      </c>
      <c r="P843">
        <v>-34.953600000000002</v>
      </c>
      <c r="Q843">
        <v>7.38</v>
      </c>
      <c r="R843" t="s">
        <v>9</v>
      </c>
      <c r="S843">
        <f>Sheet1[[#This Row],[Ship_date]]-Sheet1[[#This Row],[Order_date]]</f>
        <v>4</v>
      </c>
      <c r="T843">
        <f>Sheet1[[#This Row],[Quantity]]*Sheet1[[#This Row],[Sales]]</f>
        <v>384</v>
      </c>
      <c r="U843">
        <f>Sheet1[[#This Row],[Total Sales]]*Sheet1[[#This Row],[Discount]]</f>
        <v>230.39999999999998</v>
      </c>
      <c r="V843" s="4">
        <f>Sheet1[[#This Row],[Total Sales]]-Sheet1[[#This Row],[Total Sales]]*Sheet1[[#This Row],[Discount]]</f>
        <v>153.60000000000002</v>
      </c>
      <c r="W843" s="4">
        <f>Sheet1[[#This Row],[Quantity]]*Sheet1[[#This Row],[Profit]]</f>
        <v>-209.72160000000002</v>
      </c>
      <c r="X843" s="5">
        <f>Sheet1[[#This Row],[Total Profit]]/Sheet1[[#This Row],[Sales After Discount]]</f>
        <v>-1.365375</v>
      </c>
      <c r="Y843" s="4">
        <f>Sheet1[[#This Row],[Shipping_cost]]*Sheet1[[#This Row],[Quantity]]</f>
        <v>44.28</v>
      </c>
      <c r="Z843" s="4">
        <f>Sheet1[[#This Row],[Total Profit]]-Sheet1[[#This Row],[Total Shipping Cost]]</f>
        <v>-254.00160000000002</v>
      </c>
      <c r="AA843" s="4" t="str">
        <f>IF(Sheet1[[#This Row],[Net Profit]]&gt;0,"Profit","Loss")</f>
        <v>Loss</v>
      </c>
    </row>
    <row r="844" spans="1:27" x14ac:dyDescent="0.25">
      <c r="A844" t="s">
        <v>1066</v>
      </c>
      <c r="B844" s="1">
        <v>40603</v>
      </c>
      <c r="C844" s="1">
        <v>40607</v>
      </c>
      <c r="D844" t="s">
        <v>1</v>
      </c>
      <c r="E844" t="s">
        <v>452</v>
      </c>
      <c r="F844" t="s">
        <v>3</v>
      </c>
      <c r="G844" t="s">
        <v>1067</v>
      </c>
      <c r="H844" t="s">
        <v>1068</v>
      </c>
      <c r="I844" t="s">
        <v>22</v>
      </c>
      <c r="J844" t="s">
        <v>22</v>
      </c>
      <c r="K844" t="s">
        <v>38</v>
      </c>
      <c r="L844" t="s">
        <v>39</v>
      </c>
      <c r="M844">
        <v>221</v>
      </c>
      <c r="N844">
        <v>2</v>
      </c>
      <c r="O844">
        <v>0</v>
      </c>
      <c r="P844">
        <v>15.48</v>
      </c>
      <c r="Q844">
        <v>6.87</v>
      </c>
      <c r="R844" t="s">
        <v>9</v>
      </c>
      <c r="S844">
        <f>Sheet1[[#This Row],[Ship_date]]-Sheet1[[#This Row],[Order_date]]</f>
        <v>4</v>
      </c>
      <c r="T844">
        <f>Sheet1[[#This Row],[Quantity]]*Sheet1[[#This Row],[Sales]]</f>
        <v>442</v>
      </c>
      <c r="U844">
        <f>Sheet1[[#This Row],[Total Sales]]*Sheet1[[#This Row],[Discount]]</f>
        <v>0</v>
      </c>
      <c r="V844" s="4">
        <f>Sheet1[[#This Row],[Total Sales]]-Sheet1[[#This Row],[Total Sales]]*Sheet1[[#This Row],[Discount]]</f>
        <v>442</v>
      </c>
      <c r="W844" s="4">
        <f>Sheet1[[#This Row],[Quantity]]*Sheet1[[#This Row],[Profit]]</f>
        <v>30.96</v>
      </c>
      <c r="X844" s="5">
        <f>Sheet1[[#This Row],[Total Profit]]/Sheet1[[#This Row],[Sales After Discount]]</f>
        <v>7.0045248868778276E-2</v>
      </c>
      <c r="Y844" s="4">
        <f>Sheet1[[#This Row],[Shipping_cost]]*Sheet1[[#This Row],[Quantity]]</f>
        <v>13.74</v>
      </c>
      <c r="Z844" s="4">
        <f>Sheet1[[#This Row],[Total Profit]]-Sheet1[[#This Row],[Total Shipping Cost]]</f>
        <v>17.22</v>
      </c>
      <c r="AA844" s="4" t="str">
        <f>IF(Sheet1[[#This Row],[Net Profit]]&gt;0,"Profit","Loss")</f>
        <v>Profit</v>
      </c>
    </row>
    <row r="845" spans="1:27" x14ac:dyDescent="0.25">
      <c r="A845" t="s">
        <v>1064</v>
      </c>
      <c r="B845" s="1">
        <v>40603</v>
      </c>
      <c r="C845" s="1">
        <v>40606</v>
      </c>
      <c r="D845" t="s">
        <v>142</v>
      </c>
      <c r="E845" t="s">
        <v>785</v>
      </c>
      <c r="F845" t="s">
        <v>3</v>
      </c>
      <c r="G845" t="s">
        <v>36</v>
      </c>
      <c r="H845" t="s">
        <v>37</v>
      </c>
      <c r="I845" t="s">
        <v>37</v>
      </c>
      <c r="J845" t="s">
        <v>37</v>
      </c>
      <c r="K845" t="s">
        <v>7</v>
      </c>
      <c r="L845" t="s">
        <v>137</v>
      </c>
      <c r="M845">
        <v>30</v>
      </c>
      <c r="N845">
        <v>1</v>
      </c>
      <c r="O845">
        <v>0</v>
      </c>
      <c r="P845">
        <v>2.73</v>
      </c>
      <c r="Q845">
        <v>6.7</v>
      </c>
      <c r="R845" t="s">
        <v>23</v>
      </c>
      <c r="S845">
        <f>Sheet1[[#This Row],[Ship_date]]-Sheet1[[#This Row],[Order_date]]</f>
        <v>3</v>
      </c>
      <c r="T845">
        <f>Sheet1[[#This Row],[Quantity]]*Sheet1[[#This Row],[Sales]]</f>
        <v>30</v>
      </c>
      <c r="U845">
        <f>Sheet1[[#This Row],[Total Sales]]*Sheet1[[#This Row],[Discount]]</f>
        <v>0</v>
      </c>
      <c r="V845" s="4">
        <f>Sheet1[[#This Row],[Total Sales]]-Sheet1[[#This Row],[Total Sales]]*Sheet1[[#This Row],[Discount]]</f>
        <v>30</v>
      </c>
      <c r="W845" s="4">
        <f>Sheet1[[#This Row],[Quantity]]*Sheet1[[#This Row],[Profit]]</f>
        <v>2.73</v>
      </c>
      <c r="X845" s="5">
        <f>Sheet1[[#This Row],[Total Profit]]/Sheet1[[#This Row],[Sales After Discount]]</f>
        <v>9.0999999999999998E-2</v>
      </c>
      <c r="Y845" s="4">
        <f>Sheet1[[#This Row],[Shipping_cost]]*Sheet1[[#This Row],[Quantity]]</f>
        <v>6.7</v>
      </c>
      <c r="Z845" s="4">
        <f>Sheet1[[#This Row],[Total Profit]]-Sheet1[[#This Row],[Total Shipping Cost]]</f>
        <v>-3.97</v>
      </c>
      <c r="AA845" s="4" t="str">
        <f>IF(Sheet1[[#This Row],[Net Profit]]&gt;0,"Profit","Loss")</f>
        <v>Loss</v>
      </c>
    </row>
    <row r="846" spans="1:27" x14ac:dyDescent="0.25">
      <c r="A846" t="s">
        <v>1094</v>
      </c>
      <c r="B846" s="1">
        <v>40603</v>
      </c>
      <c r="C846" s="1">
        <v>40606</v>
      </c>
      <c r="D846" t="s">
        <v>18</v>
      </c>
      <c r="E846" t="s">
        <v>1095</v>
      </c>
      <c r="F846" t="s">
        <v>26</v>
      </c>
      <c r="G846" t="s">
        <v>471</v>
      </c>
      <c r="H846" t="s">
        <v>305</v>
      </c>
      <c r="I846" t="s">
        <v>29</v>
      </c>
      <c r="J846" t="s">
        <v>76</v>
      </c>
      <c r="K846" t="s">
        <v>38</v>
      </c>
      <c r="L846" t="s">
        <v>39</v>
      </c>
      <c r="M846">
        <v>47</v>
      </c>
      <c r="N846">
        <v>1</v>
      </c>
      <c r="O846">
        <v>0</v>
      </c>
      <c r="P846">
        <v>12.54</v>
      </c>
      <c r="Q846">
        <v>6.09</v>
      </c>
      <c r="R846" t="s">
        <v>9</v>
      </c>
      <c r="S846">
        <f>Sheet1[[#This Row],[Ship_date]]-Sheet1[[#This Row],[Order_date]]</f>
        <v>3</v>
      </c>
      <c r="T846">
        <f>Sheet1[[#This Row],[Quantity]]*Sheet1[[#This Row],[Sales]]</f>
        <v>47</v>
      </c>
      <c r="U846">
        <f>Sheet1[[#This Row],[Total Sales]]*Sheet1[[#This Row],[Discount]]</f>
        <v>0</v>
      </c>
      <c r="V846" s="4">
        <f>Sheet1[[#This Row],[Total Sales]]-Sheet1[[#This Row],[Total Sales]]*Sheet1[[#This Row],[Discount]]</f>
        <v>47</v>
      </c>
      <c r="W846" s="4">
        <f>Sheet1[[#This Row],[Quantity]]*Sheet1[[#This Row],[Profit]]</f>
        <v>12.54</v>
      </c>
      <c r="X846" s="5">
        <f>Sheet1[[#This Row],[Total Profit]]/Sheet1[[#This Row],[Sales After Discount]]</f>
        <v>0.26680851063829786</v>
      </c>
      <c r="Y846" s="4">
        <f>Sheet1[[#This Row],[Shipping_cost]]*Sheet1[[#This Row],[Quantity]]</f>
        <v>6.09</v>
      </c>
      <c r="Z846" s="4">
        <f>Sheet1[[#This Row],[Total Profit]]-Sheet1[[#This Row],[Total Shipping Cost]]</f>
        <v>6.4499999999999993</v>
      </c>
      <c r="AA846" s="4" t="str">
        <f>IF(Sheet1[[#This Row],[Net Profit]]&gt;0,"Profit","Loss")</f>
        <v>Profit</v>
      </c>
    </row>
    <row r="847" spans="1:27" x14ac:dyDescent="0.25">
      <c r="A847" t="s">
        <v>1073</v>
      </c>
      <c r="B847" s="1">
        <v>40603</v>
      </c>
      <c r="C847" s="1">
        <v>40605</v>
      </c>
      <c r="D847" t="s">
        <v>142</v>
      </c>
      <c r="E847" t="s">
        <v>1074</v>
      </c>
      <c r="F847" t="s">
        <v>3</v>
      </c>
      <c r="G847" t="s">
        <v>332</v>
      </c>
      <c r="H847" t="s">
        <v>13</v>
      </c>
      <c r="I847" t="s">
        <v>14</v>
      </c>
      <c r="J847" t="s">
        <v>15</v>
      </c>
      <c r="K847" t="s">
        <v>7</v>
      </c>
      <c r="L847" t="s">
        <v>16</v>
      </c>
      <c r="M847">
        <v>24</v>
      </c>
      <c r="N847">
        <v>1</v>
      </c>
      <c r="O847">
        <v>0.1</v>
      </c>
      <c r="P847">
        <v>8.9039999999999999</v>
      </c>
      <c r="Q847">
        <v>5.44</v>
      </c>
      <c r="R847" t="s">
        <v>23</v>
      </c>
      <c r="S847">
        <f>Sheet1[[#This Row],[Ship_date]]-Sheet1[[#This Row],[Order_date]]</f>
        <v>2</v>
      </c>
      <c r="T847">
        <f>Sheet1[[#This Row],[Quantity]]*Sheet1[[#This Row],[Sales]]</f>
        <v>24</v>
      </c>
      <c r="U847">
        <f>Sheet1[[#This Row],[Total Sales]]*Sheet1[[#This Row],[Discount]]</f>
        <v>2.4000000000000004</v>
      </c>
      <c r="V847" s="4">
        <f>Sheet1[[#This Row],[Total Sales]]-Sheet1[[#This Row],[Total Sales]]*Sheet1[[#This Row],[Discount]]</f>
        <v>21.6</v>
      </c>
      <c r="W847" s="4">
        <f>Sheet1[[#This Row],[Quantity]]*Sheet1[[#This Row],[Profit]]</f>
        <v>8.9039999999999999</v>
      </c>
      <c r="X847" s="5">
        <f>Sheet1[[#This Row],[Total Profit]]/Sheet1[[#This Row],[Sales After Discount]]</f>
        <v>0.41222222222222221</v>
      </c>
      <c r="Y847" s="4">
        <f>Sheet1[[#This Row],[Shipping_cost]]*Sheet1[[#This Row],[Quantity]]</f>
        <v>5.44</v>
      </c>
      <c r="Z847" s="4">
        <f>Sheet1[[#This Row],[Total Profit]]-Sheet1[[#This Row],[Total Shipping Cost]]</f>
        <v>3.4639999999999995</v>
      </c>
      <c r="AA847" s="4" t="str">
        <f>IF(Sheet1[[#This Row],[Net Profit]]&gt;0,"Profit","Loss")</f>
        <v>Profit</v>
      </c>
    </row>
    <row r="848" spans="1:27" x14ac:dyDescent="0.25">
      <c r="A848" t="s">
        <v>1092</v>
      </c>
      <c r="B848" s="1">
        <v>40603</v>
      </c>
      <c r="C848" s="1">
        <v>40607</v>
      </c>
      <c r="D848" t="s">
        <v>1</v>
      </c>
      <c r="E848" t="s">
        <v>1089</v>
      </c>
      <c r="F848" t="s">
        <v>3</v>
      </c>
      <c r="G848" t="s">
        <v>1093</v>
      </c>
      <c r="H848" t="s">
        <v>13</v>
      </c>
      <c r="I848" t="s">
        <v>14</v>
      </c>
      <c r="J848" t="s">
        <v>15</v>
      </c>
      <c r="K848" t="s">
        <v>7</v>
      </c>
      <c r="L848" t="s">
        <v>31</v>
      </c>
      <c r="M848">
        <v>24</v>
      </c>
      <c r="N848">
        <v>3</v>
      </c>
      <c r="O848">
        <v>0.4</v>
      </c>
      <c r="P848">
        <v>-7.6319999999999997</v>
      </c>
      <c r="Q848">
        <v>3.9</v>
      </c>
      <c r="R848" t="s">
        <v>23</v>
      </c>
      <c r="S848">
        <f>Sheet1[[#This Row],[Ship_date]]-Sheet1[[#This Row],[Order_date]]</f>
        <v>4</v>
      </c>
      <c r="T848">
        <f>Sheet1[[#This Row],[Quantity]]*Sheet1[[#This Row],[Sales]]</f>
        <v>72</v>
      </c>
      <c r="U848">
        <f>Sheet1[[#This Row],[Total Sales]]*Sheet1[[#This Row],[Discount]]</f>
        <v>28.8</v>
      </c>
      <c r="V848" s="4">
        <f>Sheet1[[#This Row],[Total Sales]]-Sheet1[[#This Row],[Total Sales]]*Sheet1[[#This Row],[Discount]]</f>
        <v>43.2</v>
      </c>
      <c r="W848" s="4">
        <f>Sheet1[[#This Row],[Quantity]]*Sheet1[[#This Row],[Profit]]</f>
        <v>-22.896000000000001</v>
      </c>
      <c r="X848" s="5">
        <f>Sheet1[[#This Row],[Total Profit]]/Sheet1[[#This Row],[Sales After Discount]]</f>
        <v>-0.53</v>
      </c>
      <c r="Y848" s="4">
        <f>Sheet1[[#This Row],[Shipping_cost]]*Sheet1[[#This Row],[Quantity]]</f>
        <v>11.7</v>
      </c>
      <c r="Z848" s="4">
        <f>Sheet1[[#This Row],[Total Profit]]-Sheet1[[#This Row],[Total Shipping Cost]]</f>
        <v>-34.596000000000004</v>
      </c>
      <c r="AA848" s="4" t="str">
        <f>IF(Sheet1[[#This Row],[Net Profit]]&gt;0,"Profit","Loss")</f>
        <v>Loss</v>
      </c>
    </row>
    <row r="849" spans="1:27" x14ac:dyDescent="0.25">
      <c r="A849" t="s">
        <v>1066</v>
      </c>
      <c r="B849" s="1">
        <v>40603</v>
      </c>
      <c r="C849" s="1">
        <v>40607</v>
      </c>
      <c r="D849" t="s">
        <v>1</v>
      </c>
      <c r="E849" t="s">
        <v>452</v>
      </c>
      <c r="F849" t="s">
        <v>3</v>
      </c>
      <c r="G849" t="s">
        <v>1067</v>
      </c>
      <c r="H849" t="s">
        <v>1068</v>
      </c>
      <c r="I849" t="s">
        <v>22</v>
      </c>
      <c r="J849" t="s">
        <v>22</v>
      </c>
      <c r="K849" t="s">
        <v>7</v>
      </c>
      <c r="L849" t="s">
        <v>8</v>
      </c>
      <c r="M849">
        <v>62</v>
      </c>
      <c r="N849">
        <v>6</v>
      </c>
      <c r="O849">
        <v>0</v>
      </c>
      <c r="P849">
        <v>17.82</v>
      </c>
      <c r="Q849">
        <v>3.73</v>
      </c>
      <c r="R849" t="s">
        <v>9</v>
      </c>
      <c r="S849">
        <f>Sheet1[[#This Row],[Ship_date]]-Sheet1[[#This Row],[Order_date]]</f>
        <v>4</v>
      </c>
      <c r="T849">
        <f>Sheet1[[#This Row],[Quantity]]*Sheet1[[#This Row],[Sales]]</f>
        <v>372</v>
      </c>
      <c r="U849">
        <f>Sheet1[[#This Row],[Total Sales]]*Sheet1[[#This Row],[Discount]]</f>
        <v>0</v>
      </c>
      <c r="V849" s="4">
        <f>Sheet1[[#This Row],[Total Sales]]-Sheet1[[#This Row],[Total Sales]]*Sheet1[[#This Row],[Discount]]</f>
        <v>372</v>
      </c>
      <c r="W849" s="4">
        <f>Sheet1[[#This Row],[Quantity]]*Sheet1[[#This Row],[Profit]]</f>
        <v>106.92</v>
      </c>
      <c r="X849" s="5">
        <f>Sheet1[[#This Row],[Total Profit]]/Sheet1[[#This Row],[Sales After Discount]]</f>
        <v>0.28741935483870967</v>
      </c>
      <c r="Y849" s="4">
        <f>Sheet1[[#This Row],[Shipping_cost]]*Sheet1[[#This Row],[Quantity]]</f>
        <v>22.38</v>
      </c>
      <c r="Z849" s="4">
        <f>Sheet1[[#This Row],[Total Profit]]-Sheet1[[#This Row],[Total Shipping Cost]]</f>
        <v>84.54</v>
      </c>
      <c r="AA849" s="4" t="str">
        <f>IF(Sheet1[[#This Row],[Net Profit]]&gt;0,"Profit","Loss")</f>
        <v>Profit</v>
      </c>
    </row>
    <row r="850" spans="1:27" x14ac:dyDescent="0.25">
      <c r="A850" t="s">
        <v>1065</v>
      </c>
      <c r="B850" s="1">
        <v>40603</v>
      </c>
      <c r="C850" s="1">
        <v>40608</v>
      </c>
      <c r="D850" t="s">
        <v>1</v>
      </c>
      <c r="E850" t="s">
        <v>616</v>
      </c>
      <c r="F850" t="s">
        <v>43</v>
      </c>
      <c r="G850" t="s">
        <v>65</v>
      </c>
      <c r="H850" t="s">
        <v>66</v>
      </c>
      <c r="I850" t="s">
        <v>29</v>
      </c>
      <c r="J850" t="s">
        <v>30</v>
      </c>
      <c r="K850" t="s">
        <v>7</v>
      </c>
      <c r="L850" t="s">
        <v>91</v>
      </c>
      <c r="M850">
        <v>37</v>
      </c>
      <c r="N850">
        <v>3</v>
      </c>
      <c r="O850">
        <v>0</v>
      </c>
      <c r="P850">
        <v>10.35</v>
      </c>
      <c r="Q850">
        <v>3.55</v>
      </c>
      <c r="R850" t="s">
        <v>23</v>
      </c>
      <c r="S850">
        <f>Sheet1[[#This Row],[Ship_date]]-Sheet1[[#This Row],[Order_date]]</f>
        <v>5</v>
      </c>
      <c r="T850">
        <f>Sheet1[[#This Row],[Quantity]]*Sheet1[[#This Row],[Sales]]</f>
        <v>111</v>
      </c>
      <c r="U850">
        <f>Sheet1[[#This Row],[Total Sales]]*Sheet1[[#This Row],[Discount]]</f>
        <v>0</v>
      </c>
      <c r="V850" s="4">
        <f>Sheet1[[#This Row],[Total Sales]]-Sheet1[[#This Row],[Total Sales]]*Sheet1[[#This Row],[Discount]]</f>
        <v>111</v>
      </c>
      <c r="W850" s="4">
        <f>Sheet1[[#This Row],[Quantity]]*Sheet1[[#This Row],[Profit]]</f>
        <v>31.049999999999997</v>
      </c>
      <c r="X850" s="5">
        <f>Sheet1[[#This Row],[Total Profit]]/Sheet1[[#This Row],[Sales After Discount]]</f>
        <v>0.2797297297297297</v>
      </c>
      <c r="Y850" s="4">
        <f>Sheet1[[#This Row],[Shipping_cost]]*Sheet1[[#This Row],[Quantity]]</f>
        <v>10.649999999999999</v>
      </c>
      <c r="Z850" s="4">
        <f>Sheet1[[#This Row],[Total Profit]]-Sheet1[[#This Row],[Total Shipping Cost]]</f>
        <v>20.399999999999999</v>
      </c>
      <c r="AA850" s="4" t="str">
        <f>IF(Sheet1[[#This Row],[Net Profit]]&gt;0,"Profit","Loss")</f>
        <v>Profit</v>
      </c>
    </row>
    <row r="851" spans="1:27" x14ac:dyDescent="0.25">
      <c r="A851" t="s">
        <v>1094</v>
      </c>
      <c r="B851" s="1">
        <v>40603</v>
      </c>
      <c r="C851" s="1">
        <v>40606</v>
      </c>
      <c r="D851" t="s">
        <v>18</v>
      </c>
      <c r="E851" t="s">
        <v>1095</v>
      </c>
      <c r="F851" t="s">
        <v>26</v>
      </c>
      <c r="G851" t="s">
        <v>471</v>
      </c>
      <c r="H851" t="s">
        <v>305</v>
      </c>
      <c r="I851" t="s">
        <v>29</v>
      </c>
      <c r="J851" t="s">
        <v>76</v>
      </c>
      <c r="K851" t="s">
        <v>7</v>
      </c>
      <c r="L851" t="s">
        <v>91</v>
      </c>
      <c r="M851">
        <v>147</v>
      </c>
      <c r="N851">
        <v>12</v>
      </c>
      <c r="O851">
        <v>0</v>
      </c>
      <c r="P851">
        <v>0</v>
      </c>
      <c r="Q851">
        <v>3.35</v>
      </c>
      <c r="R851" t="s">
        <v>9</v>
      </c>
      <c r="S851">
        <f>Sheet1[[#This Row],[Ship_date]]-Sheet1[[#This Row],[Order_date]]</f>
        <v>3</v>
      </c>
      <c r="T851">
        <f>Sheet1[[#This Row],[Quantity]]*Sheet1[[#This Row],[Sales]]</f>
        <v>1764</v>
      </c>
      <c r="U851">
        <f>Sheet1[[#This Row],[Total Sales]]*Sheet1[[#This Row],[Discount]]</f>
        <v>0</v>
      </c>
      <c r="V851" s="4">
        <f>Sheet1[[#This Row],[Total Sales]]-Sheet1[[#This Row],[Total Sales]]*Sheet1[[#This Row],[Discount]]</f>
        <v>1764</v>
      </c>
      <c r="W851" s="4">
        <f>Sheet1[[#This Row],[Quantity]]*Sheet1[[#This Row],[Profit]]</f>
        <v>0</v>
      </c>
      <c r="X851" s="5">
        <f>Sheet1[[#This Row],[Total Profit]]/Sheet1[[#This Row],[Sales After Discount]]</f>
        <v>0</v>
      </c>
      <c r="Y851" s="4">
        <f>Sheet1[[#This Row],[Shipping_cost]]*Sheet1[[#This Row],[Quantity]]</f>
        <v>40.200000000000003</v>
      </c>
      <c r="Z851" s="4">
        <f>Sheet1[[#This Row],[Total Profit]]-Sheet1[[#This Row],[Total Shipping Cost]]</f>
        <v>-40.200000000000003</v>
      </c>
      <c r="AA851" s="4" t="str">
        <f>IF(Sheet1[[#This Row],[Net Profit]]&gt;0,"Profit","Loss")</f>
        <v>Loss</v>
      </c>
    </row>
    <row r="852" spans="1:27" x14ac:dyDescent="0.25">
      <c r="A852" t="s">
        <v>1094</v>
      </c>
      <c r="B852" s="1">
        <v>40603</v>
      </c>
      <c r="C852" s="1">
        <v>40606</v>
      </c>
      <c r="D852" t="s">
        <v>18</v>
      </c>
      <c r="E852" t="s">
        <v>1095</v>
      </c>
      <c r="F852" t="s">
        <v>26</v>
      </c>
      <c r="G852" t="s">
        <v>471</v>
      </c>
      <c r="H852" t="s">
        <v>305</v>
      </c>
      <c r="I852" t="s">
        <v>29</v>
      </c>
      <c r="J852" t="s">
        <v>76</v>
      </c>
      <c r="K852" t="s">
        <v>7</v>
      </c>
      <c r="L852" t="s">
        <v>8</v>
      </c>
      <c r="M852">
        <v>102</v>
      </c>
      <c r="N852">
        <v>2</v>
      </c>
      <c r="O852">
        <v>0.1</v>
      </c>
      <c r="P852">
        <v>35.238</v>
      </c>
      <c r="Q852">
        <v>3.3</v>
      </c>
      <c r="R852" t="s">
        <v>9</v>
      </c>
      <c r="S852">
        <f>Sheet1[[#This Row],[Ship_date]]-Sheet1[[#This Row],[Order_date]]</f>
        <v>3</v>
      </c>
      <c r="T852">
        <f>Sheet1[[#This Row],[Quantity]]*Sheet1[[#This Row],[Sales]]</f>
        <v>204</v>
      </c>
      <c r="U852">
        <f>Sheet1[[#This Row],[Total Sales]]*Sheet1[[#This Row],[Discount]]</f>
        <v>20.400000000000002</v>
      </c>
      <c r="V852" s="4">
        <f>Sheet1[[#This Row],[Total Sales]]-Sheet1[[#This Row],[Total Sales]]*Sheet1[[#This Row],[Discount]]</f>
        <v>183.6</v>
      </c>
      <c r="W852" s="4">
        <f>Sheet1[[#This Row],[Quantity]]*Sheet1[[#This Row],[Profit]]</f>
        <v>70.475999999999999</v>
      </c>
      <c r="X852" s="5">
        <f>Sheet1[[#This Row],[Total Profit]]/Sheet1[[#This Row],[Sales After Discount]]</f>
        <v>0.38385620915032681</v>
      </c>
      <c r="Y852" s="4">
        <f>Sheet1[[#This Row],[Shipping_cost]]*Sheet1[[#This Row],[Quantity]]</f>
        <v>6.6</v>
      </c>
      <c r="Z852" s="4">
        <f>Sheet1[[#This Row],[Total Profit]]-Sheet1[[#This Row],[Total Shipping Cost]]</f>
        <v>63.875999999999998</v>
      </c>
      <c r="AA852" s="4" t="str">
        <f>IF(Sheet1[[#This Row],[Net Profit]]&gt;0,"Profit","Loss")</f>
        <v>Profit</v>
      </c>
    </row>
    <row r="853" spans="1:27" x14ac:dyDescent="0.25">
      <c r="A853" t="s">
        <v>1064</v>
      </c>
      <c r="B853" s="1">
        <v>40603</v>
      </c>
      <c r="C853" s="1">
        <v>40606</v>
      </c>
      <c r="D853" t="s">
        <v>142</v>
      </c>
      <c r="E853" t="s">
        <v>785</v>
      </c>
      <c r="F853" t="s">
        <v>3</v>
      </c>
      <c r="G853" t="s">
        <v>36</v>
      </c>
      <c r="H853" t="s">
        <v>37</v>
      </c>
      <c r="I853" t="s">
        <v>37</v>
      </c>
      <c r="J853" t="s">
        <v>37</v>
      </c>
      <c r="K853" t="s">
        <v>7</v>
      </c>
      <c r="L853" t="s">
        <v>97</v>
      </c>
      <c r="M853">
        <v>12</v>
      </c>
      <c r="N853">
        <v>1</v>
      </c>
      <c r="O853">
        <v>0</v>
      </c>
      <c r="P853">
        <v>2.46</v>
      </c>
      <c r="Q853">
        <v>3.1</v>
      </c>
      <c r="R853" t="s">
        <v>23</v>
      </c>
      <c r="S853">
        <f>Sheet1[[#This Row],[Ship_date]]-Sheet1[[#This Row],[Order_date]]</f>
        <v>3</v>
      </c>
      <c r="T853">
        <f>Sheet1[[#This Row],[Quantity]]*Sheet1[[#This Row],[Sales]]</f>
        <v>12</v>
      </c>
      <c r="U853">
        <f>Sheet1[[#This Row],[Total Sales]]*Sheet1[[#This Row],[Discount]]</f>
        <v>0</v>
      </c>
      <c r="V853" s="4">
        <f>Sheet1[[#This Row],[Total Sales]]-Sheet1[[#This Row],[Total Sales]]*Sheet1[[#This Row],[Discount]]</f>
        <v>12</v>
      </c>
      <c r="W853" s="4">
        <f>Sheet1[[#This Row],[Quantity]]*Sheet1[[#This Row],[Profit]]</f>
        <v>2.46</v>
      </c>
      <c r="X853" s="5">
        <f>Sheet1[[#This Row],[Total Profit]]/Sheet1[[#This Row],[Sales After Discount]]</f>
        <v>0.20499999999999999</v>
      </c>
      <c r="Y853" s="4">
        <f>Sheet1[[#This Row],[Shipping_cost]]*Sheet1[[#This Row],[Quantity]]</f>
        <v>3.1</v>
      </c>
      <c r="Z853" s="4">
        <f>Sheet1[[#This Row],[Total Profit]]-Sheet1[[#This Row],[Total Shipping Cost]]</f>
        <v>-0.64000000000000012</v>
      </c>
      <c r="AA853" s="4" t="str">
        <f>IF(Sheet1[[#This Row],[Net Profit]]&gt;0,"Profit","Loss")</f>
        <v>Loss</v>
      </c>
    </row>
    <row r="854" spans="1:27" x14ac:dyDescent="0.25">
      <c r="A854" t="s">
        <v>1064</v>
      </c>
      <c r="B854" s="1">
        <v>40603</v>
      </c>
      <c r="C854" s="1">
        <v>40606</v>
      </c>
      <c r="D854" t="s">
        <v>142</v>
      </c>
      <c r="E854" t="s">
        <v>785</v>
      </c>
      <c r="F854" t="s">
        <v>3</v>
      </c>
      <c r="G854" t="s">
        <v>36</v>
      </c>
      <c r="H854" t="s">
        <v>37</v>
      </c>
      <c r="I854" t="s">
        <v>37</v>
      </c>
      <c r="J854" t="s">
        <v>37</v>
      </c>
      <c r="K854" t="s">
        <v>7</v>
      </c>
      <c r="L854" t="s">
        <v>87</v>
      </c>
      <c r="M854">
        <v>12</v>
      </c>
      <c r="N854">
        <v>1</v>
      </c>
      <c r="O854">
        <v>0</v>
      </c>
      <c r="P854">
        <v>5.64</v>
      </c>
      <c r="Q854">
        <v>2.2400000000000002</v>
      </c>
      <c r="R854" t="s">
        <v>23</v>
      </c>
      <c r="S854">
        <f>Sheet1[[#This Row],[Ship_date]]-Sheet1[[#This Row],[Order_date]]</f>
        <v>3</v>
      </c>
      <c r="T854">
        <f>Sheet1[[#This Row],[Quantity]]*Sheet1[[#This Row],[Sales]]</f>
        <v>12</v>
      </c>
      <c r="U854">
        <f>Sheet1[[#This Row],[Total Sales]]*Sheet1[[#This Row],[Discount]]</f>
        <v>0</v>
      </c>
      <c r="V854" s="4">
        <f>Sheet1[[#This Row],[Total Sales]]-Sheet1[[#This Row],[Total Sales]]*Sheet1[[#This Row],[Discount]]</f>
        <v>12</v>
      </c>
      <c r="W854" s="4">
        <f>Sheet1[[#This Row],[Quantity]]*Sheet1[[#This Row],[Profit]]</f>
        <v>5.64</v>
      </c>
      <c r="X854" s="5">
        <f>Sheet1[[#This Row],[Total Profit]]/Sheet1[[#This Row],[Sales After Discount]]</f>
        <v>0.47</v>
      </c>
      <c r="Y854" s="4">
        <f>Sheet1[[#This Row],[Shipping_cost]]*Sheet1[[#This Row],[Quantity]]</f>
        <v>2.2400000000000002</v>
      </c>
      <c r="Z854" s="4">
        <f>Sheet1[[#This Row],[Total Profit]]-Sheet1[[#This Row],[Total Shipping Cost]]</f>
        <v>3.3999999999999995</v>
      </c>
      <c r="AA854" s="4" t="str">
        <f>IF(Sheet1[[#This Row],[Net Profit]]&gt;0,"Profit","Loss")</f>
        <v>Profit</v>
      </c>
    </row>
    <row r="855" spans="1:27" x14ac:dyDescent="0.25">
      <c r="A855" t="s">
        <v>1066</v>
      </c>
      <c r="B855" s="1">
        <v>40603</v>
      </c>
      <c r="C855" s="1">
        <v>40607</v>
      </c>
      <c r="D855" t="s">
        <v>1</v>
      </c>
      <c r="E855" t="s">
        <v>452</v>
      </c>
      <c r="F855" t="s">
        <v>3</v>
      </c>
      <c r="G855" t="s">
        <v>1067</v>
      </c>
      <c r="H855" t="s">
        <v>1068</v>
      </c>
      <c r="I855" t="s">
        <v>22</v>
      </c>
      <c r="J855" t="s">
        <v>22</v>
      </c>
      <c r="K855" t="s">
        <v>32</v>
      </c>
      <c r="L855" t="s">
        <v>56</v>
      </c>
      <c r="M855">
        <v>48</v>
      </c>
      <c r="N855">
        <v>1</v>
      </c>
      <c r="O855">
        <v>0</v>
      </c>
      <c r="P855">
        <v>12.09</v>
      </c>
      <c r="Q855">
        <v>2.21</v>
      </c>
      <c r="R855" t="s">
        <v>9</v>
      </c>
      <c r="S855">
        <f>Sheet1[[#This Row],[Ship_date]]-Sheet1[[#This Row],[Order_date]]</f>
        <v>4</v>
      </c>
      <c r="T855">
        <f>Sheet1[[#This Row],[Quantity]]*Sheet1[[#This Row],[Sales]]</f>
        <v>48</v>
      </c>
      <c r="U855">
        <f>Sheet1[[#This Row],[Total Sales]]*Sheet1[[#This Row],[Discount]]</f>
        <v>0</v>
      </c>
      <c r="V855" s="4">
        <f>Sheet1[[#This Row],[Total Sales]]-Sheet1[[#This Row],[Total Sales]]*Sheet1[[#This Row],[Discount]]</f>
        <v>48</v>
      </c>
      <c r="W855" s="4">
        <f>Sheet1[[#This Row],[Quantity]]*Sheet1[[#This Row],[Profit]]</f>
        <v>12.09</v>
      </c>
      <c r="X855" s="5">
        <f>Sheet1[[#This Row],[Total Profit]]/Sheet1[[#This Row],[Sales After Discount]]</f>
        <v>0.25187500000000002</v>
      </c>
      <c r="Y855" s="4">
        <f>Sheet1[[#This Row],[Shipping_cost]]*Sheet1[[#This Row],[Quantity]]</f>
        <v>2.21</v>
      </c>
      <c r="Z855" s="4">
        <f>Sheet1[[#This Row],[Total Profit]]-Sheet1[[#This Row],[Total Shipping Cost]]</f>
        <v>9.879999999999999</v>
      </c>
      <c r="AA855" s="4" t="str">
        <f>IF(Sheet1[[#This Row],[Net Profit]]&gt;0,"Profit","Loss")</f>
        <v>Profit</v>
      </c>
    </row>
    <row r="856" spans="1:27" x14ac:dyDescent="0.25">
      <c r="A856" t="s">
        <v>1079</v>
      </c>
      <c r="B856" s="1">
        <v>40603</v>
      </c>
      <c r="C856" s="1">
        <v>40607</v>
      </c>
      <c r="D856" t="s">
        <v>1</v>
      </c>
      <c r="E856" t="s">
        <v>1080</v>
      </c>
      <c r="F856" t="s">
        <v>3</v>
      </c>
      <c r="G856" t="s">
        <v>125</v>
      </c>
      <c r="H856" t="s">
        <v>126</v>
      </c>
      <c r="I856" t="s">
        <v>127</v>
      </c>
      <c r="J856" t="s">
        <v>76</v>
      </c>
      <c r="K856" t="s">
        <v>7</v>
      </c>
      <c r="L856" t="s">
        <v>97</v>
      </c>
      <c r="M856">
        <v>19</v>
      </c>
      <c r="N856">
        <v>5</v>
      </c>
      <c r="O856">
        <v>0.2</v>
      </c>
      <c r="P856">
        <v>-3.5325000000000002</v>
      </c>
      <c r="Q856">
        <v>2.0499999999999998</v>
      </c>
      <c r="R856" t="s">
        <v>9</v>
      </c>
      <c r="S856">
        <f>Sheet1[[#This Row],[Ship_date]]-Sheet1[[#This Row],[Order_date]]</f>
        <v>4</v>
      </c>
      <c r="T856">
        <f>Sheet1[[#This Row],[Quantity]]*Sheet1[[#This Row],[Sales]]</f>
        <v>95</v>
      </c>
      <c r="U856">
        <f>Sheet1[[#This Row],[Total Sales]]*Sheet1[[#This Row],[Discount]]</f>
        <v>19</v>
      </c>
      <c r="V856" s="4">
        <f>Sheet1[[#This Row],[Total Sales]]-Sheet1[[#This Row],[Total Sales]]*Sheet1[[#This Row],[Discount]]</f>
        <v>76</v>
      </c>
      <c r="W856" s="4">
        <f>Sheet1[[#This Row],[Quantity]]*Sheet1[[#This Row],[Profit]]</f>
        <v>-17.662500000000001</v>
      </c>
      <c r="X856" s="5">
        <f>Sheet1[[#This Row],[Total Profit]]/Sheet1[[#This Row],[Sales After Discount]]</f>
        <v>-0.23240131578947371</v>
      </c>
      <c r="Y856" s="4">
        <f>Sheet1[[#This Row],[Shipping_cost]]*Sheet1[[#This Row],[Quantity]]</f>
        <v>10.25</v>
      </c>
      <c r="Z856" s="4">
        <f>Sheet1[[#This Row],[Total Profit]]-Sheet1[[#This Row],[Total Shipping Cost]]</f>
        <v>-27.912500000000001</v>
      </c>
      <c r="AA856" s="4" t="str">
        <f>IF(Sheet1[[#This Row],[Net Profit]]&gt;0,"Profit","Loss")</f>
        <v>Loss</v>
      </c>
    </row>
    <row r="857" spans="1:27" x14ac:dyDescent="0.25">
      <c r="A857" t="s">
        <v>1071</v>
      </c>
      <c r="B857" s="1">
        <v>40603</v>
      </c>
      <c r="C857" s="1">
        <v>40607</v>
      </c>
      <c r="D857" t="s">
        <v>1</v>
      </c>
      <c r="E857" t="s">
        <v>1072</v>
      </c>
      <c r="F857" t="s">
        <v>26</v>
      </c>
      <c r="G857" t="s">
        <v>146</v>
      </c>
      <c r="H857" t="s">
        <v>126</v>
      </c>
      <c r="I857" t="s">
        <v>127</v>
      </c>
      <c r="J857" t="s">
        <v>76</v>
      </c>
      <c r="K857" t="s">
        <v>7</v>
      </c>
      <c r="L857" t="s">
        <v>31</v>
      </c>
      <c r="M857">
        <v>17</v>
      </c>
      <c r="N857">
        <v>3</v>
      </c>
      <c r="O857">
        <v>0.2</v>
      </c>
      <c r="P857">
        <v>5.6783999999999999</v>
      </c>
      <c r="Q857">
        <v>1.94</v>
      </c>
      <c r="R857" t="s">
        <v>23</v>
      </c>
      <c r="S857">
        <f>Sheet1[[#This Row],[Ship_date]]-Sheet1[[#This Row],[Order_date]]</f>
        <v>4</v>
      </c>
      <c r="T857">
        <f>Sheet1[[#This Row],[Quantity]]*Sheet1[[#This Row],[Sales]]</f>
        <v>51</v>
      </c>
      <c r="U857">
        <f>Sheet1[[#This Row],[Total Sales]]*Sheet1[[#This Row],[Discount]]</f>
        <v>10.200000000000001</v>
      </c>
      <c r="V857" s="4">
        <f>Sheet1[[#This Row],[Total Sales]]-Sheet1[[#This Row],[Total Sales]]*Sheet1[[#This Row],[Discount]]</f>
        <v>40.799999999999997</v>
      </c>
      <c r="W857" s="4">
        <f>Sheet1[[#This Row],[Quantity]]*Sheet1[[#This Row],[Profit]]</f>
        <v>17.0352</v>
      </c>
      <c r="X857" s="5">
        <f>Sheet1[[#This Row],[Total Profit]]/Sheet1[[#This Row],[Sales After Discount]]</f>
        <v>0.41752941176470593</v>
      </c>
      <c r="Y857" s="4">
        <f>Sheet1[[#This Row],[Shipping_cost]]*Sheet1[[#This Row],[Quantity]]</f>
        <v>5.82</v>
      </c>
      <c r="Z857" s="4">
        <f>Sheet1[[#This Row],[Total Profit]]-Sheet1[[#This Row],[Total Shipping Cost]]</f>
        <v>11.215199999999999</v>
      </c>
      <c r="AA857" s="4" t="str">
        <f>IF(Sheet1[[#This Row],[Net Profit]]&gt;0,"Profit","Loss")</f>
        <v>Profit</v>
      </c>
    </row>
    <row r="858" spans="1:27" x14ac:dyDescent="0.25">
      <c r="A858" t="s">
        <v>1081</v>
      </c>
      <c r="B858" s="1">
        <v>40603</v>
      </c>
      <c r="C858" s="1">
        <v>40603</v>
      </c>
      <c r="D858" t="s">
        <v>41</v>
      </c>
      <c r="E858" t="s">
        <v>1082</v>
      </c>
      <c r="F858" t="s">
        <v>26</v>
      </c>
      <c r="G858" t="s">
        <v>1083</v>
      </c>
      <c r="H858" t="s">
        <v>1068</v>
      </c>
      <c r="I858" t="s">
        <v>22</v>
      </c>
      <c r="J858" t="s">
        <v>22</v>
      </c>
      <c r="K858" t="s">
        <v>7</v>
      </c>
      <c r="L858" t="s">
        <v>87</v>
      </c>
      <c r="M858">
        <v>13</v>
      </c>
      <c r="N858">
        <v>2</v>
      </c>
      <c r="O858">
        <v>0</v>
      </c>
      <c r="P858">
        <v>5.46</v>
      </c>
      <c r="Q858">
        <v>1.94</v>
      </c>
      <c r="R858" t="s">
        <v>9</v>
      </c>
      <c r="S858">
        <f>Sheet1[[#This Row],[Ship_date]]-Sheet1[[#This Row],[Order_date]]</f>
        <v>0</v>
      </c>
      <c r="T858">
        <f>Sheet1[[#This Row],[Quantity]]*Sheet1[[#This Row],[Sales]]</f>
        <v>26</v>
      </c>
      <c r="U858">
        <f>Sheet1[[#This Row],[Total Sales]]*Sheet1[[#This Row],[Discount]]</f>
        <v>0</v>
      </c>
      <c r="V858" s="4">
        <f>Sheet1[[#This Row],[Total Sales]]-Sheet1[[#This Row],[Total Sales]]*Sheet1[[#This Row],[Discount]]</f>
        <v>26</v>
      </c>
      <c r="W858" s="4">
        <f>Sheet1[[#This Row],[Quantity]]*Sheet1[[#This Row],[Profit]]</f>
        <v>10.92</v>
      </c>
      <c r="X858" s="5">
        <f>Sheet1[[#This Row],[Total Profit]]/Sheet1[[#This Row],[Sales After Discount]]</f>
        <v>0.42</v>
      </c>
      <c r="Y858" s="4">
        <f>Sheet1[[#This Row],[Shipping_cost]]*Sheet1[[#This Row],[Quantity]]</f>
        <v>3.88</v>
      </c>
      <c r="Z858" s="4">
        <f>Sheet1[[#This Row],[Total Profit]]-Sheet1[[#This Row],[Total Shipping Cost]]</f>
        <v>7.04</v>
      </c>
      <c r="AA858" s="4" t="str">
        <f>IF(Sheet1[[#This Row],[Net Profit]]&gt;0,"Profit","Loss")</f>
        <v>Profit</v>
      </c>
    </row>
    <row r="859" spans="1:27" x14ac:dyDescent="0.25">
      <c r="A859" t="s">
        <v>1066</v>
      </c>
      <c r="B859" s="1">
        <v>40603</v>
      </c>
      <c r="C859" s="1">
        <v>40607</v>
      </c>
      <c r="D859" t="s">
        <v>1</v>
      </c>
      <c r="E859" t="s">
        <v>452</v>
      </c>
      <c r="F859" t="s">
        <v>3</v>
      </c>
      <c r="G859" t="s">
        <v>1067</v>
      </c>
      <c r="H859" t="s">
        <v>1068</v>
      </c>
      <c r="I859" t="s">
        <v>22</v>
      </c>
      <c r="J859" t="s">
        <v>22</v>
      </c>
      <c r="K859" t="s">
        <v>7</v>
      </c>
      <c r="L859" t="s">
        <v>8</v>
      </c>
      <c r="M859">
        <v>17</v>
      </c>
      <c r="N859">
        <v>1</v>
      </c>
      <c r="O859">
        <v>0</v>
      </c>
      <c r="P859">
        <v>7.41</v>
      </c>
      <c r="Q859">
        <v>1.1399999999999999</v>
      </c>
      <c r="R859" t="s">
        <v>9</v>
      </c>
      <c r="S859">
        <f>Sheet1[[#This Row],[Ship_date]]-Sheet1[[#This Row],[Order_date]]</f>
        <v>4</v>
      </c>
      <c r="T859">
        <f>Sheet1[[#This Row],[Quantity]]*Sheet1[[#This Row],[Sales]]</f>
        <v>17</v>
      </c>
      <c r="U859">
        <f>Sheet1[[#This Row],[Total Sales]]*Sheet1[[#This Row],[Discount]]</f>
        <v>0</v>
      </c>
      <c r="V859" s="4">
        <f>Sheet1[[#This Row],[Total Sales]]-Sheet1[[#This Row],[Total Sales]]*Sheet1[[#This Row],[Discount]]</f>
        <v>17</v>
      </c>
      <c r="W859" s="4">
        <f>Sheet1[[#This Row],[Quantity]]*Sheet1[[#This Row],[Profit]]</f>
        <v>7.41</v>
      </c>
      <c r="X859" s="5">
        <f>Sheet1[[#This Row],[Total Profit]]/Sheet1[[#This Row],[Sales After Discount]]</f>
        <v>0.4358823529411765</v>
      </c>
      <c r="Y859" s="4">
        <f>Sheet1[[#This Row],[Shipping_cost]]*Sheet1[[#This Row],[Quantity]]</f>
        <v>1.1399999999999999</v>
      </c>
      <c r="Z859" s="4">
        <f>Sheet1[[#This Row],[Total Profit]]-Sheet1[[#This Row],[Total Shipping Cost]]</f>
        <v>6.2700000000000005</v>
      </c>
      <c r="AA859" s="4" t="str">
        <f>IF(Sheet1[[#This Row],[Net Profit]]&gt;0,"Profit","Loss")</f>
        <v>Profit</v>
      </c>
    </row>
    <row r="860" spans="1:27" x14ac:dyDescent="0.25">
      <c r="A860" t="s">
        <v>1073</v>
      </c>
      <c r="B860" s="1">
        <v>40603</v>
      </c>
      <c r="C860" s="1">
        <v>40605</v>
      </c>
      <c r="D860" t="s">
        <v>142</v>
      </c>
      <c r="E860" t="s">
        <v>1074</v>
      </c>
      <c r="F860" t="s">
        <v>3</v>
      </c>
      <c r="G860" t="s">
        <v>332</v>
      </c>
      <c r="H860" t="s">
        <v>13</v>
      </c>
      <c r="I860" t="s">
        <v>14</v>
      </c>
      <c r="J860" t="s">
        <v>15</v>
      </c>
      <c r="K860" t="s">
        <v>7</v>
      </c>
      <c r="L860" t="s">
        <v>137</v>
      </c>
      <c r="M860">
        <v>13</v>
      </c>
      <c r="N860">
        <v>2</v>
      </c>
      <c r="O860">
        <v>0.1</v>
      </c>
      <c r="P860">
        <v>-1.1639999999999999</v>
      </c>
      <c r="Q860">
        <v>1.05</v>
      </c>
      <c r="R860" t="s">
        <v>23</v>
      </c>
      <c r="S860">
        <f>Sheet1[[#This Row],[Ship_date]]-Sheet1[[#This Row],[Order_date]]</f>
        <v>2</v>
      </c>
      <c r="T860">
        <f>Sheet1[[#This Row],[Quantity]]*Sheet1[[#This Row],[Sales]]</f>
        <v>26</v>
      </c>
      <c r="U860">
        <f>Sheet1[[#This Row],[Total Sales]]*Sheet1[[#This Row],[Discount]]</f>
        <v>2.6</v>
      </c>
      <c r="V860" s="4">
        <f>Sheet1[[#This Row],[Total Sales]]-Sheet1[[#This Row],[Total Sales]]*Sheet1[[#This Row],[Discount]]</f>
        <v>23.4</v>
      </c>
      <c r="W860" s="4">
        <f>Sheet1[[#This Row],[Quantity]]*Sheet1[[#This Row],[Profit]]</f>
        <v>-2.3279999999999998</v>
      </c>
      <c r="X860" s="5">
        <f>Sheet1[[#This Row],[Total Profit]]/Sheet1[[#This Row],[Sales After Discount]]</f>
        <v>-9.9487179487179486E-2</v>
      </c>
      <c r="Y860" s="4">
        <f>Sheet1[[#This Row],[Shipping_cost]]*Sheet1[[#This Row],[Quantity]]</f>
        <v>2.1</v>
      </c>
      <c r="Z860" s="4">
        <f>Sheet1[[#This Row],[Total Profit]]-Sheet1[[#This Row],[Total Shipping Cost]]</f>
        <v>-4.4279999999999999</v>
      </c>
      <c r="AA860" s="4" t="str">
        <f>IF(Sheet1[[#This Row],[Net Profit]]&gt;0,"Profit","Loss")</f>
        <v>Loss</v>
      </c>
    </row>
    <row r="861" spans="1:27" x14ac:dyDescent="0.25">
      <c r="A861" t="s">
        <v>1096</v>
      </c>
      <c r="B861" s="1">
        <v>40603</v>
      </c>
      <c r="C861" s="1">
        <v>40607</v>
      </c>
      <c r="D861" t="s">
        <v>1</v>
      </c>
      <c r="E861" t="s">
        <v>1097</v>
      </c>
      <c r="F861" t="s">
        <v>3</v>
      </c>
      <c r="G861" t="s">
        <v>660</v>
      </c>
      <c r="H861" t="s">
        <v>13</v>
      </c>
      <c r="I861" t="s">
        <v>14</v>
      </c>
      <c r="J861" t="s">
        <v>15</v>
      </c>
      <c r="K861" t="s">
        <v>7</v>
      </c>
      <c r="L861" t="s">
        <v>137</v>
      </c>
      <c r="M861">
        <v>22</v>
      </c>
      <c r="N861">
        <v>6</v>
      </c>
      <c r="O861">
        <v>0.1</v>
      </c>
      <c r="P861">
        <v>4.266</v>
      </c>
      <c r="Q861">
        <v>1.02</v>
      </c>
      <c r="R861" t="s">
        <v>9</v>
      </c>
      <c r="S861">
        <f>Sheet1[[#This Row],[Ship_date]]-Sheet1[[#This Row],[Order_date]]</f>
        <v>4</v>
      </c>
      <c r="T861">
        <f>Sheet1[[#This Row],[Quantity]]*Sheet1[[#This Row],[Sales]]</f>
        <v>132</v>
      </c>
      <c r="U861">
        <f>Sheet1[[#This Row],[Total Sales]]*Sheet1[[#This Row],[Discount]]</f>
        <v>13.200000000000001</v>
      </c>
      <c r="V861" s="4">
        <f>Sheet1[[#This Row],[Total Sales]]-Sheet1[[#This Row],[Total Sales]]*Sheet1[[#This Row],[Discount]]</f>
        <v>118.8</v>
      </c>
      <c r="W861" s="4">
        <f>Sheet1[[#This Row],[Quantity]]*Sheet1[[#This Row],[Profit]]</f>
        <v>25.596</v>
      </c>
      <c r="X861" s="5">
        <f>Sheet1[[#This Row],[Total Profit]]/Sheet1[[#This Row],[Sales After Discount]]</f>
        <v>0.21545454545454545</v>
      </c>
      <c r="Y861" s="4">
        <f>Sheet1[[#This Row],[Shipping_cost]]*Sheet1[[#This Row],[Quantity]]</f>
        <v>6.12</v>
      </c>
      <c r="Z861" s="4">
        <f>Sheet1[[#This Row],[Total Profit]]-Sheet1[[#This Row],[Total Shipping Cost]]</f>
        <v>19.475999999999999</v>
      </c>
      <c r="AA861" s="4" t="str">
        <f>IF(Sheet1[[#This Row],[Net Profit]]&gt;0,"Profit","Loss")</f>
        <v>Profit</v>
      </c>
    </row>
    <row r="862" spans="1:27" x14ac:dyDescent="0.25">
      <c r="A862" t="s">
        <v>1098</v>
      </c>
      <c r="B862" s="1">
        <v>40603</v>
      </c>
      <c r="C862" s="1">
        <v>40607</v>
      </c>
      <c r="D862" t="s">
        <v>1</v>
      </c>
      <c r="E862" t="s">
        <v>1099</v>
      </c>
      <c r="F862" t="s">
        <v>3</v>
      </c>
      <c r="G862" t="s">
        <v>1006</v>
      </c>
      <c r="H862" t="s">
        <v>298</v>
      </c>
      <c r="I862" t="s">
        <v>29</v>
      </c>
      <c r="J862" t="s">
        <v>102</v>
      </c>
      <c r="K862" t="s">
        <v>7</v>
      </c>
      <c r="L862" t="s">
        <v>137</v>
      </c>
      <c r="M862">
        <v>18</v>
      </c>
      <c r="N862">
        <v>2</v>
      </c>
      <c r="O862">
        <v>0</v>
      </c>
      <c r="P862">
        <v>3.18</v>
      </c>
      <c r="Q862">
        <v>0.97</v>
      </c>
      <c r="R862" t="s">
        <v>9</v>
      </c>
      <c r="S862">
        <f>Sheet1[[#This Row],[Ship_date]]-Sheet1[[#This Row],[Order_date]]</f>
        <v>4</v>
      </c>
      <c r="T862">
        <f>Sheet1[[#This Row],[Quantity]]*Sheet1[[#This Row],[Sales]]</f>
        <v>36</v>
      </c>
      <c r="U862">
        <f>Sheet1[[#This Row],[Total Sales]]*Sheet1[[#This Row],[Discount]]</f>
        <v>0</v>
      </c>
      <c r="V862" s="4">
        <f>Sheet1[[#This Row],[Total Sales]]-Sheet1[[#This Row],[Total Sales]]*Sheet1[[#This Row],[Discount]]</f>
        <v>36</v>
      </c>
      <c r="W862" s="4">
        <f>Sheet1[[#This Row],[Quantity]]*Sheet1[[#This Row],[Profit]]</f>
        <v>6.36</v>
      </c>
      <c r="X862" s="5">
        <f>Sheet1[[#This Row],[Total Profit]]/Sheet1[[#This Row],[Sales After Discount]]</f>
        <v>0.17666666666666667</v>
      </c>
      <c r="Y862" s="4">
        <f>Sheet1[[#This Row],[Shipping_cost]]*Sheet1[[#This Row],[Quantity]]</f>
        <v>1.94</v>
      </c>
      <c r="Z862" s="4">
        <f>Sheet1[[#This Row],[Total Profit]]-Sheet1[[#This Row],[Total Shipping Cost]]</f>
        <v>4.42</v>
      </c>
      <c r="AA862" s="4" t="str">
        <f>IF(Sheet1[[#This Row],[Net Profit]]&gt;0,"Profit","Loss")</f>
        <v>Profit</v>
      </c>
    </row>
    <row r="863" spans="1:27" x14ac:dyDescent="0.25">
      <c r="A863" t="s">
        <v>1066</v>
      </c>
      <c r="B863" s="1">
        <v>40603</v>
      </c>
      <c r="C863" s="1">
        <v>40607</v>
      </c>
      <c r="D863" t="s">
        <v>1</v>
      </c>
      <c r="E863" t="s">
        <v>452</v>
      </c>
      <c r="F863" t="s">
        <v>3</v>
      </c>
      <c r="G863" t="s">
        <v>1067</v>
      </c>
      <c r="H863" t="s">
        <v>1068</v>
      </c>
      <c r="I863" t="s">
        <v>22</v>
      </c>
      <c r="J863" t="s">
        <v>22</v>
      </c>
      <c r="K863" t="s">
        <v>7</v>
      </c>
      <c r="L863" t="s">
        <v>8</v>
      </c>
      <c r="M863">
        <v>31</v>
      </c>
      <c r="N863">
        <v>2</v>
      </c>
      <c r="O863">
        <v>0</v>
      </c>
      <c r="P863">
        <v>14.28</v>
      </c>
      <c r="Q863">
        <v>0.81</v>
      </c>
      <c r="R863" t="s">
        <v>9</v>
      </c>
      <c r="S863">
        <f>Sheet1[[#This Row],[Ship_date]]-Sheet1[[#This Row],[Order_date]]</f>
        <v>4</v>
      </c>
      <c r="T863">
        <f>Sheet1[[#This Row],[Quantity]]*Sheet1[[#This Row],[Sales]]</f>
        <v>62</v>
      </c>
      <c r="U863">
        <f>Sheet1[[#This Row],[Total Sales]]*Sheet1[[#This Row],[Discount]]</f>
        <v>0</v>
      </c>
      <c r="V863" s="4">
        <f>Sheet1[[#This Row],[Total Sales]]-Sheet1[[#This Row],[Total Sales]]*Sheet1[[#This Row],[Discount]]</f>
        <v>62</v>
      </c>
      <c r="W863" s="4">
        <f>Sheet1[[#This Row],[Quantity]]*Sheet1[[#This Row],[Profit]]</f>
        <v>28.56</v>
      </c>
      <c r="X863" s="5">
        <f>Sheet1[[#This Row],[Total Profit]]/Sheet1[[#This Row],[Sales After Discount]]</f>
        <v>0.46064516129032257</v>
      </c>
      <c r="Y863" s="4">
        <f>Sheet1[[#This Row],[Shipping_cost]]*Sheet1[[#This Row],[Quantity]]</f>
        <v>1.62</v>
      </c>
      <c r="Z863" s="4">
        <f>Sheet1[[#This Row],[Total Profit]]-Sheet1[[#This Row],[Total Shipping Cost]]</f>
        <v>26.939999999999998</v>
      </c>
      <c r="AA863" s="4" t="str">
        <f>IF(Sheet1[[#This Row],[Net Profit]]&gt;0,"Profit","Loss")</f>
        <v>Profit</v>
      </c>
    </row>
    <row r="864" spans="1:27" x14ac:dyDescent="0.25">
      <c r="A864" t="s">
        <v>1100</v>
      </c>
      <c r="B864" s="1">
        <v>40603</v>
      </c>
      <c r="C864" s="1">
        <v>40608</v>
      </c>
      <c r="D864" t="s">
        <v>1</v>
      </c>
      <c r="E864" t="s">
        <v>383</v>
      </c>
      <c r="F864" t="s">
        <v>43</v>
      </c>
      <c r="G864" t="s">
        <v>450</v>
      </c>
      <c r="H864" t="s">
        <v>223</v>
      </c>
      <c r="I864" t="s">
        <v>6</v>
      </c>
      <c r="J864" t="s">
        <v>6</v>
      </c>
      <c r="K864" t="s">
        <v>7</v>
      </c>
      <c r="L864" t="s">
        <v>44</v>
      </c>
      <c r="M864">
        <v>25</v>
      </c>
      <c r="N864">
        <v>1</v>
      </c>
      <c r="O864">
        <v>0.7</v>
      </c>
      <c r="P864">
        <v>-28.713000000000001</v>
      </c>
      <c r="Q864">
        <v>0.79</v>
      </c>
      <c r="R864" t="s">
        <v>9</v>
      </c>
      <c r="S864">
        <f>Sheet1[[#This Row],[Ship_date]]-Sheet1[[#This Row],[Order_date]]</f>
        <v>5</v>
      </c>
      <c r="T864">
        <f>Sheet1[[#This Row],[Quantity]]*Sheet1[[#This Row],[Sales]]</f>
        <v>25</v>
      </c>
      <c r="U864">
        <f>Sheet1[[#This Row],[Total Sales]]*Sheet1[[#This Row],[Discount]]</f>
        <v>17.5</v>
      </c>
      <c r="V864" s="4">
        <f>Sheet1[[#This Row],[Total Sales]]-Sheet1[[#This Row],[Total Sales]]*Sheet1[[#This Row],[Discount]]</f>
        <v>7.5</v>
      </c>
      <c r="W864" s="4">
        <f>Sheet1[[#This Row],[Quantity]]*Sheet1[[#This Row],[Profit]]</f>
        <v>-28.713000000000001</v>
      </c>
      <c r="X864" s="5">
        <f>Sheet1[[#This Row],[Total Profit]]/Sheet1[[#This Row],[Sales After Discount]]</f>
        <v>-3.8284000000000002</v>
      </c>
      <c r="Y864" s="4">
        <f>Sheet1[[#This Row],[Shipping_cost]]*Sheet1[[#This Row],[Quantity]]</f>
        <v>0.79</v>
      </c>
      <c r="Z864" s="4">
        <f>Sheet1[[#This Row],[Total Profit]]-Sheet1[[#This Row],[Total Shipping Cost]]</f>
        <v>-29.503</v>
      </c>
      <c r="AA864" s="4" t="str">
        <f>IF(Sheet1[[#This Row],[Net Profit]]&gt;0,"Profit","Loss")</f>
        <v>Loss</v>
      </c>
    </row>
    <row r="865" spans="1:27" x14ac:dyDescent="0.25">
      <c r="A865" t="s">
        <v>1101</v>
      </c>
      <c r="B865" s="1">
        <v>40603</v>
      </c>
      <c r="C865" s="1">
        <v>40607</v>
      </c>
      <c r="D865" t="s">
        <v>1</v>
      </c>
      <c r="E865" t="s">
        <v>797</v>
      </c>
      <c r="F865" t="s">
        <v>26</v>
      </c>
      <c r="G865" t="s">
        <v>649</v>
      </c>
      <c r="H865" t="s">
        <v>126</v>
      </c>
      <c r="I865" t="s">
        <v>127</v>
      </c>
      <c r="J865" t="s">
        <v>173</v>
      </c>
      <c r="K865" t="s">
        <v>38</v>
      </c>
      <c r="L865" t="s">
        <v>77</v>
      </c>
      <c r="M865">
        <v>6</v>
      </c>
      <c r="N865">
        <v>3</v>
      </c>
      <c r="O865">
        <v>0</v>
      </c>
      <c r="P865">
        <v>1.6037999999999999</v>
      </c>
      <c r="Q865">
        <v>0.42</v>
      </c>
      <c r="R865" t="s">
        <v>9</v>
      </c>
      <c r="S865">
        <f>Sheet1[[#This Row],[Ship_date]]-Sheet1[[#This Row],[Order_date]]</f>
        <v>4</v>
      </c>
      <c r="T865">
        <f>Sheet1[[#This Row],[Quantity]]*Sheet1[[#This Row],[Sales]]</f>
        <v>18</v>
      </c>
      <c r="U865">
        <f>Sheet1[[#This Row],[Total Sales]]*Sheet1[[#This Row],[Discount]]</f>
        <v>0</v>
      </c>
      <c r="V865" s="4">
        <f>Sheet1[[#This Row],[Total Sales]]-Sheet1[[#This Row],[Total Sales]]*Sheet1[[#This Row],[Discount]]</f>
        <v>18</v>
      </c>
      <c r="W865" s="4">
        <f>Sheet1[[#This Row],[Quantity]]*Sheet1[[#This Row],[Profit]]</f>
        <v>4.8113999999999999</v>
      </c>
      <c r="X865" s="5">
        <f>Sheet1[[#This Row],[Total Profit]]/Sheet1[[#This Row],[Sales After Discount]]</f>
        <v>0.26729999999999998</v>
      </c>
      <c r="Y865" s="4">
        <f>Sheet1[[#This Row],[Shipping_cost]]*Sheet1[[#This Row],[Quantity]]</f>
        <v>1.26</v>
      </c>
      <c r="Z865" s="4">
        <f>Sheet1[[#This Row],[Total Profit]]-Sheet1[[#This Row],[Total Shipping Cost]]</f>
        <v>3.5514000000000001</v>
      </c>
      <c r="AA865" s="4" t="str">
        <f>IF(Sheet1[[#This Row],[Net Profit]]&gt;0,"Profit","Loss")</f>
        <v>Profit</v>
      </c>
    </row>
    <row r="866" spans="1:27" x14ac:dyDescent="0.25">
      <c r="A866" t="s">
        <v>1102</v>
      </c>
      <c r="B866" s="1">
        <v>40604</v>
      </c>
      <c r="C866" s="1">
        <v>40609</v>
      </c>
      <c r="D866" t="s">
        <v>1</v>
      </c>
      <c r="E866" t="s">
        <v>531</v>
      </c>
      <c r="F866" t="s">
        <v>26</v>
      </c>
      <c r="G866" t="s">
        <v>660</v>
      </c>
      <c r="H866" t="s">
        <v>13</v>
      </c>
      <c r="I866" t="s">
        <v>14</v>
      </c>
      <c r="J866" t="s">
        <v>15</v>
      </c>
      <c r="K866" t="s">
        <v>32</v>
      </c>
      <c r="L866" t="s">
        <v>67</v>
      </c>
      <c r="M866">
        <v>775</v>
      </c>
      <c r="N866">
        <v>7</v>
      </c>
      <c r="O866">
        <v>0.1</v>
      </c>
      <c r="P866">
        <v>146.328</v>
      </c>
      <c r="Q866">
        <v>52.13</v>
      </c>
      <c r="R866" t="s">
        <v>9</v>
      </c>
      <c r="S866">
        <f>Sheet1[[#This Row],[Ship_date]]-Sheet1[[#This Row],[Order_date]]</f>
        <v>5</v>
      </c>
      <c r="T866">
        <f>Sheet1[[#This Row],[Quantity]]*Sheet1[[#This Row],[Sales]]</f>
        <v>5425</v>
      </c>
      <c r="U866">
        <f>Sheet1[[#This Row],[Total Sales]]*Sheet1[[#This Row],[Discount]]</f>
        <v>542.5</v>
      </c>
      <c r="V866" s="4">
        <f>Sheet1[[#This Row],[Total Sales]]-Sheet1[[#This Row],[Total Sales]]*Sheet1[[#This Row],[Discount]]</f>
        <v>4882.5</v>
      </c>
      <c r="W866" s="4">
        <f>Sheet1[[#This Row],[Quantity]]*Sheet1[[#This Row],[Profit]]</f>
        <v>1024.296</v>
      </c>
      <c r="X866" s="5">
        <f>Sheet1[[#This Row],[Total Profit]]/Sheet1[[#This Row],[Sales After Discount]]</f>
        <v>0.20978924731182796</v>
      </c>
      <c r="Y866" s="4">
        <f>Sheet1[[#This Row],[Shipping_cost]]*Sheet1[[#This Row],[Quantity]]</f>
        <v>364.91</v>
      </c>
      <c r="Z866" s="4">
        <f>Sheet1[[#This Row],[Total Profit]]-Sheet1[[#This Row],[Total Shipping Cost]]</f>
        <v>659.38599999999997</v>
      </c>
      <c r="AA866" s="4" t="str">
        <f>IF(Sheet1[[#This Row],[Net Profit]]&gt;0,"Profit","Loss")</f>
        <v>Profit</v>
      </c>
    </row>
    <row r="867" spans="1:27" x14ac:dyDescent="0.25">
      <c r="A867" t="s">
        <v>1102</v>
      </c>
      <c r="B867" s="1">
        <v>40604</v>
      </c>
      <c r="C867" s="1">
        <v>40609</v>
      </c>
      <c r="D867" t="s">
        <v>1</v>
      </c>
      <c r="E867" t="s">
        <v>531</v>
      </c>
      <c r="F867" t="s">
        <v>26</v>
      </c>
      <c r="G867" t="s">
        <v>660</v>
      </c>
      <c r="H867" t="s">
        <v>13</v>
      </c>
      <c r="I867" t="s">
        <v>14</v>
      </c>
      <c r="J867" t="s">
        <v>15</v>
      </c>
      <c r="K867" t="s">
        <v>32</v>
      </c>
      <c r="L867" t="s">
        <v>67</v>
      </c>
      <c r="M867">
        <v>776</v>
      </c>
      <c r="N867">
        <v>6</v>
      </c>
      <c r="O867">
        <v>0.1</v>
      </c>
      <c r="P867">
        <v>94.805999999999997</v>
      </c>
      <c r="Q867">
        <v>51.08</v>
      </c>
      <c r="R867" t="s">
        <v>9</v>
      </c>
      <c r="S867">
        <f>Sheet1[[#This Row],[Ship_date]]-Sheet1[[#This Row],[Order_date]]</f>
        <v>5</v>
      </c>
      <c r="T867">
        <f>Sheet1[[#This Row],[Quantity]]*Sheet1[[#This Row],[Sales]]</f>
        <v>4656</v>
      </c>
      <c r="U867">
        <f>Sheet1[[#This Row],[Total Sales]]*Sheet1[[#This Row],[Discount]]</f>
        <v>465.6</v>
      </c>
      <c r="V867" s="4">
        <f>Sheet1[[#This Row],[Total Sales]]-Sheet1[[#This Row],[Total Sales]]*Sheet1[[#This Row],[Discount]]</f>
        <v>4190.3999999999996</v>
      </c>
      <c r="W867" s="4">
        <f>Sheet1[[#This Row],[Quantity]]*Sheet1[[#This Row],[Profit]]</f>
        <v>568.83600000000001</v>
      </c>
      <c r="X867" s="5">
        <f>Sheet1[[#This Row],[Total Profit]]/Sheet1[[#This Row],[Sales After Discount]]</f>
        <v>0.1357474226804124</v>
      </c>
      <c r="Y867" s="4">
        <f>Sheet1[[#This Row],[Shipping_cost]]*Sheet1[[#This Row],[Quantity]]</f>
        <v>306.48</v>
      </c>
      <c r="Z867" s="4">
        <f>Sheet1[[#This Row],[Total Profit]]-Sheet1[[#This Row],[Total Shipping Cost]]</f>
        <v>262.35599999999999</v>
      </c>
      <c r="AA867" s="4" t="str">
        <f>IF(Sheet1[[#This Row],[Net Profit]]&gt;0,"Profit","Loss")</f>
        <v>Profit</v>
      </c>
    </row>
    <row r="868" spans="1:27" x14ac:dyDescent="0.25">
      <c r="A868" t="s">
        <v>1103</v>
      </c>
      <c r="B868" s="1">
        <v>40604</v>
      </c>
      <c r="C868" s="1">
        <v>40604</v>
      </c>
      <c r="D868" t="s">
        <v>41</v>
      </c>
      <c r="E868" t="s">
        <v>1104</v>
      </c>
      <c r="F868" t="s">
        <v>43</v>
      </c>
      <c r="G868" t="s">
        <v>271</v>
      </c>
      <c r="H868" t="s">
        <v>157</v>
      </c>
      <c r="I868" t="s">
        <v>14</v>
      </c>
      <c r="J868" t="s">
        <v>61</v>
      </c>
      <c r="K868" t="s">
        <v>32</v>
      </c>
      <c r="L868" t="s">
        <v>56</v>
      </c>
      <c r="M868">
        <v>682</v>
      </c>
      <c r="N868">
        <v>2</v>
      </c>
      <c r="O868">
        <v>0.27</v>
      </c>
      <c r="P868">
        <v>186.96780000000001</v>
      </c>
      <c r="Q868">
        <v>48.69</v>
      </c>
      <c r="R868" t="s">
        <v>9</v>
      </c>
      <c r="S868">
        <f>Sheet1[[#This Row],[Ship_date]]-Sheet1[[#This Row],[Order_date]]</f>
        <v>0</v>
      </c>
      <c r="T868">
        <f>Sheet1[[#This Row],[Quantity]]*Sheet1[[#This Row],[Sales]]</f>
        <v>1364</v>
      </c>
      <c r="U868">
        <f>Sheet1[[#This Row],[Total Sales]]*Sheet1[[#This Row],[Discount]]</f>
        <v>368.28000000000003</v>
      </c>
      <c r="V868" s="4">
        <f>Sheet1[[#This Row],[Total Sales]]-Sheet1[[#This Row],[Total Sales]]*Sheet1[[#This Row],[Discount]]</f>
        <v>995.72</v>
      </c>
      <c r="W868" s="4">
        <f>Sheet1[[#This Row],[Quantity]]*Sheet1[[#This Row],[Profit]]</f>
        <v>373.93560000000002</v>
      </c>
      <c r="X868" s="5">
        <f>Sheet1[[#This Row],[Total Profit]]/Sheet1[[#This Row],[Sales After Discount]]</f>
        <v>0.37554292371349379</v>
      </c>
      <c r="Y868" s="4">
        <f>Sheet1[[#This Row],[Shipping_cost]]*Sheet1[[#This Row],[Quantity]]</f>
        <v>97.38</v>
      </c>
      <c r="Z868" s="4">
        <f>Sheet1[[#This Row],[Total Profit]]-Sheet1[[#This Row],[Total Shipping Cost]]</f>
        <v>276.55560000000003</v>
      </c>
      <c r="AA868" s="4" t="str">
        <f>IF(Sheet1[[#This Row],[Net Profit]]&gt;0,"Profit","Loss")</f>
        <v>Profit</v>
      </c>
    </row>
    <row r="869" spans="1:27" x14ac:dyDescent="0.25">
      <c r="A869" t="s">
        <v>1105</v>
      </c>
      <c r="B869" s="1">
        <v>40604</v>
      </c>
      <c r="C869" s="1">
        <v>40608</v>
      </c>
      <c r="D869" t="s">
        <v>1</v>
      </c>
      <c r="E869" t="s">
        <v>715</v>
      </c>
      <c r="F869" t="s">
        <v>43</v>
      </c>
      <c r="G869" t="s">
        <v>235</v>
      </c>
      <c r="H869" t="s">
        <v>13</v>
      </c>
      <c r="I869" t="s">
        <v>14</v>
      </c>
      <c r="J869" t="s">
        <v>15</v>
      </c>
      <c r="K869" t="s">
        <v>32</v>
      </c>
      <c r="L869" t="s">
        <v>56</v>
      </c>
      <c r="M869">
        <v>258</v>
      </c>
      <c r="N869">
        <v>3</v>
      </c>
      <c r="O869">
        <v>0.1</v>
      </c>
      <c r="P869">
        <v>31.481999999999999</v>
      </c>
      <c r="Q869">
        <v>28.53</v>
      </c>
      <c r="R869" t="s">
        <v>9</v>
      </c>
      <c r="S869">
        <f>Sheet1[[#This Row],[Ship_date]]-Sheet1[[#This Row],[Order_date]]</f>
        <v>4</v>
      </c>
      <c r="T869">
        <f>Sheet1[[#This Row],[Quantity]]*Sheet1[[#This Row],[Sales]]</f>
        <v>774</v>
      </c>
      <c r="U869">
        <f>Sheet1[[#This Row],[Total Sales]]*Sheet1[[#This Row],[Discount]]</f>
        <v>77.400000000000006</v>
      </c>
      <c r="V869" s="4">
        <f>Sheet1[[#This Row],[Total Sales]]-Sheet1[[#This Row],[Total Sales]]*Sheet1[[#This Row],[Discount]]</f>
        <v>696.6</v>
      </c>
      <c r="W869" s="4">
        <f>Sheet1[[#This Row],[Quantity]]*Sheet1[[#This Row],[Profit]]</f>
        <v>94.445999999999998</v>
      </c>
      <c r="X869" s="5">
        <f>Sheet1[[#This Row],[Total Profit]]/Sheet1[[#This Row],[Sales After Discount]]</f>
        <v>0.1355813953488372</v>
      </c>
      <c r="Y869" s="4">
        <f>Sheet1[[#This Row],[Shipping_cost]]*Sheet1[[#This Row],[Quantity]]</f>
        <v>85.59</v>
      </c>
      <c r="Z869" s="4">
        <f>Sheet1[[#This Row],[Total Profit]]-Sheet1[[#This Row],[Total Shipping Cost]]</f>
        <v>8.8559999999999945</v>
      </c>
      <c r="AA869" s="4" t="str">
        <f>IF(Sheet1[[#This Row],[Net Profit]]&gt;0,"Profit","Loss")</f>
        <v>Profit</v>
      </c>
    </row>
    <row r="870" spans="1:27" x14ac:dyDescent="0.25">
      <c r="A870" t="s">
        <v>1103</v>
      </c>
      <c r="B870" s="1">
        <v>40604</v>
      </c>
      <c r="C870" s="1">
        <v>40604</v>
      </c>
      <c r="D870" t="s">
        <v>41</v>
      </c>
      <c r="E870" t="s">
        <v>1104</v>
      </c>
      <c r="F870" t="s">
        <v>43</v>
      </c>
      <c r="G870" t="s">
        <v>271</v>
      </c>
      <c r="H870" t="s">
        <v>157</v>
      </c>
      <c r="I870" t="s">
        <v>14</v>
      </c>
      <c r="J870" t="s">
        <v>61</v>
      </c>
      <c r="K870" t="s">
        <v>38</v>
      </c>
      <c r="L870" t="s">
        <v>50</v>
      </c>
      <c r="M870">
        <v>1055</v>
      </c>
      <c r="N870">
        <v>3</v>
      </c>
      <c r="O870">
        <v>7.0000000000000007E-2</v>
      </c>
      <c r="P870">
        <v>-34.082999999999998</v>
      </c>
      <c r="Q870">
        <v>27.16</v>
      </c>
      <c r="R870" t="s">
        <v>9</v>
      </c>
      <c r="S870">
        <f>Sheet1[[#This Row],[Ship_date]]-Sheet1[[#This Row],[Order_date]]</f>
        <v>0</v>
      </c>
      <c r="T870">
        <f>Sheet1[[#This Row],[Quantity]]*Sheet1[[#This Row],[Sales]]</f>
        <v>3165</v>
      </c>
      <c r="U870">
        <f>Sheet1[[#This Row],[Total Sales]]*Sheet1[[#This Row],[Discount]]</f>
        <v>221.55</v>
      </c>
      <c r="V870" s="4">
        <f>Sheet1[[#This Row],[Total Sales]]-Sheet1[[#This Row],[Total Sales]]*Sheet1[[#This Row],[Discount]]</f>
        <v>2943.45</v>
      </c>
      <c r="W870" s="4">
        <f>Sheet1[[#This Row],[Quantity]]*Sheet1[[#This Row],[Profit]]</f>
        <v>-102.249</v>
      </c>
      <c r="X870" s="5">
        <f>Sheet1[[#This Row],[Total Profit]]/Sheet1[[#This Row],[Sales After Discount]]</f>
        <v>-3.4737807674667484E-2</v>
      </c>
      <c r="Y870" s="4">
        <f>Sheet1[[#This Row],[Shipping_cost]]*Sheet1[[#This Row],[Quantity]]</f>
        <v>81.48</v>
      </c>
      <c r="Z870" s="4">
        <f>Sheet1[[#This Row],[Total Profit]]-Sheet1[[#This Row],[Total Shipping Cost]]</f>
        <v>-183.72899999999998</v>
      </c>
      <c r="AA870" s="4" t="str">
        <f>IF(Sheet1[[#This Row],[Net Profit]]&gt;0,"Profit","Loss")</f>
        <v>Loss</v>
      </c>
    </row>
    <row r="871" spans="1:27" x14ac:dyDescent="0.25">
      <c r="A871" t="s">
        <v>1106</v>
      </c>
      <c r="B871" s="1">
        <v>40604</v>
      </c>
      <c r="C871" s="1">
        <v>40608</v>
      </c>
      <c r="D871" t="s">
        <v>1</v>
      </c>
      <c r="E871" t="s">
        <v>755</v>
      </c>
      <c r="F871" t="s">
        <v>3</v>
      </c>
      <c r="G871" t="s">
        <v>1107</v>
      </c>
      <c r="H871" t="s">
        <v>55</v>
      </c>
      <c r="I871" t="s">
        <v>22</v>
      </c>
      <c r="J871" t="s">
        <v>22</v>
      </c>
      <c r="K871" t="s">
        <v>7</v>
      </c>
      <c r="L871" t="s">
        <v>8</v>
      </c>
      <c r="M871">
        <v>211</v>
      </c>
      <c r="N871">
        <v>1</v>
      </c>
      <c r="O871">
        <v>0</v>
      </c>
      <c r="P871">
        <v>52.65</v>
      </c>
      <c r="Q871">
        <v>21.46</v>
      </c>
      <c r="R871" t="s">
        <v>9</v>
      </c>
      <c r="S871">
        <f>Sheet1[[#This Row],[Ship_date]]-Sheet1[[#This Row],[Order_date]]</f>
        <v>4</v>
      </c>
      <c r="T871">
        <f>Sheet1[[#This Row],[Quantity]]*Sheet1[[#This Row],[Sales]]</f>
        <v>211</v>
      </c>
      <c r="U871">
        <f>Sheet1[[#This Row],[Total Sales]]*Sheet1[[#This Row],[Discount]]</f>
        <v>0</v>
      </c>
      <c r="V871" s="4">
        <f>Sheet1[[#This Row],[Total Sales]]-Sheet1[[#This Row],[Total Sales]]*Sheet1[[#This Row],[Discount]]</f>
        <v>211</v>
      </c>
      <c r="W871" s="4">
        <f>Sheet1[[#This Row],[Quantity]]*Sheet1[[#This Row],[Profit]]</f>
        <v>52.65</v>
      </c>
      <c r="X871" s="5">
        <f>Sheet1[[#This Row],[Total Profit]]/Sheet1[[#This Row],[Sales After Discount]]</f>
        <v>0.2495260663507109</v>
      </c>
      <c r="Y871" s="4">
        <f>Sheet1[[#This Row],[Shipping_cost]]*Sheet1[[#This Row],[Quantity]]</f>
        <v>21.46</v>
      </c>
      <c r="Z871" s="4">
        <f>Sheet1[[#This Row],[Total Profit]]-Sheet1[[#This Row],[Total Shipping Cost]]</f>
        <v>31.189999999999998</v>
      </c>
      <c r="AA871" s="4" t="str">
        <f>IF(Sheet1[[#This Row],[Net Profit]]&gt;0,"Profit","Loss")</f>
        <v>Profit</v>
      </c>
    </row>
    <row r="872" spans="1:27" x14ac:dyDescent="0.25">
      <c r="A872" t="s">
        <v>1108</v>
      </c>
      <c r="B872" s="1">
        <v>40604</v>
      </c>
      <c r="C872" s="1">
        <v>40608</v>
      </c>
      <c r="D872" t="s">
        <v>1</v>
      </c>
      <c r="E872" t="s">
        <v>1109</v>
      </c>
      <c r="F872" t="s">
        <v>43</v>
      </c>
      <c r="G872" t="s">
        <v>172</v>
      </c>
      <c r="H872" t="s">
        <v>126</v>
      </c>
      <c r="I872" t="s">
        <v>127</v>
      </c>
      <c r="J872" t="s">
        <v>173</v>
      </c>
      <c r="K872" t="s">
        <v>38</v>
      </c>
      <c r="L872" t="s">
        <v>82</v>
      </c>
      <c r="M872">
        <v>151</v>
      </c>
      <c r="N872">
        <v>3</v>
      </c>
      <c r="O872">
        <v>0.2</v>
      </c>
      <c r="P872">
        <v>32.130000000000003</v>
      </c>
      <c r="Q872">
        <v>9.2100000000000009</v>
      </c>
      <c r="R872" t="s">
        <v>23</v>
      </c>
      <c r="S872">
        <f>Sheet1[[#This Row],[Ship_date]]-Sheet1[[#This Row],[Order_date]]</f>
        <v>4</v>
      </c>
      <c r="T872">
        <f>Sheet1[[#This Row],[Quantity]]*Sheet1[[#This Row],[Sales]]</f>
        <v>453</v>
      </c>
      <c r="U872">
        <f>Sheet1[[#This Row],[Total Sales]]*Sheet1[[#This Row],[Discount]]</f>
        <v>90.600000000000009</v>
      </c>
      <c r="V872" s="4">
        <f>Sheet1[[#This Row],[Total Sales]]-Sheet1[[#This Row],[Total Sales]]*Sheet1[[#This Row],[Discount]]</f>
        <v>362.4</v>
      </c>
      <c r="W872" s="4">
        <f>Sheet1[[#This Row],[Quantity]]*Sheet1[[#This Row],[Profit]]</f>
        <v>96.390000000000015</v>
      </c>
      <c r="X872" s="5">
        <f>Sheet1[[#This Row],[Total Profit]]/Sheet1[[#This Row],[Sales After Discount]]</f>
        <v>0.26597682119205301</v>
      </c>
      <c r="Y872" s="4">
        <f>Sheet1[[#This Row],[Shipping_cost]]*Sheet1[[#This Row],[Quantity]]</f>
        <v>27.630000000000003</v>
      </c>
      <c r="Z872" s="4">
        <f>Sheet1[[#This Row],[Total Profit]]-Sheet1[[#This Row],[Total Shipping Cost]]</f>
        <v>68.760000000000019</v>
      </c>
      <c r="AA872" s="4" t="str">
        <f>IF(Sheet1[[#This Row],[Net Profit]]&gt;0,"Profit","Loss")</f>
        <v>Profit</v>
      </c>
    </row>
    <row r="873" spans="1:27" x14ac:dyDescent="0.25">
      <c r="A873" t="s">
        <v>1102</v>
      </c>
      <c r="B873" s="1">
        <v>40604</v>
      </c>
      <c r="C873" s="1">
        <v>40609</v>
      </c>
      <c r="D873" t="s">
        <v>1</v>
      </c>
      <c r="E873" t="s">
        <v>531</v>
      </c>
      <c r="F873" t="s">
        <v>26</v>
      </c>
      <c r="G873" t="s">
        <v>660</v>
      </c>
      <c r="H873" t="s">
        <v>13</v>
      </c>
      <c r="I873" t="s">
        <v>14</v>
      </c>
      <c r="J873" t="s">
        <v>15</v>
      </c>
      <c r="K873" t="s">
        <v>7</v>
      </c>
      <c r="L873" t="s">
        <v>137</v>
      </c>
      <c r="M873">
        <v>107</v>
      </c>
      <c r="N873">
        <v>8</v>
      </c>
      <c r="O873">
        <v>0.1</v>
      </c>
      <c r="P873">
        <v>16.463999999999999</v>
      </c>
      <c r="Q873">
        <v>7.66</v>
      </c>
      <c r="R873" t="s">
        <v>9</v>
      </c>
      <c r="S873">
        <f>Sheet1[[#This Row],[Ship_date]]-Sheet1[[#This Row],[Order_date]]</f>
        <v>5</v>
      </c>
      <c r="T873">
        <f>Sheet1[[#This Row],[Quantity]]*Sheet1[[#This Row],[Sales]]</f>
        <v>856</v>
      </c>
      <c r="U873">
        <f>Sheet1[[#This Row],[Total Sales]]*Sheet1[[#This Row],[Discount]]</f>
        <v>85.600000000000009</v>
      </c>
      <c r="V873" s="4">
        <f>Sheet1[[#This Row],[Total Sales]]-Sheet1[[#This Row],[Total Sales]]*Sheet1[[#This Row],[Discount]]</f>
        <v>770.4</v>
      </c>
      <c r="W873" s="4">
        <f>Sheet1[[#This Row],[Quantity]]*Sheet1[[#This Row],[Profit]]</f>
        <v>131.71199999999999</v>
      </c>
      <c r="X873" s="5">
        <f>Sheet1[[#This Row],[Total Profit]]/Sheet1[[#This Row],[Sales After Discount]]</f>
        <v>0.1709657320872274</v>
      </c>
      <c r="Y873" s="4">
        <f>Sheet1[[#This Row],[Shipping_cost]]*Sheet1[[#This Row],[Quantity]]</f>
        <v>61.28</v>
      </c>
      <c r="Z873" s="4">
        <f>Sheet1[[#This Row],[Total Profit]]-Sheet1[[#This Row],[Total Shipping Cost]]</f>
        <v>70.431999999999988</v>
      </c>
      <c r="AA873" s="4" t="str">
        <f>IF(Sheet1[[#This Row],[Net Profit]]&gt;0,"Profit","Loss")</f>
        <v>Profit</v>
      </c>
    </row>
    <row r="874" spans="1:27" x14ac:dyDescent="0.25">
      <c r="A874" t="s">
        <v>1110</v>
      </c>
      <c r="B874" s="1">
        <v>40604</v>
      </c>
      <c r="C874" s="1">
        <v>40608</v>
      </c>
      <c r="D874" t="s">
        <v>1</v>
      </c>
      <c r="E874" t="s">
        <v>1111</v>
      </c>
      <c r="F874" t="s">
        <v>43</v>
      </c>
      <c r="G874" t="s">
        <v>1112</v>
      </c>
      <c r="H874" t="s">
        <v>110</v>
      </c>
      <c r="I874" t="s">
        <v>75</v>
      </c>
      <c r="J874" t="s">
        <v>111</v>
      </c>
      <c r="K874" t="s">
        <v>7</v>
      </c>
      <c r="L874" t="s">
        <v>31</v>
      </c>
      <c r="M874">
        <v>36</v>
      </c>
      <c r="N874">
        <v>2</v>
      </c>
      <c r="O874">
        <v>0</v>
      </c>
      <c r="P874">
        <v>14.2</v>
      </c>
      <c r="Q874">
        <v>2.25</v>
      </c>
      <c r="R874" t="s">
        <v>9</v>
      </c>
      <c r="S874">
        <f>Sheet1[[#This Row],[Ship_date]]-Sheet1[[#This Row],[Order_date]]</f>
        <v>4</v>
      </c>
      <c r="T874">
        <f>Sheet1[[#This Row],[Quantity]]*Sheet1[[#This Row],[Sales]]</f>
        <v>72</v>
      </c>
      <c r="U874">
        <f>Sheet1[[#This Row],[Total Sales]]*Sheet1[[#This Row],[Discount]]</f>
        <v>0</v>
      </c>
      <c r="V874" s="4">
        <f>Sheet1[[#This Row],[Total Sales]]-Sheet1[[#This Row],[Total Sales]]*Sheet1[[#This Row],[Discount]]</f>
        <v>72</v>
      </c>
      <c r="W874" s="4">
        <f>Sheet1[[#This Row],[Quantity]]*Sheet1[[#This Row],[Profit]]</f>
        <v>28.4</v>
      </c>
      <c r="X874" s="5">
        <f>Sheet1[[#This Row],[Total Profit]]/Sheet1[[#This Row],[Sales After Discount]]</f>
        <v>0.39444444444444443</v>
      </c>
      <c r="Y874" s="4">
        <f>Sheet1[[#This Row],[Shipping_cost]]*Sheet1[[#This Row],[Quantity]]</f>
        <v>4.5</v>
      </c>
      <c r="Z874" s="4">
        <f>Sheet1[[#This Row],[Total Profit]]-Sheet1[[#This Row],[Total Shipping Cost]]</f>
        <v>23.9</v>
      </c>
      <c r="AA874" s="4" t="str">
        <f>IF(Sheet1[[#This Row],[Net Profit]]&gt;0,"Profit","Loss")</f>
        <v>Profit</v>
      </c>
    </row>
    <row r="875" spans="1:27" x14ac:dyDescent="0.25">
      <c r="A875" t="s">
        <v>1113</v>
      </c>
      <c r="B875" s="1">
        <v>40604</v>
      </c>
      <c r="C875" s="1">
        <v>40610</v>
      </c>
      <c r="D875" t="s">
        <v>1</v>
      </c>
      <c r="E875" t="s">
        <v>1114</v>
      </c>
      <c r="F875" t="s">
        <v>26</v>
      </c>
      <c r="G875" t="s">
        <v>649</v>
      </c>
      <c r="H875" t="s">
        <v>126</v>
      </c>
      <c r="I875" t="s">
        <v>127</v>
      </c>
      <c r="J875" t="s">
        <v>173</v>
      </c>
      <c r="K875" t="s">
        <v>7</v>
      </c>
      <c r="L875" t="s">
        <v>31</v>
      </c>
      <c r="M875">
        <v>36</v>
      </c>
      <c r="N875">
        <v>5</v>
      </c>
      <c r="O875">
        <v>0</v>
      </c>
      <c r="P875">
        <v>17.472000000000001</v>
      </c>
      <c r="Q875">
        <v>2.1800000000000002</v>
      </c>
      <c r="R875" t="s">
        <v>9</v>
      </c>
      <c r="S875">
        <f>Sheet1[[#This Row],[Ship_date]]-Sheet1[[#This Row],[Order_date]]</f>
        <v>6</v>
      </c>
      <c r="T875">
        <f>Sheet1[[#This Row],[Quantity]]*Sheet1[[#This Row],[Sales]]</f>
        <v>180</v>
      </c>
      <c r="U875">
        <f>Sheet1[[#This Row],[Total Sales]]*Sheet1[[#This Row],[Discount]]</f>
        <v>0</v>
      </c>
      <c r="V875" s="4">
        <f>Sheet1[[#This Row],[Total Sales]]-Sheet1[[#This Row],[Total Sales]]*Sheet1[[#This Row],[Discount]]</f>
        <v>180</v>
      </c>
      <c r="W875" s="4">
        <f>Sheet1[[#This Row],[Quantity]]*Sheet1[[#This Row],[Profit]]</f>
        <v>87.360000000000014</v>
      </c>
      <c r="X875" s="5">
        <f>Sheet1[[#This Row],[Total Profit]]/Sheet1[[#This Row],[Sales After Discount]]</f>
        <v>0.48533333333333339</v>
      </c>
      <c r="Y875" s="4">
        <f>Sheet1[[#This Row],[Shipping_cost]]*Sheet1[[#This Row],[Quantity]]</f>
        <v>10.9</v>
      </c>
      <c r="Z875" s="4">
        <f>Sheet1[[#This Row],[Total Profit]]-Sheet1[[#This Row],[Total Shipping Cost]]</f>
        <v>76.460000000000008</v>
      </c>
      <c r="AA875" s="4" t="str">
        <f>IF(Sheet1[[#This Row],[Net Profit]]&gt;0,"Profit","Loss")</f>
        <v>Profit</v>
      </c>
    </row>
    <row r="876" spans="1:27" x14ac:dyDescent="0.25">
      <c r="A876" t="s">
        <v>1102</v>
      </c>
      <c r="B876" s="1">
        <v>40604</v>
      </c>
      <c r="C876" s="1">
        <v>40609</v>
      </c>
      <c r="D876" t="s">
        <v>1</v>
      </c>
      <c r="E876" t="s">
        <v>531</v>
      </c>
      <c r="F876" t="s">
        <v>26</v>
      </c>
      <c r="G876" t="s">
        <v>660</v>
      </c>
      <c r="H876" t="s">
        <v>13</v>
      </c>
      <c r="I876" t="s">
        <v>14</v>
      </c>
      <c r="J876" t="s">
        <v>15</v>
      </c>
      <c r="K876" t="s">
        <v>7</v>
      </c>
      <c r="L876" t="s">
        <v>91</v>
      </c>
      <c r="M876">
        <v>46</v>
      </c>
      <c r="N876">
        <v>2</v>
      </c>
      <c r="O876">
        <v>0.1</v>
      </c>
      <c r="P876">
        <v>4.524</v>
      </c>
      <c r="Q876">
        <v>1.46</v>
      </c>
      <c r="R876" t="s">
        <v>9</v>
      </c>
      <c r="S876">
        <f>Sheet1[[#This Row],[Ship_date]]-Sheet1[[#This Row],[Order_date]]</f>
        <v>5</v>
      </c>
      <c r="T876">
        <f>Sheet1[[#This Row],[Quantity]]*Sheet1[[#This Row],[Sales]]</f>
        <v>92</v>
      </c>
      <c r="U876">
        <f>Sheet1[[#This Row],[Total Sales]]*Sheet1[[#This Row],[Discount]]</f>
        <v>9.2000000000000011</v>
      </c>
      <c r="V876" s="4">
        <f>Sheet1[[#This Row],[Total Sales]]-Sheet1[[#This Row],[Total Sales]]*Sheet1[[#This Row],[Discount]]</f>
        <v>82.8</v>
      </c>
      <c r="W876" s="4">
        <f>Sheet1[[#This Row],[Quantity]]*Sheet1[[#This Row],[Profit]]</f>
        <v>9.048</v>
      </c>
      <c r="X876" s="5">
        <f>Sheet1[[#This Row],[Total Profit]]/Sheet1[[#This Row],[Sales After Discount]]</f>
        <v>0.10927536231884058</v>
      </c>
      <c r="Y876" s="4">
        <f>Sheet1[[#This Row],[Shipping_cost]]*Sheet1[[#This Row],[Quantity]]</f>
        <v>2.92</v>
      </c>
      <c r="Z876" s="4">
        <f>Sheet1[[#This Row],[Total Profit]]-Sheet1[[#This Row],[Total Shipping Cost]]</f>
        <v>6.1280000000000001</v>
      </c>
      <c r="AA876" s="4" t="str">
        <f>IF(Sheet1[[#This Row],[Net Profit]]&gt;0,"Profit","Loss")</f>
        <v>Profit</v>
      </c>
    </row>
    <row r="877" spans="1:27" x14ac:dyDescent="0.25">
      <c r="A877" t="s">
        <v>1113</v>
      </c>
      <c r="B877" s="1">
        <v>40604</v>
      </c>
      <c r="C877" s="1">
        <v>40610</v>
      </c>
      <c r="D877" t="s">
        <v>1</v>
      </c>
      <c r="E877" t="s">
        <v>1114</v>
      </c>
      <c r="F877" t="s">
        <v>26</v>
      </c>
      <c r="G877" t="s">
        <v>649</v>
      </c>
      <c r="H877" t="s">
        <v>126</v>
      </c>
      <c r="I877" t="s">
        <v>127</v>
      </c>
      <c r="J877" t="s">
        <v>173</v>
      </c>
      <c r="K877" t="s">
        <v>7</v>
      </c>
      <c r="L877" t="s">
        <v>96</v>
      </c>
      <c r="M877">
        <v>11</v>
      </c>
      <c r="N877">
        <v>2</v>
      </c>
      <c r="O877">
        <v>0</v>
      </c>
      <c r="P877">
        <v>5.3391999999999999</v>
      </c>
      <c r="Q877">
        <v>0.94</v>
      </c>
      <c r="R877" t="s">
        <v>9</v>
      </c>
      <c r="S877">
        <f>Sheet1[[#This Row],[Ship_date]]-Sheet1[[#This Row],[Order_date]]</f>
        <v>6</v>
      </c>
      <c r="T877">
        <f>Sheet1[[#This Row],[Quantity]]*Sheet1[[#This Row],[Sales]]</f>
        <v>22</v>
      </c>
      <c r="U877">
        <f>Sheet1[[#This Row],[Total Sales]]*Sheet1[[#This Row],[Discount]]</f>
        <v>0</v>
      </c>
      <c r="V877" s="4">
        <f>Sheet1[[#This Row],[Total Sales]]-Sheet1[[#This Row],[Total Sales]]*Sheet1[[#This Row],[Discount]]</f>
        <v>22</v>
      </c>
      <c r="W877" s="4">
        <f>Sheet1[[#This Row],[Quantity]]*Sheet1[[#This Row],[Profit]]</f>
        <v>10.6784</v>
      </c>
      <c r="X877" s="5">
        <f>Sheet1[[#This Row],[Total Profit]]/Sheet1[[#This Row],[Sales After Discount]]</f>
        <v>0.48538181818181819</v>
      </c>
      <c r="Y877" s="4">
        <f>Sheet1[[#This Row],[Shipping_cost]]*Sheet1[[#This Row],[Quantity]]</f>
        <v>1.88</v>
      </c>
      <c r="Z877" s="4">
        <f>Sheet1[[#This Row],[Total Profit]]-Sheet1[[#This Row],[Total Shipping Cost]]</f>
        <v>8.7984000000000009</v>
      </c>
      <c r="AA877" s="4" t="str">
        <f>IF(Sheet1[[#This Row],[Net Profit]]&gt;0,"Profit","Loss")</f>
        <v>Profit</v>
      </c>
    </row>
    <row r="878" spans="1:27" x14ac:dyDescent="0.25">
      <c r="A878" t="s">
        <v>1108</v>
      </c>
      <c r="B878" s="1">
        <v>40604</v>
      </c>
      <c r="C878" s="1">
        <v>40608</v>
      </c>
      <c r="D878" t="s">
        <v>1</v>
      </c>
      <c r="E878" t="s">
        <v>1109</v>
      </c>
      <c r="F878" t="s">
        <v>43</v>
      </c>
      <c r="G878" t="s">
        <v>172</v>
      </c>
      <c r="H878" t="s">
        <v>126</v>
      </c>
      <c r="I878" t="s">
        <v>127</v>
      </c>
      <c r="J878" t="s">
        <v>173</v>
      </c>
      <c r="K878" t="s">
        <v>7</v>
      </c>
      <c r="L878" t="s">
        <v>31</v>
      </c>
      <c r="M878">
        <v>3</v>
      </c>
      <c r="N878">
        <v>1</v>
      </c>
      <c r="O878">
        <v>0.2</v>
      </c>
      <c r="P878">
        <v>1.07</v>
      </c>
      <c r="Q878">
        <v>0.41</v>
      </c>
      <c r="R878" t="s">
        <v>23</v>
      </c>
      <c r="S878">
        <f>Sheet1[[#This Row],[Ship_date]]-Sheet1[[#This Row],[Order_date]]</f>
        <v>4</v>
      </c>
      <c r="T878">
        <f>Sheet1[[#This Row],[Quantity]]*Sheet1[[#This Row],[Sales]]</f>
        <v>3</v>
      </c>
      <c r="U878">
        <f>Sheet1[[#This Row],[Total Sales]]*Sheet1[[#This Row],[Discount]]</f>
        <v>0.60000000000000009</v>
      </c>
      <c r="V878" s="4">
        <f>Sheet1[[#This Row],[Total Sales]]-Sheet1[[#This Row],[Total Sales]]*Sheet1[[#This Row],[Discount]]</f>
        <v>2.4</v>
      </c>
      <c r="W878" s="4">
        <f>Sheet1[[#This Row],[Quantity]]*Sheet1[[#This Row],[Profit]]</f>
        <v>1.07</v>
      </c>
      <c r="X878" s="5">
        <f>Sheet1[[#This Row],[Total Profit]]/Sheet1[[#This Row],[Sales After Discount]]</f>
        <v>0.44583333333333336</v>
      </c>
      <c r="Y878" s="4">
        <f>Sheet1[[#This Row],[Shipping_cost]]*Sheet1[[#This Row],[Quantity]]</f>
        <v>0.41</v>
      </c>
      <c r="Z878" s="4">
        <f>Sheet1[[#This Row],[Total Profit]]-Sheet1[[#This Row],[Total Shipping Cost]]</f>
        <v>0.66000000000000014</v>
      </c>
      <c r="AA878" s="4" t="str">
        <f>IF(Sheet1[[#This Row],[Net Profit]]&gt;0,"Profit","Loss")</f>
        <v>Profit</v>
      </c>
    </row>
    <row r="879" spans="1:27" x14ac:dyDescent="0.25">
      <c r="A879" t="s">
        <v>1115</v>
      </c>
      <c r="B879" s="1">
        <v>40605</v>
      </c>
      <c r="C879" s="1">
        <v>40607</v>
      </c>
      <c r="D879" t="s">
        <v>18</v>
      </c>
      <c r="E879" t="s">
        <v>1116</v>
      </c>
      <c r="F879" t="s">
        <v>43</v>
      </c>
      <c r="G879" t="s">
        <v>1117</v>
      </c>
      <c r="H879" t="s">
        <v>1118</v>
      </c>
      <c r="I879" t="s">
        <v>22</v>
      </c>
      <c r="J879" t="s">
        <v>22</v>
      </c>
      <c r="K879" t="s">
        <v>38</v>
      </c>
      <c r="L879" t="s">
        <v>39</v>
      </c>
      <c r="M879">
        <v>1619</v>
      </c>
      <c r="N879">
        <v>10</v>
      </c>
      <c r="O879">
        <v>0</v>
      </c>
      <c r="P879">
        <v>258.89999999999998</v>
      </c>
      <c r="Q879">
        <v>301.73</v>
      </c>
      <c r="R879" t="s">
        <v>23</v>
      </c>
      <c r="S879">
        <f>Sheet1[[#This Row],[Ship_date]]-Sheet1[[#This Row],[Order_date]]</f>
        <v>2</v>
      </c>
      <c r="T879">
        <f>Sheet1[[#This Row],[Quantity]]*Sheet1[[#This Row],[Sales]]</f>
        <v>16190</v>
      </c>
      <c r="U879">
        <f>Sheet1[[#This Row],[Total Sales]]*Sheet1[[#This Row],[Discount]]</f>
        <v>0</v>
      </c>
      <c r="V879" s="4">
        <f>Sheet1[[#This Row],[Total Sales]]-Sheet1[[#This Row],[Total Sales]]*Sheet1[[#This Row],[Discount]]</f>
        <v>16190</v>
      </c>
      <c r="W879" s="4">
        <f>Sheet1[[#This Row],[Quantity]]*Sheet1[[#This Row],[Profit]]</f>
        <v>2589</v>
      </c>
      <c r="X879" s="5">
        <f>Sheet1[[#This Row],[Total Profit]]/Sheet1[[#This Row],[Sales After Discount]]</f>
        <v>0.15991352686843729</v>
      </c>
      <c r="Y879" s="4">
        <f>Sheet1[[#This Row],[Shipping_cost]]*Sheet1[[#This Row],[Quantity]]</f>
        <v>3017.3</v>
      </c>
      <c r="Z879" s="4">
        <f>Sheet1[[#This Row],[Total Profit]]-Sheet1[[#This Row],[Total Shipping Cost]]</f>
        <v>-428.30000000000018</v>
      </c>
      <c r="AA879" s="4" t="str">
        <f>IF(Sheet1[[#This Row],[Net Profit]]&gt;0,"Profit","Loss")</f>
        <v>Loss</v>
      </c>
    </row>
    <row r="880" spans="1:27" x14ac:dyDescent="0.25">
      <c r="A880" t="s">
        <v>1119</v>
      </c>
      <c r="B880" s="1">
        <v>40605</v>
      </c>
      <c r="C880" s="1">
        <v>40610</v>
      </c>
      <c r="D880" t="s">
        <v>18</v>
      </c>
      <c r="E880" t="s">
        <v>662</v>
      </c>
      <c r="F880" t="s">
        <v>3</v>
      </c>
      <c r="G880" t="s">
        <v>677</v>
      </c>
      <c r="H880" t="s">
        <v>678</v>
      </c>
      <c r="I880" t="s">
        <v>14</v>
      </c>
      <c r="J880" t="s">
        <v>281</v>
      </c>
      <c r="K880" t="s">
        <v>32</v>
      </c>
      <c r="L880" t="s">
        <v>56</v>
      </c>
      <c r="M880">
        <v>1096</v>
      </c>
      <c r="N880">
        <v>6</v>
      </c>
      <c r="O880">
        <v>0</v>
      </c>
      <c r="P880">
        <v>65.7</v>
      </c>
      <c r="Q880">
        <v>100.65</v>
      </c>
      <c r="R880" t="s">
        <v>23</v>
      </c>
      <c r="S880">
        <f>Sheet1[[#This Row],[Ship_date]]-Sheet1[[#This Row],[Order_date]]</f>
        <v>5</v>
      </c>
      <c r="T880">
        <f>Sheet1[[#This Row],[Quantity]]*Sheet1[[#This Row],[Sales]]</f>
        <v>6576</v>
      </c>
      <c r="U880">
        <f>Sheet1[[#This Row],[Total Sales]]*Sheet1[[#This Row],[Discount]]</f>
        <v>0</v>
      </c>
      <c r="V880" s="4">
        <f>Sheet1[[#This Row],[Total Sales]]-Sheet1[[#This Row],[Total Sales]]*Sheet1[[#This Row],[Discount]]</f>
        <v>6576</v>
      </c>
      <c r="W880" s="4">
        <f>Sheet1[[#This Row],[Quantity]]*Sheet1[[#This Row],[Profit]]</f>
        <v>394.20000000000005</v>
      </c>
      <c r="X880" s="5">
        <f>Sheet1[[#This Row],[Total Profit]]/Sheet1[[#This Row],[Sales After Discount]]</f>
        <v>5.9945255474452563E-2</v>
      </c>
      <c r="Y880" s="4">
        <f>Sheet1[[#This Row],[Shipping_cost]]*Sheet1[[#This Row],[Quantity]]</f>
        <v>603.90000000000009</v>
      </c>
      <c r="Z880" s="4">
        <f>Sheet1[[#This Row],[Total Profit]]-Sheet1[[#This Row],[Total Shipping Cost]]</f>
        <v>-209.70000000000005</v>
      </c>
      <c r="AA880" s="4" t="str">
        <f>IF(Sheet1[[#This Row],[Net Profit]]&gt;0,"Profit","Loss")</f>
        <v>Loss</v>
      </c>
    </row>
    <row r="881" spans="1:27" x14ac:dyDescent="0.25">
      <c r="A881" t="s">
        <v>1120</v>
      </c>
      <c r="B881" s="1">
        <v>40605</v>
      </c>
      <c r="C881" s="1">
        <v>40607</v>
      </c>
      <c r="D881" t="s">
        <v>18</v>
      </c>
      <c r="E881" t="s">
        <v>1121</v>
      </c>
      <c r="F881" t="s">
        <v>43</v>
      </c>
      <c r="G881" t="s">
        <v>673</v>
      </c>
      <c r="H881" t="s">
        <v>368</v>
      </c>
      <c r="I881" t="s">
        <v>75</v>
      </c>
      <c r="J881" t="s">
        <v>111</v>
      </c>
      <c r="K881" t="s">
        <v>32</v>
      </c>
      <c r="L881" t="s">
        <v>56</v>
      </c>
      <c r="M881">
        <v>752</v>
      </c>
      <c r="N881">
        <v>3</v>
      </c>
      <c r="O881">
        <v>0.2</v>
      </c>
      <c r="P881">
        <v>56.351999999999997</v>
      </c>
      <c r="Q881">
        <v>70.489999999999995</v>
      </c>
      <c r="R881" t="s">
        <v>23</v>
      </c>
      <c r="S881">
        <f>Sheet1[[#This Row],[Ship_date]]-Sheet1[[#This Row],[Order_date]]</f>
        <v>2</v>
      </c>
      <c r="T881">
        <f>Sheet1[[#This Row],[Quantity]]*Sheet1[[#This Row],[Sales]]</f>
        <v>2256</v>
      </c>
      <c r="U881">
        <f>Sheet1[[#This Row],[Total Sales]]*Sheet1[[#This Row],[Discount]]</f>
        <v>451.20000000000005</v>
      </c>
      <c r="V881" s="4">
        <f>Sheet1[[#This Row],[Total Sales]]-Sheet1[[#This Row],[Total Sales]]*Sheet1[[#This Row],[Discount]]</f>
        <v>1804.8</v>
      </c>
      <c r="W881" s="4">
        <f>Sheet1[[#This Row],[Quantity]]*Sheet1[[#This Row],[Profit]]</f>
        <v>169.05599999999998</v>
      </c>
      <c r="X881" s="5">
        <f>Sheet1[[#This Row],[Total Profit]]/Sheet1[[#This Row],[Sales After Discount]]</f>
        <v>9.3670212765957439E-2</v>
      </c>
      <c r="Y881" s="4">
        <f>Sheet1[[#This Row],[Shipping_cost]]*Sheet1[[#This Row],[Quantity]]</f>
        <v>211.46999999999997</v>
      </c>
      <c r="Z881" s="4">
        <f>Sheet1[[#This Row],[Total Profit]]-Sheet1[[#This Row],[Total Shipping Cost]]</f>
        <v>-42.413999999999987</v>
      </c>
      <c r="AA881" s="4" t="str">
        <f>IF(Sheet1[[#This Row],[Net Profit]]&gt;0,"Profit","Loss")</f>
        <v>Loss</v>
      </c>
    </row>
    <row r="882" spans="1:27" x14ac:dyDescent="0.25">
      <c r="A882" t="s">
        <v>1122</v>
      </c>
      <c r="B882" s="1">
        <v>40605</v>
      </c>
      <c r="C882" s="1">
        <v>40609</v>
      </c>
      <c r="D882" t="s">
        <v>1</v>
      </c>
      <c r="E882" t="s">
        <v>319</v>
      </c>
      <c r="F882" t="s">
        <v>3</v>
      </c>
      <c r="G882" t="s">
        <v>848</v>
      </c>
      <c r="H882" t="s">
        <v>580</v>
      </c>
      <c r="I882" t="s">
        <v>6</v>
      </c>
      <c r="J882" t="s">
        <v>6</v>
      </c>
      <c r="K882" t="s">
        <v>38</v>
      </c>
      <c r="L882" t="s">
        <v>39</v>
      </c>
      <c r="M882">
        <v>311</v>
      </c>
      <c r="N882">
        <v>1</v>
      </c>
      <c r="O882">
        <v>0</v>
      </c>
      <c r="P882">
        <v>90.03</v>
      </c>
      <c r="Q882">
        <v>48.52</v>
      </c>
      <c r="R882" t="s">
        <v>23</v>
      </c>
      <c r="S882">
        <f>Sheet1[[#This Row],[Ship_date]]-Sheet1[[#This Row],[Order_date]]</f>
        <v>4</v>
      </c>
      <c r="T882">
        <f>Sheet1[[#This Row],[Quantity]]*Sheet1[[#This Row],[Sales]]</f>
        <v>311</v>
      </c>
      <c r="U882">
        <f>Sheet1[[#This Row],[Total Sales]]*Sheet1[[#This Row],[Discount]]</f>
        <v>0</v>
      </c>
      <c r="V882" s="4">
        <f>Sheet1[[#This Row],[Total Sales]]-Sheet1[[#This Row],[Total Sales]]*Sheet1[[#This Row],[Discount]]</f>
        <v>311</v>
      </c>
      <c r="W882" s="4">
        <f>Sheet1[[#This Row],[Quantity]]*Sheet1[[#This Row],[Profit]]</f>
        <v>90.03</v>
      </c>
      <c r="X882" s="5">
        <f>Sheet1[[#This Row],[Total Profit]]/Sheet1[[#This Row],[Sales After Discount]]</f>
        <v>0.28948553054662379</v>
      </c>
      <c r="Y882" s="4">
        <f>Sheet1[[#This Row],[Shipping_cost]]*Sheet1[[#This Row],[Quantity]]</f>
        <v>48.52</v>
      </c>
      <c r="Z882" s="4">
        <f>Sheet1[[#This Row],[Total Profit]]-Sheet1[[#This Row],[Total Shipping Cost]]</f>
        <v>41.51</v>
      </c>
      <c r="AA882" s="4" t="str">
        <f>IF(Sheet1[[#This Row],[Net Profit]]&gt;0,"Profit","Loss")</f>
        <v>Profit</v>
      </c>
    </row>
    <row r="883" spans="1:27" x14ac:dyDescent="0.25">
      <c r="A883" t="s">
        <v>1122</v>
      </c>
      <c r="B883" s="1">
        <v>40605</v>
      </c>
      <c r="C883" s="1">
        <v>40609</v>
      </c>
      <c r="D883" t="s">
        <v>1</v>
      </c>
      <c r="E883" t="s">
        <v>319</v>
      </c>
      <c r="F883" t="s">
        <v>3</v>
      </c>
      <c r="G883" t="s">
        <v>848</v>
      </c>
      <c r="H883" t="s">
        <v>580</v>
      </c>
      <c r="I883" t="s">
        <v>6</v>
      </c>
      <c r="J883" t="s">
        <v>6</v>
      </c>
      <c r="K883" t="s">
        <v>38</v>
      </c>
      <c r="L883" t="s">
        <v>39</v>
      </c>
      <c r="M883">
        <v>598</v>
      </c>
      <c r="N883">
        <v>2</v>
      </c>
      <c r="O883">
        <v>0</v>
      </c>
      <c r="P883">
        <v>263.04000000000002</v>
      </c>
      <c r="Q883">
        <v>43.14</v>
      </c>
      <c r="R883" t="s">
        <v>23</v>
      </c>
      <c r="S883">
        <f>Sheet1[[#This Row],[Ship_date]]-Sheet1[[#This Row],[Order_date]]</f>
        <v>4</v>
      </c>
      <c r="T883">
        <f>Sheet1[[#This Row],[Quantity]]*Sheet1[[#This Row],[Sales]]</f>
        <v>1196</v>
      </c>
      <c r="U883">
        <f>Sheet1[[#This Row],[Total Sales]]*Sheet1[[#This Row],[Discount]]</f>
        <v>0</v>
      </c>
      <c r="V883" s="4">
        <f>Sheet1[[#This Row],[Total Sales]]-Sheet1[[#This Row],[Total Sales]]*Sheet1[[#This Row],[Discount]]</f>
        <v>1196</v>
      </c>
      <c r="W883" s="4">
        <f>Sheet1[[#This Row],[Quantity]]*Sheet1[[#This Row],[Profit]]</f>
        <v>526.08000000000004</v>
      </c>
      <c r="X883" s="5">
        <f>Sheet1[[#This Row],[Total Profit]]/Sheet1[[#This Row],[Sales After Discount]]</f>
        <v>0.43986622073578596</v>
      </c>
      <c r="Y883" s="4">
        <f>Sheet1[[#This Row],[Shipping_cost]]*Sheet1[[#This Row],[Quantity]]</f>
        <v>86.28</v>
      </c>
      <c r="Z883" s="4">
        <f>Sheet1[[#This Row],[Total Profit]]-Sheet1[[#This Row],[Total Shipping Cost]]</f>
        <v>439.80000000000007</v>
      </c>
      <c r="AA883" s="4" t="str">
        <f>IF(Sheet1[[#This Row],[Net Profit]]&gt;0,"Profit","Loss")</f>
        <v>Profit</v>
      </c>
    </row>
    <row r="884" spans="1:27" x14ac:dyDescent="0.25">
      <c r="A884" t="s">
        <v>1123</v>
      </c>
      <c r="B884" s="1">
        <v>40605</v>
      </c>
      <c r="C884" s="1">
        <v>40611</v>
      </c>
      <c r="D884" t="s">
        <v>1</v>
      </c>
      <c r="E884" t="s">
        <v>1124</v>
      </c>
      <c r="F884" t="s">
        <v>3</v>
      </c>
      <c r="G884" t="s">
        <v>1125</v>
      </c>
      <c r="H884" t="s">
        <v>1126</v>
      </c>
      <c r="I884" t="s">
        <v>22</v>
      </c>
      <c r="J884" t="s">
        <v>22</v>
      </c>
      <c r="K884" t="s">
        <v>38</v>
      </c>
      <c r="L884" t="s">
        <v>39</v>
      </c>
      <c r="M884">
        <v>489</v>
      </c>
      <c r="N884">
        <v>4</v>
      </c>
      <c r="O884">
        <v>0</v>
      </c>
      <c r="P884">
        <v>97.8</v>
      </c>
      <c r="Q884">
        <v>36.03</v>
      </c>
      <c r="R884" t="s">
        <v>9</v>
      </c>
      <c r="S884">
        <f>Sheet1[[#This Row],[Ship_date]]-Sheet1[[#This Row],[Order_date]]</f>
        <v>6</v>
      </c>
      <c r="T884">
        <f>Sheet1[[#This Row],[Quantity]]*Sheet1[[#This Row],[Sales]]</f>
        <v>1956</v>
      </c>
      <c r="U884">
        <f>Sheet1[[#This Row],[Total Sales]]*Sheet1[[#This Row],[Discount]]</f>
        <v>0</v>
      </c>
      <c r="V884" s="4">
        <f>Sheet1[[#This Row],[Total Sales]]-Sheet1[[#This Row],[Total Sales]]*Sheet1[[#This Row],[Discount]]</f>
        <v>1956</v>
      </c>
      <c r="W884" s="4">
        <f>Sheet1[[#This Row],[Quantity]]*Sheet1[[#This Row],[Profit]]</f>
        <v>391.2</v>
      </c>
      <c r="X884" s="5">
        <f>Sheet1[[#This Row],[Total Profit]]/Sheet1[[#This Row],[Sales After Discount]]</f>
        <v>0.19999999999999998</v>
      </c>
      <c r="Y884" s="4">
        <f>Sheet1[[#This Row],[Shipping_cost]]*Sheet1[[#This Row],[Quantity]]</f>
        <v>144.12</v>
      </c>
      <c r="Z884" s="4">
        <f>Sheet1[[#This Row],[Total Profit]]-Sheet1[[#This Row],[Total Shipping Cost]]</f>
        <v>247.07999999999998</v>
      </c>
      <c r="AA884" s="4" t="str">
        <f>IF(Sheet1[[#This Row],[Net Profit]]&gt;0,"Profit","Loss")</f>
        <v>Profit</v>
      </c>
    </row>
    <row r="885" spans="1:27" x14ac:dyDescent="0.25">
      <c r="A885" t="s">
        <v>1127</v>
      </c>
      <c r="B885" s="1">
        <v>40605</v>
      </c>
      <c r="C885" s="1">
        <v>40612</v>
      </c>
      <c r="D885" t="s">
        <v>1</v>
      </c>
      <c r="E885" t="s">
        <v>1128</v>
      </c>
      <c r="F885" t="s">
        <v>3</v>
      </c>
      <c r="G885" t="s">
        <v>1129</v>
      </c>
      <c r="H885" t="s">
        <v>1130</v>
      </c>
      <c r="I885" t="s">
        <v>75</v>
      </c>
      <c r="J885" t="s">
        <v>76</v>
      </c>
      <c r="K885" t="s">
        <v>38</v>
      </c>
      <c r="L885" t="s">
        <v>50</v>
      </c>
      <c r="M885">
        <v>825</v>
      </c>
      <c r="N885">
        <v>7</v>
      </c>
      <c r="O885">
        <v>0.40200000000000002</v>
      </c>
      <c r="P885">
        <v>-389.15940000000001</v>
      </c>
      <c r="Q885">
        <v>35.200000000000003</v>
      </c>
      <c r="R885" t="s">
        <v>51</v>
      </c>
      <c r="S885">
        <f>Sheet1[[#This Row],[Ship_date]]-Sheet1[[#This Row],[Order_date]]</f>
        <v>7</v>
      </c>
      <c r="T885">
        <f>Sheet1[[#This Row],[Quantity]]*Sheet1[[#This Row],[Sales]]</f>
        <v>5775</v>
      </c>
      <c r="U885">
        <f>Sheet1[[#This Row],[Total Sales]]*Sheet1[[#This Row],[Discount]]</f>
        <v>2321.5500000000002</v>
      </c>
      <c r="V885" s="4">
        <f>Sheet1[[#This Row],[Total Sales]]-Sheet1[[#This Row],[Total Sales]]*Sheet1[[#This Row],[Discount]]</f>
        <v>3453.45</v>
      </c>
      <c r="W885" s="4">
        <f>Sheet1[[#This Row],[Quantity]]*Sheet1[[#This Row],[Profit]]</f>
        <v>-2724.1158</v>
      </c>
      <c r="X885" s="5">
        <f>Sheet1[[#This Row],[Total Profit]]/Sheet1[[#This Row],[Sales After Discount]]</f>
        <v>-0.78880997263605968</v>
      </c>
      <c r="Y885" s="4">
        <f>Sheet1[[#This Row],[Shipping_cost]]*Sheet1[[#This Row],[Quantity]]</f>
        <v>246.40000000000003</v>
      </c>
      <c r="Z885" s="4">
        <f>Sheet1[[#This Row],[Total Profit]]-Sheet1[[#This Row],[Total Shipping Cost]]</f>
        <v>-2970.5158000000001</v>
      </c>
      <c r="AA885" s="4" t="str">
        <f>IF(Sheet1[[#This Row],[Net Profit]]&gt;0,"Profit","Loss")</f>
        <v>Loss</v>
      </c>
    </row>
    <row r="886" spans="1:27" x14ac:dyDescent="0.25">
      <c r="A886" t="s">
        <v>1131</v>
      </c>
      <c r="B886" s="1">
        <v>40605</v>
      </c>
      <c r="C886" s="1">
        <v>40610</v>
      </c>
      <c r="D886" t="s">
        <v>1</v>
      </c>
      <c r="E886" t="s">
        <v>1132</v>
      </c>
      <c r="F886" t="s">
        <v>43</v>
      </c>
      <c r="G886" t="s">
        <v>359</v>
      </c>
      <c r="H886" t="s">
        <v>126</v>
      </c>
      <c r="I886" t="s">
        <v>127</v>
      </c>
      <c r="J886" t="s">
        <v>173</v>
      </c>
      <c r="K886" t="s">
        <v>32</v>
      </c>
      <c r="L886" t="s">
        <v>67</v>
      </c>
      <c r="M886">
        <v>302</v>
      </c>
      <c r="N886">
        <v>5</v>
      </c>
      <c r="O886">
        <v>0.5</v>
      </c>
      <c r="P886">
        <v>-199.61699999999999</v>
      </c>
      <c r="Q886">
        <v>34.51</v>
      </c>
      <c r="R886" t="s">
        <v>9</v>
      </c>
      <c r="S886">
        <f>Sheet1[[#This Row],[Ship_date]]-Sheet1[[#This Row],[Order_date]]</f>
        <v>5</v>
      </c>
      <c r="T886">
        <f>Sheet1[[#This Row],[Quantity]]*Sheet1[[#This Row],[Sales]]</f>
        <v>1510</v>
      </c>
      <c r="U886">
        <f>Sheet1[[#This Row],[Total Sales]]*Sheet1[[#This Row],[Discount]]</f>
        <v>755</v>
      </c>
      <c r="V886" s="4">
        <f>Sheet1[[#This Row],[Total Sales]]-Sheet1[[#This Row],[Total Sales]]*Sheet1[[#This Row],[Discount]]</f>
        <v>755</v>
      </c>
      <c r="W886" s="4">
        <f>Sheet1[[#This Row],[Quantity]]*Sheet1[[#This Row],[Profit]]</f>
        <v>-998.08499999999992</v>
      </c>
      <c r="X886" s="5">
        <f>Sheet1[[#This Row],[Total Profit]]/Sheet1[[#This Row],[Sales After Discount]]</f>
        <v>-1.3219668874172184</v>
      </c>
      <c r="Y886" s="4">
        <f>Sheet1[[#This Row],[Shipping_cost]]*Sheet1[[#This Row],[Quantity]]</f>
        <v>172.54999999999998</v>
      </c>
      <c r="Z886" s="4">
        <f>Sheet1[[#This Row],[Total Profit]]-Sheet1[[#This Row],[Total Shipping Cost]]</f>
        <v>-1170.635</v>
      </c>
      <c r="AA886" s="4" t="str">
        <f>IF(Sheet1[[#This Row],[Net Profit]]&gt;0,"Profit","Loss")</f>
        <v>Loss</v>
      </c>
    </row>
    <row r="887" spans="1:27" x14ac:dyDescent="0.25">
      <c r="A887" t="s">
        <v>1133</v>
      </c>
      <c r="B887" s="1">
        <v>40605</v>
      </c>
      <c r="C887" s="1">
        <v>40609</v>
      </c>
      <c r="D887" t="s">
        <v>1</v>
      </c>
      <c r="E887" t="s">
        <v>1134</v>
      </c>
      <c r="F887" t="s">
        <v>3</v>
      </c>
      <c r="G887" t="s">
        <v>191</v>
      </c>
      <c r="H887" t="s">
        <v>126</v>
      </c>
      <c r="I887" t="s">
        <v>127</v>
      </c>
      <c r="J887" t="s">
        <v>192</v>
      </c>
      <c r="K887" t="s">
        <v>32</v>
      </c>
      <c r="L887" t="s">
        <v>62</v>
      </c>
      <c r="M887">
        <v>626</v>
      </c>
      <c r="N887">
        <v>3</v>
      </c>
      <c r="O887">
        <v>0.2</v>
      </c>
      <c r="P887">
        <v>-23.488199999999999</v>
      </c>
      <c r="Q887">
        <v>32.549999999999997</v>
      </c>
      <c r="R887" t="s">
        <v>9</v>
      </c>
      <c r="S887">
        <f>Sheet1[[#This Row],[Ship_date]]-Sheet1[[#This Row],[Order_date]]</f>
        <v>4</v>
      </c>
      <c r="T887">
        <f>Sheet1[[#This Row],[Quantity]]*Sheet1[[#This Row],[Sales]]</f>
        <v>1878</v>
      </c>
      <c r="U887">
        <f>Sheet1[[#This Row],[Total Sales]]*Sheet1[[#This Row],[Discount]]</f>
        <v>375.6</v>
      </c>
      <c r="V887" s="4">
        <f>Sheet1[[#This Row],[Total Sales]]-Sheet1[[#This Row],[Total Sales]]*Sheet1[[#This Row],[Discount]]</f>
        <v>1502.4</v>
      </c>
      <c r="W887" s="4">
        <f>Sheet1[[#This Row],[Quantity]]*Sheet1[[#This Row],[Profit]]</f>
        <v>-70.46459999999999</v>
      </c>
      <c r="X887" s="5">
        <f>Sheet1[[#This Row],[Total Profit]]/Sheet1[[#This Row],[Sales After Discount]]</f>
        <v>-4.690135782747603E-2</v>
      </c>
      <c r="Y887" s="4">
        <f>Sheet1[[#This Row],[Shipping_cost]]*Sheet1[[#This Row],[Quantity]]</f>
        <v>97.649999999999991</v>
      </c>
      <c r="Z887" s="4">
        <f>Sheet1[[#This Row],[Total Profit]]-Sheet1[[#This Row],[Total Shipping Cost]]</f>
        <v>-168.1146</v>
      </c>
      <c r="AA887" s="4" t="str">
        <f>IF(Sheet1[[#This Row],[Net Profit]]&gt;0,"Profit","Loss")</f>
        <v>Loss</v>
      </c>
    </row>
    <row r="888" spans="1:27" x14ac:dyDescent="0.25">
      <c r="A888" t="s">
        <v>1123</v>
      </c>
      <c r="B888" s="1">
        <v>40605</v>
      </c>
      <c r="C888" s="1">
        <v>40611</v>
      </c>
      <c r="D888" t="s">
        <v>1</v>
      </c>
      <c r="E888" t="s">
        <v>1124</v>
      </c>
      <c r="F888" t="s">
        <v>3</v>
      </c>
      <c r="G888" t="s">
        <v>1125</v>
      </c>
      <c r="H888" t="s">
        <v>1126</v>
      </c>
      <c r="I888" t="s">
        <v>22</v>
      </c>
      <c r="J888" t="s">
        <v>22</v>
      </c>
      <c r="K888" t="s">
        <v>32</v>
      </c>
      <c r="L888" t="s">
        <v>67</v>
      </c>
      <c r="M888">
        <v>492</v>
      </c>
      <c r="N888">
        <v>4</v>
      </c>
      <c r="O888">
        <v>0</v>
      </c>
      <c r="P888">
        <v>4.8</v>
      </c>
      <c r="Q888">
        <v>27.75</v>
      </c>
      <c r="R888" t="s">
        <v>9</v>
      </c>
      <c r="S888">
        <f>Sheet1[[#This Row],[Ship_date]]-Sheet1[[#This Row],[Order_date]]</f>
        <v>6</v>
      </c>
      <c r="T888">
        <f>Sheet1[[#This Row],[Quantity]]*Sheet1[[#This Row],[Sales]]</f>
        <v>1968</v>
      </c>
      <c r="U888">
        <f>Sheet1[[#This Row],[Total Sales]]*Sheet1[[#This Row],[Discount]]</f>
        <v>0</v>
      </c>
      <c r="V888" s="4">
        <f>Sheet1[[#This Row],[Total Sales]]-Sheet1[[#This Row],[Total Sales]]*Sheet1[[#This Row],[Discount]]</f>
        <v>1968</v>
      </c>
      <c r="W888" s="4">
        <f>Sheet1[[#This Row],[Quantity]]*Sheet1[[#This Row],[Profit]]</f>
        <v>19.2</v>
      </c>
      <c r="X888" s="5">
        <f>Sheet1[[#This Row],[Total Profit]]/Sheet1[[#This Row],[Sales After Discount]]</f>
        <v>9.7560975609756097E-3</v>
      </c>
      <c r="Y888" s="4">
        <f>Sheet1[[#This Row],[Shipping_cost]]*Sheet1[[#This Row],[Quantity]]</f>
        <v>111</v>
      </c>
      <c r="Z888" s="4">
        <f>Sheet1[[#This Row],[Total Profit]]-Sheet1[[#This Row],[Total Shipping Cost]]</f>
        <v>-91.8</v>
      </c>
      <c r="AA888" s="4" t="str">
        <f>IF(Sheet1[[#This Row],[Net Profit]]&gt;0,"Profit","Loss")</f>
        <v>Loss</v>
      </c>
    </row>
    <row r="889" spans="1:27" x14ac:dyDescent="0.25">
      <c r="A889" t="s">
        <v>1135</v>
      </c>
      <c r="B889" s="1">
        <v>40605</v>
      </c>
      <c r="C889" s="1">
        <v>40610</v>
      </c>
      <c r="D889" t="s">
        <v>1</v>
      </c>
      <c r="E889" t="s">
        <v>1136</v>
      </c>
      <c r="F889" t="s">
        <v>26</v>
      </c>
      <c r="G889" t="s">
        <v>649</v>
      </c>
      <c r="H889" t="s">
        <v>126</v>
      </c>
      <c r="I889" t="s">
        <v>127</v>
      </c>
      <c r="J889" t="s">
        <v>173</v>
      </c>
      <c r="K889" t="s">
        <v>7</v>
      </c>
      <c r="L889" t="s">
        <v>137</v>
      </c>
      <c r="M889">
        <v>126</v>
      </c>
      <c r="N889">
        <v>3</v>
      </c>
      <c r="O889">
        <v>0.2</v>
      </c>
      <c r="P889">
        <v>40.872</v>
      </c>
      <c r="Q889">
        <v>22.16</v>
      </c>
      <c r="R889" t="s">
        <v>23</v>
      </c>
      <c r="S889">
        <f>Sheet1[[#This Row],[Ship_date]]-Sheet1[[#This Row],[Order_date]]</f>
        <v>5</v>
      </c>
      <c r="T889">
        <f>Sheet1[[#This Row],[Quantity]]*Sheet1[[#This Row],[Sales]]</f>
        <v>378</v>
      </c>
      <c r="U889">
        <f>Sheet1[[#This Row],[Total Sales]]*Sheet1[[#This Row],[Discount]]</f>
        <v>75.600000000000009</v>
      </c>
      <c r="V889" s="4">
        <f>Sheet1[[#This Row],[Total Sales]]-Sheet1[[#This Row],[Total Sales]]*Sheet1[[#This Row],[Discount]]</f>
        <v>302.39999999999998</v>
      </c>
      <c r="W889" s="4">
        <f>Sheet1[[#This Row],[Quantity]]*Sheet1[[#This Row],[Profit]]</f>
        <v>122.616</v>
      </c>
      <c r="X889" s="5">
        <f>Sheet1[[#This Row],[Total Profit]]/Sheet1[[#This Row],[Sales After Discount]]</f>
        <v>0.40547619047619049</v>
      </c>
      <c r="Y889" s="4">
        <f>Sheet1[[#This Row],[Shipping_cost]]*Sheet1[[#This Row],[Quantity]]</f>
        <v>66.48</v>
      </c>
      <c r="Z889" s="4">
        <f>Sheet1[[#This Row],[Total Profit]]-Sheet1[[#This Row],[Total Shipping Cost]]</f>
        <v>56.135999999999996</v>
      </c>
      <c r="AA889" s="4" t="str">
        <f>IF(Sheet1[[#This Row],[Net Profit]]&gt;0,"Profit","Loss")</f>
        <v>Profit</v>
      </c>
    </row>
    <row r="890" spans="1:27" x14ac:dyDescent="0.25">
      <c r="A890" t="s">
        <v>1127</v>
      </c>
      <c r="B890" s="1">
        <v>40605</v>
      </c>
      <c r="C890" s="1">
        <v>40612</v>
      </c>
      <c r="D890" t="s">
        <v>1</v>
      </c>
      <c r="E890" t="s">
        <v>1128</v>
      </c>
      <c r="F890" t="s">
        <v>3</v>
      </c>
      <c r="G890" t="s">
        <v>1129</v>
      </c>
      <c r="H890" t="s">
        <v>1130</v>
      </c>
      <c r="I890" t="s">
        <v>75</v>
      </c>
      <c r="J890" t="s">
        <v>76</v>
      </c>
      <c r="K890" t="s">
        <v>38</v>
      </c>
      <c r="L890" t="s">
        <v>77</v>
      </c>
      <c r="M890">
        <v>334</v>
      </c>
      <c r="N890">
        <v>5</v>
      </c>
      <c r="O890">
        <v>0.4</v>
      </c>
      <c r="P890">
        <v>-200.24</v>
      </c>
      <c r="Q890">
        <v>19.72</v>
      </c>
      <c r="R890" t="s">
        <v>51</v>
      </c>
      <c r="S890">
        <f>Sheet1[[#This Row],[Ship_date]]-Sheet1[[#This Row],[Order_date]]</f>
        <v>7</v>
      </c>
      <c r="T890">
        <f>Sheet1[[#This Row],[Quantity]]*Sheet1[[#This Row],[Sales]]</f>
        <v>1670</v>
      </c>
      <c r="U890">
        <f>Sheet1[[#This Row],[Total Sales]]*Sheet1[[#This Row],[Discount]]</f>
        <v>668</v>
      </c>
      <c r="V890" s="4">
        <f>Sheet1[[#This Row],[Total Sales]]-Sheet1[[#This Row],[Total Sales]]*Sheet1[[#This Row],[Discount]]</f>
        <v>1002</v>
      </c>
      <c r="W890" s="4">
        <f>Sheet1[[#This Row],[Quantity]]*Sheet1[[#This Row],[Profit]]</f>
        <v>-1001.2</v>
      </c>
      <c r="X890" s="5">
        <f>Sheet1[[#This Row],[Total Profit]]/Sheet1[[#This Row],[Sales After Discount]]</f>
        <v>-0.99920159680638732</v>
      </c>
      <c r="Y890" s="4">
        <f>Sheet1[[#This Row],[Shipping_cost]]*Sheet1[[#This Row],[Quantity]]</f>
        <v>98.6</v>
      </c>
      <c r="Z890" s="4">
        <f>Sheet1[[#This Row],[Total Profit]]-Sheet1[[#This Row],[Total Shipping Cost]]</f>
        <v>-1099.8</v>
      </c>
      <c r="AA890" s="4" t="str">
        <f>IF(Sheet1[[#This Row],[Net Profit]]&gt;0,"Profit","Loss")</f>
        <v>Loss</v>
      </c>
    </row>
    <row r="891" spans="1:27" x14ac:dyDescent="0.25">
      <c r="A891" t="s">
        <v>1119</v>
      </c>
      <c r="B891" s="1">
        <v>40605</v>
      </c>
      <c r="C891" s="1">
        <v>40610</v>
      </c>
      <c r="D891" t="s">
        <v>18</v>
      </c>
      <c r="E891" t="s">
        <v>662</v>
      </c>
      <c r="F891" t="s">
        <v>3</v>
      </c>
      <c r="G891" t="s">
        <v>677</v>
      </c>
      <c r="H891" t="s">
        <v>678</v>
      </c>
      <c r="I891" t="s">
        <v>14</v>
      </c>
      <c r="J891" t="s">
        <v>281</v>
      </c>
      <c r="K891" t="s">
        <v>38</v>
      </c>
      <c r="L891" t="s">
        <v>50</v>
      </c>
      <c r="M891">
        <v>731</v>
      </c>
      <c r="N891">
        <v>3</v>
      </c>
      <c r="O891">
        <v>0</v>
      </c>
      <c r="P891">
        <v>160.83000000000001</v>
      </c>
      <c r="Q891">
        <v>18.07</v>
      </c>
      <c r="R891" t="s">
        <v>23</v>
      </c>
      <c r="S891">
        <f>Sheet1[[#This Row],[Ship_date]]-Sheet1[[#This Row],[Order_date]]</f>
        <v>5</v>
      </c>
      <c r="T891">
        <f>Sheet1[[#This Row],[Quantity]]*Sheet1[[#This Row],[Sales]]</f>
        <v>2193</v>
      </c>
      <c r="U891">
        <f>Sheet1[[#This Row],[Total Sales]]*Sheet1[[#This Row],[Discount]]</f>
        <v>0</v>
      </c>
      <c r="V891" s="4">
        <f>Sheet1[[#This Row],[Total Sales]]-Sheet1[[#This Row],[Total Sales]]*Sheet1[[#This Row],[Discount]]</f>
        <v>2193</v>
      </c>
      <c r="W891" s="4">
        <f>Sheet1[[#This Row],[Quantity]]*Sheet1[[#This Row],[Profit]]</f>
        <v>482.49</v>
      </c>
      <c r="X891" s="5">
        <f>Sheet1[[#This Row],[Total Profit]]/Sheet1[[#This Row],[Sales After Discount]]</f>
        <v>0.22001367989056089</v>
      </c>
      <c r="Y891" s="4">
        <f>Sheet1[[#This Row],[Shipping_cost]]*Sheet1[[#This Row],[Quantity]]</f>
        <v>54.21</v>
      </c>
      <c r="Z891" s="4">
        <f>Sheet1[[#This Row],[Total Profit]]-Sheet1[[#This Row],[Total Shipping Cost]]</f>
        <v>428.28000000000003</v>
      </c>
      <c r="AA891" s="4" t="str">
        <f>IF(Sheet1[[#This Row],[Net Profit]]&gt;0,"Profit","Loss")</f>
        <v>Profit</v>
      </c>
    </row>
    <row r="892" spans="1:27" x14ac:dyDescent="0.25">
      <c r="A892" t="s">
        <v>1137</v>
      </c>
      <c r="B892" s="1">
        <v>40605</v>
      </c>
      <c r="C892" s="1">
        <v>40609</v>
      </c>
      <c r="D892" t="s">
        <v>1</v>
      </c>
      <c r="E892" t="s">
        <v>1136</v>
      </c>
      <c r="F892" t="s">
        <v>26</v>
      </c>
      <c r="G892" t="s">
        <v>240</v>
      </c>
      <c r="H892" t="s">
        <v>241</v>
      </c>
      <c r="I892" t="s">
        <v>6</v>
      </c>
      <c r="J892" t="s">
        <v>6</v>
      </c>
      <c r="K892" t="s">
        <v>7</v>
      </c>
      <c r="L892" t="s">
        <v>44</v>
      </c>
      <c r="M892">
        <v>140</v>
      </c>
      <c r="N892">
        <v>2</v>
      </c>
      <c r="O892">
        <v>0</v>
      </c>
      <c r="P892">
        <v>57.3</v>
      </c>
      <c r="Q892">
        <v>11.09</v>
      </c>
      <c r="R892" t="s">
        <v>9</v>
      </c>
      <c r="S892">
        <f>Sheet1[[#This Row],[Ship_date]]-Sheet1[[#This Row],[Order_date]]</f>
        <v>4</v>
      </c>
      <c r="T892">
        <f>Sheet1[[#This Row],[Quantity]]*Sheet1[[#This Row],[Sales]]</f>
        <v>280</v>
      </c>
      <c r="U892">
        <f>Sheet1[[#This Row],[Total Sales]]*Sheet1[[#This Row],[Discount]]</f>
        <v>0</v>
      </c>
      <c r="V892" s="4">
        <f>Sheet1[[#This Row],[Total Sales]]-Sheet1[[#This Row],[Total Sales]]*Sheet1[[#This Row],[Discount]]</f>
        <v>280</v>
      </c>
      <c r="W892" s="4">
        <f>Sheet1[[#This Row],[Quantity]]*Sheet1[[#This Row],[Profit]]</f>
        <v>114.6</v>
      </c>
      <c r="X892" s="5">
        <f>Sheet1[[#This Row],[Total Profit]]/Sheet1[[#This Row],[Sales After Discount]]</f>
        <v>0.40928571428571425</v>
      </c>
      <c r="Y892" s="4">
        <f>Sheet1[[#This Row],[Shipping_cost]]*Sheet1[[#This Row],[Quantity]]</f>
        <v>22.18</v>
      </c>
      <c r="Z892" s="4">
        <f>Sheet1[[#This Row],[Total Profit]]-Sheet1[[#This Row],[Total Shipping Cost]]</f>
        <v>92.419999999999987</v>
      </c>
      <c r="AA892" s="4" t="str">
        <f>IF(Sheet1[[#This Row],[Net Profit]]&gt;0,"Profit","Loss")</f>
        <v>Profit</v>
      </c>
    </row>
    <row r="893" spans="1:27" x14ac:dyDescent="0.25">
      <c r="A893" t="s">
        <v>1138</v>
      </c>
      <c r="B893" s="1">
        <v>40605</v>
      </c>
      <c r="C893" s="1">
        <v>40609</v>
      </c>
      <c r="D893" t="s">
        <v>1</v>
      </c>
      <c r="E893" t="s">
        <v>944</v>
      </c>
      <c r="F893" t="s">
        <v>3</v>
      </c>
      <c r="G893" t="s">
        <v>125</v>
      </c>
      <c r="H893" t="s">
        <v>126</v>
      </c>
      <c r="I893" t="s">
        <v>127</v>
      </c>
      <c r="J893" t="s">
        <v>76</v>
      </c>
      <c r="K893" t="s">
        <v>7</v>
      </c>
      <c r="L893" t="s">
        <v>44</v>
      </c>
      <c r="M893">
        <v>177</v>
      </c>
      <c r="N893">
        <v>3</v>
      </c>
      <c r="O893">
        <v>0.8</v>
      </c>
      <c r="P893">
        <v>-459.60719999999998</v>
      </c>
      <c r="Q893">
        <v>10.65</v>
      </c>
      <c r="R893" t="s">
        <v>9</v>
      </c>
      <c r="S893">
        <f>Sheet1[[#This Row],[Ship_date]]-Sheet1[[#This Row],[Order_date]]</f>
        <v>4</v>
      </c>
      <c r="T893">
        <f>Sheet1[[#This Row],[Quantity]]*Sheet1[[#This Row],[Sales]]</f>
        <v>531</v>
      </c>
      <c r="U893">
        <f>Sheet1[[#This Row],[Total Sales]]*Sheet1[[#This Row],[Discount]]</f>
        <v>424.8</v>
      </c>
      <c r="V893" s="4">
        <f>Sheet1[[#This Row],[Total Sales]]-Sheet1[[#This Row],[Total Sales]]*Sheet1[[#This Row],[Discount]]</f>
        <v>106.19999999999999</v>
      </c>
      <c r="W893" s="4">
        <f>Sheet1[[#This Row],[Quantity]]*Sheet1[[#This Row],[Profit]]</f>
        <v>-1378.8216</v>
      </c>
      <c r="X893" s="5">
        <f>Sheet1[[#This Row],[Total Profit]]/Sheet1[[#This Row],[Sales After Discount]]</f>
        <v>-12.983254237288136</v>
      </c>
      <c r="Y893" s="4">
        <f>Sheet1[[#This Row],[Shipping_cost]]*Sheet1[[#This Row],[Quantity]]</f>
        <v>31.950000000000003</v>
      </c>
      <c r="Z893" s="4">
        <f>Sheet1[[#This Row],[Total Profit]]-Sheet1[[#This Row],[Total Shipping Cost]]</f>
        <v>-1410.7716</v>
      </c>
      <c r="AA893" s="4" t="str">
        <f>IF(Sheet1[[#This Row],[Net Profit]]&gt;0,"Profit","Loss")</f>
        <v>Loss</v>
      </c>
    </row>
    <row r="894" spans="1:27" x14ac:dyDescent="0.25">
      <c r="A894" t="s">
        <v>1139</v>
      </c>
      <c r="B894" s="1">
        <v>40605</v>
      </c>
      <c r="C894" s="1">
        <v>40611</v>
      </c>
      <c r="D894" t="s">
        <v>1</v>
      </c>
      <c r="E894" t="s">
        <v>734</v>
      </c>
      <c r="F894" t="s">
        <v>3</v>
      </c>
      <c r="G894" t="s">
        <v>195</v>
      </c>
      <c r="H894" t="s">
        <v>5</v>
      </c>
      <c r="I894" t="s">
        <v>6</v>
      </c>
      <c r="J894" t="s">
        <v>6</v>
      </c>
      <c r="K894" t="s">
        <v>32</v>
      </c>
      <c r="L894" t="s">
        <v>33</v>
      </c>
      <c r="M894">
        <v>113</v>
      </c>
      <c r="N894">
        <v>1</v>
      </c>
      <c r="O894">
        <v>0</v>
      </c>
      <c r="P894">
        <v>29.43</v>
      </c>
      <c r="Q894">
        <v>9.51</v>
      </c>
      <c r="R894" t="s">
        <v>9</v>
      </c>
      <c r="S894">
        <f>Sheet1[[#This Row],[Ship_date]]-Sheet1[[#This Row],[Order_date]]</f>
        <v>6</v>
      </c>
      <c r="T894">
        <f>Sheet1[[#This Row],[Quantity]]*Sheet1[[#This Row],[Sales]]</f>
        <v>113</v>
      </c>
      <c r="U894">
        <f>Sheet1[[#This Row],[Total Sales]]*Sheet1[[#This Row],[Discount]]</f>
        <v>0</v>
      </c>
      <c r="V894" s="4">
        <f>Sheet1[[#This Row],[Total Sales]]-Sheet1[[#This Row],[Total Sales]]*Sheet1[[#This Row],[Discount]]</f>
        <v>113</v>
      </c>
      <c r="W894" s="4">
        <f>Sheet1[[#This Row],[Quantity]]*Sheet1[[#This Row],[Profit]]</f>
        <v>29.43</v>
      </c>
      <c r="X894" s="5">
        <f>Sheet1[[#This Row],[Total Profit]]/Sheet1[[#This Row],[Sales After Discount]]</f>
        <v>0.26044247787610619</v>
      </c>
      <c r="Y894" s="4">
        <f>Sheet1[[#This Row],[Shipping_cost]]*Sheet1[[#This Row],[Quantity]]</f>
        <v>9.51</v>
      </c>
      <c r="Z894" s="4">
        <f>Sheet1[[#This Row],[Total Profit]]-Sheet1[[#This Row],[Total Shipping Cost]]</f>
        <v>19.920000000000002</v>
      </c>
      <c r="AA894" s="4" t="str">
        <f>IF(Sheet1[[#This Row],[Net Profit]]&gt;0,"Profit","Loss")</f>
        <v>Profit</v>
      </c>
    </row>
    <row r="895" spans="1:27" x14ac:dyDescent="0.25">
      <c r="A895" t="s">
        <v>1140</v>
      </c>
      <c r="B895" s="1">
        <v>40605</v>
      </c>
      <c r="C895" s="1">
        <v>40612</v>
      </c>
      <c r="D895" t="s">
        <v>1</v>
      </c>
      <c r="E895" t="s">
        <v>1141</v>
      </c>
      <c r="F895" t="s">
        <v>3</v>
      </c>
      <c r="G895" t="s">
        <v>1142</v>
      </c>
      <c r="H895" t="s">
        <v>223</v>
      </c>
      <c r="I895" t="s">
        <v>6</v>
      </c>
      <c r="J895" t="s">
        <v>6</v>
      </c>
      <c r="K895" t="s">
        <v>7</v>
      </c>
      <c r="L895" t="s">
        <v>8</v>
      </c>
      <c r="M895">
        <v>119</v>
      </c>
      <c r="N895">
        <v>2</v>
      </c>
      <c r="O895">
        <v>0.7</v>
      </c>
      <c r="P895">
        <v>-99.27</v>
      </c>
      <c r="Q895">
        <v>9.39</v>
      </c>
      <c r="R895" t="s">
        <v>9</v>
      </c>
      <c r="S895">
        <f>Sheet1[[#This Row],[Ship_date]]-Sheet1[[#This Row],[Order_date]]</f>
        <v>7</v>
      </c>
      <c r="T895">
        <f>Sheet1[[#This Row],[Quantity]]*Sheet1[[#This Row],[Sales]]</f>
        <v>238</v>
      </c>
      <c r="U895">
        <f>Sheet1[[#This Row],[Total Sales]]*Sheet1[[#This Row],[Discount]]</f>
        <v>166.6</v>
      </c>
      <c r="V895" s="4">
        <f>Sheet1[[#This Row],[Total Sales]]-Sheet1[[#This Row],[Total Sales]]*Sheet1[[#This Row],[Discount]]</f>
        <v>71.400000000000006</v>
      </c>
      <c r="W895" s="4">
        <f>Sheet1[[#This Row],[Quantity]]*Sheet1[[#This Row],[Profit]]</f>
        <v>-198.54</v>
      </c>
      <c r="X895" s="5">
        <f>Sheet1[[#This Row],[Total Profit]]/Sheet1[[#This Row],[Sales After Discount]]</f>
        <v>-2.7806722689075625</v>
      </c>
      <c r="Y895" s="4">
        <f>Sheet1[[#This Row],[Shipping_cost]]*Sheet1[[#This Row],[Quantity]]</f>
        <v>18.78</v>
      </c>
      <c r="Z895" s="4">
        <f>Sheet1[[#This Row],[Total Profit]]-Sheet1[[#This Row],[Total Shipping Cost]]</f>
        <v>-217.32</v>
      </c>
      <c r="AA895" s="4" t="str">
        <f>IF(Sheet1[[#This Row],[Net Profit]]&gt;0,"Profit","Loss")</f>
        <v>Loss</v>
      </c>
    </row>
    <row r="896" spans="1:27" x14ac:dyDescent="0.25">
      <c r="A896" t="s">
        <v>1123</v>
      </c>
      <c r="B896" s="1">
        <v>40605</v>
      </c>
      <c r="C896" s="1">
        <v>40611</v>
      </c>
      <c r="D896" t="s">
        <v>1</v>
      </c>
      <c r="E896" t="s">
        <v>1124</v>
      </c>
      <c r="F896" t="s">
        <v>3</v>
      </c>
      <c r="G896" t="s">
        <v>1125</v>
      </c>
      <c r="H896" t="s">
        <v>1126</v>
      </c>
      <c r="I896" t="s">
        <v>22</v>
      </c>
      <c r="J896" t="s">
        <v>22</v>
      </c>
      <c r="K896" t="s">
        <v>38</v>
      </c>
      <c r="L896" t="s">
        <v>77</v>
      </c>
      <c r="M896">
        <v>126</v>
      </c>
      <c r="N896">
        <v>1</v>
      </c>
      <c r="O896">
        <v>0</v>
      </c>
      <c r="P896">
        <v>27.75</v>
      </c>
      <c r="Q896">
        <v>7.47</v>
      </c>
      <c r="R896" t="s">
        <v>9</v>
      </c>
      <c r="S896">
        <f>Sheet1[[#This Row],[Ship_date]]-Sheet1[[#This Row],[Order_date]]</f>
        <v>6</v>
      </c>
      <c r="T896">
        <f>Sheet1[[#This Row],[Quantity]]*Sheet1[[#This Row],[Sales]]</f>
        <v>126</v>
      </c>
      <c r="U896">
        <f>Sheet1[[#This Row],[Total Sales]]*Sheet1[[#This Row],[Discount]]</f>
        <v>0</v>
      </c>
      <c r="V896" s="4">
        <f>Sheet1[[#This Row],[Total Sales]]-Sheet1[[#This Row],[Total Sales]]*Sheet1[[#This Row],[Discount]]</f>
        <v>126</v>
      </c>
      <c r="W896" s="4">
        <f>Sheet1[[#This Row],[Quantity]]*Sheet1[[#This Row],[Profit]]</f>
        <v>27.75</v>
      </c>
      <c r="X896" s="5">
        <f>Sheet1[[#This Row],[Total Profit]]/Sheet1[[#This Row],[Sales After Discount]]</f>
        <v>0.22023809523809523</v>
      </c>
      <c r="Y896" s="4">
        <f>Sheet1[[#This Row],[Shipping_cost]]*Sheet1[[#This Row],[Quantity]]</f>
        <v>7.47</v>
      </c>
      <c r="Z896" s="4">
        <f>Sheet1[[#This Row],[Total Profit]]-Sheet1[[#This Row],[Total Shipping Cost]]</f>
        <v>20.28</v>
      </c>
      <c r="AA896" s="4" t="str">
        <f>IF(Sheet1[[#This Row],[Net Profit]]&gt;0,"Profit","Loss")</f>
        <v>Profit</v>
      </c>
    </row>
    <row r="897" spans="1:27" x14ac:dyDescent="0.25">
      <c r="A897" t="s">
        <v>1143</v>
      </c>
      <c r="B897" s="1">
        <v>40605</v>
      </c>
      <c r="C897" s="1">
        <v>40611</v>
      </c>
      <c r="D897" t="s">
        <v>1</v>
      </c>
      <c r="E897" t="s">
        <v>653</v>
      </c>
      <c r="F897" t="s">
        <v>3</v>
      </c>
      <c r="G897" t="s">
        <v>520</v>
      </c>
      <c r="H897" t="s">
        <v>298</v>
      </c>
      <c r="I897" t="s">
        <v>29</v>
      </c>
      <c r="J897" t="s">
        <v>102</v>
      </c>
      <c r="K897" t="s">
        <v>7</v>
      </c>
      <c r="L897" t="s">
        <v>97</v>
      </c>
      <c r="M897">
        <v>58</v>
      </c>
      <c r="N897">
        <v>3</v>
      </c>
      <c r="O897">
        <v>0</v>
      </c>
      <c r="P897">
        <v>28.8</v>
      </c>
      <c r="Q897">
        <v>6.89</v>
      </c>
      <c r="R897" t="s">
        <v>51</v>
      </c>
      <c r="S897">
        <f>Sheet1[[#This Row],[Ship_date]]-Sheet1[[#This Row],[Order_date]]</f>
        <v>6</v>
      </c>
      <c r="T897">
        <f>Sheet1[[#This Row],[Quantity]]*Sheet1[[#This Row],[Sales]]</f>
        <v>174</v>
      </c>
      <c r="U897">
        <f>Sheet1[[#This Row],[Total Sales]]*Sheet1[[#This Row],[Discount]]</f>
        <v>0</v>
      </c>
      <c r="V897" s="4">
        <f>Sheet1[[#This Row],[Total Sales]]-Sheet1[[#This Row],[Total Sales]]*Sheet1[[#This Row],[Discount]]</f>
        <v>174</v>
      </c>
      <c r="W897" s="4">
        <f>Sheet1[[#This Row],[Quantity]]*Sheet1[[#This Row],[Profit]]</f>
        <v>86.4</v>
      </c>
      <c r="X897" s="5">
        <f>Sheet1[[#This Row],[Total Profit]]/Sheet1[[#This Row],[Sales After Discount]]</f>
        <v>0.49655172413793108</v>
      </c>
      <c r="Y897" s="4">
        <f>Sheet1[[#This Row],[Shipping_cost]]*Sheet1[[#This Row],[Quantity]]</f>
        <v>20.669999999999998</v>
      </c>
      <c r="Z897" s="4">
        <f>Sheet1[[#This Row],[Total Profit]]-Sheet1[[#This Row],[Total Shipping Cost]]</f>
        <v>65.73</v>
      </c>
      <c r="AA897" s="4" t="str">
        <f>IF(Sheet1[[#This Row],[Net Profit]]&gt;0,"Profit","Loss")</f>
        <v>Profit</v>
      </c>
    </row>
    <row r="898" spans="1:27" x14ac:dyDescent="0.25">
      <c r="A898" t="s">
        <v>1144</v>
      </c>
      <c r="B898" s="1">
        <v>40605</v>
      </c>
      <c r="C898" s="1">
        <v>40609</v>
      </c>
      <c r="D898" t="s">
        <v>1</v>
      </c>
      <c r="E898" t="s">
        <v>1145</v>
      </c>
      <c r="F898" t="s">
        <v>3</v>
      </c>
      <c r="G898" t="s">
        <v>1146</v>
      </c>
      <c r="H898" t="s">
        <v>1147</v>
      </c>
      <c r="I898" t="s">
        <v>22</v>
      </c>
      <c r="J898" t="s">
        <v>22</v>
      </c>
      <c r="K898" t="s">
        <v>38</v>
      </c>
      <c r="L898" t="s">
        <v>82</v>
      </c>
      <c r="M898">
        <v>69</v>
      </c>
      <c r="N898">
        <v>1</v>
      </c>
      <c r="O898">
        <v>0</v>
      </c>
      <c r="P898">
        <v>1.38</v>
      </c>
      <c r="Q898">
        <v>5.58</v>
      </c>
      <c r="R898" t="s">
        <v>9</v>
      </c>
      <c r="S898">
        <f>Sheet1[[#This Row],[Ship_date]]-Sheet1[[#This Row],[Order_date]]</f>
        <v>4</v>
      </c>
      <c r="T898">
        <f>Sheet1[[#This Row],[Quantity]]*Sheet1[[#This Row],[Sales]]</f>
        <v>69</v>
      </c>
      <c r="U898">
        <f>Sheet1[[#This Row],[Total Sales]]*Sheet1[[#This Row],[Discount]]</f>
        <v>0</v>
      </c>
      <c r="V898" s="4">
        <f>Sheet1[[#This Row],[Total Sales]]-Sheet1[[#This Row],[Total Sales]]*Sheet1[[#This Row],[Discount]]</f>
        <v>69</v>
      </c>
      <c r="W898" s="4">
        <f>Sheet1[[#This Row],[Quantity]]*Sheet1[[#This Row],[Profit]]</f>
        <v>1.38</v>
      </c>
      <c r="X898" s="5">
        <f>Sheet1[[#This Row],[Total Profit]]/Sheet1[[#This Row],[Sales After Discount]]</f>
        <v>1.9999999999999997E-2</v>
      </c>
      <c r="Y898" s="4">
        <f>Sheet1[[#This Row],[Shipping_cost]]*Sheet1[[#This Row],[Quantity]]</f>
        <v>5.58</v>
      </c>
      <c r="Z898" s="4">
        <f>Sheet1[[#This Row],[Total Profit]]-Sheet1[[#This Row],[Total Shipping Cost]]</f>
        <v>-4.2</v>
      </c>
      <c r="AA898" s="4" t="str">
        <f>IF(Sheet1[[#This Row],[Net Profit]]&gt;0,"Profit","Loss")</f>
        <v>Loss</v>
      </c>
    </row>
    <row r="899" spans="1:27" x14ac:dyDescent="0.25">
      <c r="A899" t="s">
        <v>1148</v>
      </c>
      <c r="B899" s="1">
        <v>40605</v>
      </c>
      <c r="C899" s="1">
        <v>40608</v>
      </c>
      <c r="D899" t="s">
        <v>18</v>
      </c>
      <c r="E899" t="s">
        <v>1149</v>
      </c>
      <c r="F899" t="s">
        <v>26</v>
      </c>
      <c r="G899" t="s">
        <v>1150</v>
      </c>
      <c r="H899" t="s">
        <v>115</v>
      </c>
      <c r="I899" t="s">
        <v>29</v>
      </c>
      <c r="J899" t="s">
        <v>76</v>
      </c>
      <c r="K899" t="s">
        <v>7</v>
      </c>
      <c r="L899" t="s">
        <v>8</v>
      </c>
      <c r="M899">
        <v>42</v>
      </c>
      <c r="N899">
        <v>2</v>
      </c>
      <c r="O899">
        <v>0.1</v>
      </c>
      <c r="P899">
        <v>10.656000000000001</v>
      </c>
      <c r="Q899">
        <v>3.77</v>
      </c>
      <c r="R899" t="s">
        <v>9</v>
      </c>
      <c r="S899">
        <f>Sheet1[[#This Row],[Ship_date]]-Sheet1[[#This Row],[Order_date]]</f>
        <v>3</v>
      </c>
      <c r="T899">
        <f>Sheet1[[#This Row],[Quantity]]*Sheet1[[#This Row],[Sales]]</f>
        <v>84</v>
      </c>
      <c r="U899">
        <f>Sheet1[[#This Row],[Total Sales]]*Sheet1[[#This Row],[Discount]]</f>
        <v>8.4</v>
      </c>
      <c r="V899" s="4">
        <f>Sheet1[[#This Row],[Total Sales]]-Sheet1[[#This Row],[Total Sales]]*Sheet1[[#This Row],[Discount]]</f>
        <v>75.599999999999994</v>
      </c>
      <c r="W899" s="4">
        <f>Sheet1[[#This Row],[Quantity]]*Sheet1[[#This Row],[Profit]]</f>
        <v>21.312000000000001</v>
      </c>
      <c r="X899" s="5">
        <f>Sheet1[[#This Row],[Total Profit]]/Sheet1[[#This Row],[Sales After Discount]]</f>
        <v>0.28190476190476194</v>
      </c>
      <c r="Y899" s="4">
        <f>Sheet1[[#This Row],[Shipping_cost]]*Sheet1[[#This Row],[Quantity]]</f>
        <v>7.54</v>
      </c>
      <c r="Z899" s="4">
        <f>Sheet1[[#This Row],[Total Profit]]-Sheet1[[#This Row],[Total Shipping Cost]]</f>
        <v>13.772000000000002</v>
      </c>
      <c r="AA899" s="4" t="str">
        <f>IF(Sheet1[[#This Row],[Net Profit]]&gt;0,"Profit","Loss")</f>
        <v>Profit</v>
      </c>
    </row>
    <row r="900" spans="1:27" x14ac:dyDescent="0.25">
      <c r="A900" t="s">
        <v>1148</v>
      </c>
      <c r="B900" s="1">
        <v>40605</v>
      </c>
      <c r="C900" s="1">
        <v>40608</v>
      </c>
      <c r="D900" t="s">
        <v>18</v>
      </c>
      <c r="E900" t="s">
        <v>1149</v>
      </c>
      <c r="F900" t="s">
        <v>26</v>
      </c>
      <c r="G900" t="s">
        <v>1150</v>
      </c>
      <c r="H900" t="s">
        <v>115</v>
      </c>
      <c r="I900" t="s">
        <v>29</v>
      </c>
      <c r="J900" t="s">
        <v>76</v>
      </c>
      <c r="K900" t="s">
        <v>7</v>
      </c>
      <c r="L900" t="s">
        <v>137</v>
      </c>
      <c r="M900">
        <v>59</v>
      </c>
      <c r="N900">
        <v>2</v>
      </c>
      <c r="O900">
        <v>0</v>
      </c>
      <c r="P900">
        <v>12.36</v>
      </c>
      <c r="Q900">
        <v>3.1</v>
      </c>
      <c r="R900" t="s">
        <v>9</v>
      </c>
      <c r="S900">
        <f>Sheet1[[#This Row],[Ship_date]]-Sheet1[[#This Row],[Order_date]]</f>
        <v>3</v>
      </c>
      <c r="T900">
        <f>Sheet1[[#This Row],[Quantity]]*Sheet1[[#This Row],[Sales]]</f>
        <v>118</v>
      </c>
      <c r="U900">
        <f>Sheet1[[#This Row],[Total Sales]]*Sheet1[[#This Row],[Discount]]</f>
        <v>0</v>
      </c>
      <c r="V900" s="4">
        <f>Sheet1[[#This Row],[Total Sales]]-Sheet1[[#This Row],[Total Sales]]*Sheet1[[#This Row],[Discount]]</f>
        <v>118</v>
      </c>
      <c r="W900" s="4">
        <f>Sheet1[[#This Row],[Quantity]]*Sheet1[[#This Row],[Profit]]</f>
        <v>24.72</v>
      </c>
      <c r="X900" s="5">
        <f>Sheet1[[#This Row],[Total Profit]]/Sheet1[[#This Row],[Sales After Discount]]</f>
        <v>0.20949152542372881</v>
      </c>
      <c r="Y900" s="4">
        <f>Sheet1[[#This Row],[Shipping_cost]]*Sheet1[[#This Row],[Quantity]]</f>
        <v>6.2</v>
      </c>
      <c r="Z900" s="4">
        <f>Sheet1[[#This Row],[Total Profit]]-Sheet1[[#This Row],[Total Shipping Cost]]</f>
        <v>18.52</v>
      </c>
      <c r="AA900" s="4" t="str">
        <f>IF(Sheet1[[#This Row],[Net Profit]]&gt;0,"Profit","Loss")</f>
        <v>Profit</v>
      </c>
    </row>
    <row r="901" spans="1:27" x14ac:dyDescent="0.25">
      <c r="A901" t="s">
        <v>1135</v>
      </c>
      <c r="B901" s="1">
        <v>40605</v>
      </c>
      <c r="C901" s="1">
        <v>40610</v>
      </c>
      <c r="D901" t="s">
        <v>1</v>
      </c>
      <c r="E901" t="s">
        <v>1136</v>
      </c>
      <c r="F901" t="s">
        <v>26</v>
      </c>
      <c r="G901" t="s">
        <v>649</v>
      </c>
      <c r="H901" t="s">
        <v>126</v>
      </c>
      <c r="I901" t="s">
        <v>127</v>
      </c>
      <c r="J901" t="s">
        <v>173</v>
      </c>
      <c r="K901" t="s">
        <v>7</v>
      </c>
      <c r="L901" t="s">
        <v>137</v>
      </c>
      <c r="M901">
        <v>25</v>
      </c>
      <c r="N901">
        <v>5</v>
      </c>
      <c r="O901">
        <v>0.2</v>
      </c>
      <c r="P901">
        <v>9.1784999999999997</v>
      </c>
      <c r="Q901">
        <v>2.48</v>
      </c>
      <c r="R901" t="s">
        <v>23</v>
      </c>
      <c r="S901">
        <f>Sheet1[[#This Row],[Ship_date]]-Sheet1[[#This Row],[Order_date]]</f>
        <v>5</v>
      </c>
      <c r="T901">
        <f>Sheet1[[#This Row],[Quantity]]*Sheet1[[#This Row],[Sales]]</f>
        <v>125</v>
      </c>
      <c r="U901">
        <f>Sheet1[[#This Row],[Total Sales]]*Sheet1[[#This Row],[Discount]]</f>
        <v>25</v>
      </c>
      <c r="V901" s="4">
        <f>Sheet1[[#This Row],[Total Sales]]-Sheet1[[#This Row],[Total Sales]]*Sheet1[[#This Row],[Discount]]</f>
        <v>100</v>
      </c>
      <c r="W901" s="4">
        <f>Sheet1[[#This Row],[Quantity]]*Sheet1[[#This Row],[Profit]]</f>
        <v>45.892499999999998</v>
      </c>
      <c r="X901" s="5">
        <f>Sheet1[[#This Row],[Total Profit]]/Sheet1[[#This Row],[Sales After Discount]]</f>
        <v>0.45892499999999997</v>
      </c>
      <c r="Y901" s="4">
        <f>Sheet1[[#This Row],[Shipping_cost]]*Sheet1[[#This Row],[Quantity]]</f>
        <v>12.4</v>
      </c>
      <c r="Z901" s="4">
        <f>Sheet1[[#This Row],[Total Profit]]-Sheet1[[#This Row],[Total Shipping Cost]]</f>
        <v>33.4925</v>
      </c>
      <c r="AA901" s="4" t="str">
        <f>IF(Sheet1[[#This Row],[Net Profit]]&gt;0,"Profit","Loss")</f>
        <v>Profit</v>
      </c>
    </row>
    <row r="902" spans="1:27" x14ac:dyDescent="0.25">
      <c r="A902" t="s">
        <v>1151</v>
      </c>
      <c r="B902" s="1">
        <v>40605</v>
      </c>
      <c r="C902" s="1">
        <v>40611</v>
      </c>
      <c r="D902" t="s">
        <v>1</v>
      </c>
      <c r="E902" t="s">
        <v>1152</v>
      </c>
      <c r="F902" t="s">
        <v>43</v>
      </c>
      <c r="G902" t="s">
        <v>90</v>
      </c>
      <c r="H902" t="s">
        <v>81</v>
      </c>
      <c r="I902" t="s">
        <v>22</v>
      </c>
      <c r="J902" t="s">
        <v>22</v>
      </c>
      <c r="K902" t="s">
        <v>7</v>
      </c>
      <c r="L902" t="s">
        <v>8</v>
      </c>
      <c r="M902">
        <v>31</v>
      </c>
      <c r="N902">
        <v>1</v>
      </c>
      <c r="O902">
        <v>0</v>
      </c>
      <c r="P902">
        <v>4.3499999999999996</v>
      </c>
      <c r="Q902">
        <v>2.2000000000000002</v>
      </c>
      <c r="R902" t="s">
        <v>9</v>
      </c>
      <c r="S902">
        <f>Sheet1[[#This Row],[Ship_date]]-Sheet1[[#This Row],[Order_date]]</f>
        <v>6</v>
      </c>
      <c r="T902">
        <f>Sheet1[[#This Row],[Quantity]]*Sheet1[[#This Row],[Sales]]</f>
        <v>31</v>
      </c>
      <c r="U902">
        <f>Sheet1[[#This Row],[Total Sales]]*Sheet1[[#This Row],[Discount]]</f>
        <v>0</v>
      </c>
      <c r="V902" s="4">
        <f>Sheet1[[#This Row],[Total Sales]]-Sheet1[[#This Row],[Total Sales]]*Sheet1[[#This Row],[Discount]]</f>
        <v>31</v>
      </c>
      <c r="W902" s="4">
        <f>Sheet1[[#This Row],[Quantity]]*Sheet1[[#This Row],[Profit]]</f>
        <v>4.3499999999999996</v>
      </c>
      <c r="X902" s="5">
        <f>Sheet1[[#This Row],[Total Profit]]/Sheet1[[#This Row],[Sales After Discount]]</f>
        <v>0.14032258064516129</v>
      </c>
      <c r="Y902" s="4">
        <f>Sheet1[[#This Row],[Shipping_cost]]*Sheet1[[#This Row],[Quantity]]</f>
        <v>2.2000000000000002</v>
      </c>
      <c r="Z902" s="4">
        <f>Sheet1[[#This Row],[Total Profit]]-Sheet1[[#This Row],[Total Shipping Cost]]</f>
        <v>2.1499999999999995</v>
      </c>
      <c r="AA902" s="4" t="str">
        <f>IF(Sheet1[[#This Row],[Net Profit]]&gt;0,"Profit","Loss")</f>
        <v>Profit</v>
      </c>
    </row>
    <row r="903" spans="1:27" x14ac:dyDescent="0.25">
      <c r="A903" t="s">
        <v>1140</v>
      </c>
      <c r="B903" s="1">
        <v>40605</v>
      </c>
      <c r="C903" s="1">
        <v>40612</v>
      </c>
      <c r="D903" t="s">
        <v>1</v>
      </c>
      <c r="E903" t="s">
        <v>1141</v>
      </c>
      <c r="F903" t="s">
        <v>3</v>
      </c>
      <c r="G903" t="s">
        <v>1142</v>
      </c>
      <c r="H903" t="s">
        <v>223</v>
      </c>
      <c r="I903" t="s">
        <v>6</v>
      </c>
      <c r="J903" t="s">
        <v>6</v>
      </c>
      <c r="K903" t="s">
        <v>32</v>
      </c>
      <c r="L903" t="s">
        <v>56</v>
      </c>
      <c r="M903">
        <v>57</v>
      </c>
      <c r="N903">
        <v>4</v>
      </c>
      <c r="O903">
        <v>0.7</v>
      </c>
      <c r="P903">
        <v>-91.512</v>
      </c>
      <c r="Q903">
        <v>2.08</v>
      </c>
      <c r="R903" t="s">
        <v>9</v>
      </c>
      <c r="S903">
        <f>Sheet1[[#This Row],[Ship_date]]-Sheet1[[#This Row],[Order_date]]</f>
        <v>7</v>
      </c>
      <c r="T903">
        <f>Sheet1[[#This Row],[Quantity]]*Sheet1[[#This Row],[Sales]]</f>
        <v>228</v>
      </c>
      <c r="U903">
        <f>Sheet1[[#This Row],[Total Sales]]*Sheet1[[#This Row],[Discount]]</f>
        <v>159.6</v>
      </c>
      <c r="V903" s="4">
        <f>Sheet1[[#This Row],[Total Sales]]-Sheet1[[#This Row],[Total Sales]]*Sheet1[[#This Row],[Discount]]</f>
        <v>68.400000000000006</v>
      </c>
      <c r="W903" s="4">
        <f>Sheet1[[#This Row],[Quantity]]*Sheet1[[#This Row],[Profit]]</f>
        <v>-366.048</v>
      </c>
      <c r="X903" s="5">
        <f>Sheet1[[#This Row],[Total Profit]]/Sheet1[[#This Row],[Sales After Discount]]</f>
        <v>-5.351578947368421</v>
      </c>
      <c r="Y903" s="4">
        <f>Sheet1[[#This Row],[Shipping_cost]]*Sheet1[[#This Row],[Quantity]]</f>
        <v>8.32</v>
      </c>
      <c r="Z903" s="4">
        <f>Sheet1[[#This Row],[Total Profit]]-Sheet1[[#This Row],[Total Shipping Cost]]</f>
        <v>-374.36799999999999</v>
      </c>
      <c r="AA903" s="4" t="str">
        <f>IF(Sheet1[[#This Row],[Net Profit]]&gt;0,"Profit","Loss")</f>
        <v>Loss</v>
      </c>
    </row>
    <row r="904" spans="1:27" x14ac:dyDescent="0.25">
      <c r="A904" t="s">
        <v>1131</v>
      </c>
      <c r="B904" s="1">
        <v>40605</v>
      </c>
      <c r="C904" s="1">
        <v>40610</v>
      </c>
      <c r="D904" t="s">
        <v>1</v>
      </c>
      <c r="E904" t="s">
        <v>1132</v>
      </c>
      <c r="F904" t="s">
        <v>43</v>
      </c>
      <c r="G904" t="s">
        <v>359</v>
      </c>
      <c r="H904" t="s">
        <v>126</v>
      </c>
      <c r="I904" t="s">
        <v>127</v>
      </c>
      <c r="J904" t="s">
        <v>173</v>
      </c>
      <c r="K904" t="s">
        <v>7</v>
      </c>
      <c r="L904" t="s">
        <v>8</v>
      </c>
      <c r="M904">
        <v>45</v>
      </c>
      <c r="N904">
        <v>8</v>
      </c>
      <c r="O904">
        <v>0.2</v>
      </c>
      <c r="P904">
        <v>-10.0512</v>
      </c>
      <c r="Q904">
        <v>1.94</v>
      </c>
      <c r="R904" t="s">
        <v>9</v>
      </c>
      <c r="S904">
        <f>Sheet1[[#This Row],[Ship_date]]-Sheet1[[#This Row],[Order_date]]</f>
        <v>5</v>
      </c>
      <c r="T904">
        <f>Sheet1[[#This Row],[Quantity]]*Sheet1[[#This Row],[Sales]]</f>
        <v>360</v>
      </c>
      <c r="U904">
        <f>Sheet1[[#This Row],[Total Sales]]*Sheet1[[#This Row],[Discount]]</f>
        <v>72</v>
      </c>
      <c r="V904" s="4">
        <f>Sheet1[[#This Row],[Total Sales]]-Sheet1[[#This Row],[Total Sales]]*Sheet1[[#This Row],[Discount]]</f>
        <v>288</v>
      </c>
      <c r="W904" s="4">
        <f>Sheet1[[#This Row],[Quantity]]*Sheet1[[#This Row],[Profit]]</f>
        <v>-80.409599999999998</v>
      </c>
      <c r="X904" s="5">
        <f>Sheet1[[#This Row],[Total Profit]]/Sheet1[[#This Row],[Sales After Discount]]</f>
        <v>-0.2792</v>
      </c>
      <c r="Y904" s="4">
        <f>Sheet1[[#This Row],[Shipping_cost]]*Sheet1[[#This Row],[Quantity]]</f>
        <v>15.52</v>
      </c>
      <c r="Z904" s="4">
        <f>Sheet1[[#This Row],[Total Profit]]-Sheet1[[#This Row],[Total Shipping Cost]]</f>
        <v>-95.929599999999994</v>
      </c>
      <c r="AA904" s="4" t="str">
        <f>IF(Sheet1[[#This Row],[Net Profit]]&gt;0,"Profit","Loss")</f>
        <v>Loss</v>
      </c>
    </row>
    <row r="905" spans="1:27" x14ac:dyDescent="0.25">
      <c r="A905" t="s">
        <v>1127</v>
      </c>
      <c r="B905" s="1">
        <v>40605</v>
      </c>
      <c r="C905" s="1">
        <v>40612</v>
      </c>
      <c r="D905" t="s">
        <v>1</v>
      </c>
      <c r="E905" t="s">
        <v>1128</v>
      </c>
      <c r="F905" t="s">
        <v>3</v>
      </c>
      <c r="G905" t="s">
        <v>1129</v>
      </c>
      <c r="H905" t="s">
        <v>1130</v>
      </c>
      <c r="I905" t="s">
        <v>75</v>
      </c>
      <c r="J905" t="s">
        <v>76</v>
      </c>
      <c r="K905" t="s">
        <v>7</v>
      </c>
      <c r="L905" t="s">
        <v>97</v>
      </c>
      <c r="M905">
        <v>16</v>
      </c>
      <c r="N905">
        <v>3</v>
      </c>
      <c r="O905">
        <v>0.4</v>
      </c>
      <c r="P905">
        <v>-9.5519999999999996</v>
      </c>
      <c r="Q905">
        <v>1.74</v>
      </c>
      <c r="R905" t="s">
        <v>51</v>
      </c>
      <c r="S905">
        <f>Sheet1[[#This Row],[Ship_date]]-Sheet1[[#This Row],[Order_date]]</f>
        <v>7</v>
      </c>
      <c r="T905">
        <f>Sheet1[[#This Row],[Quantity]]*Sheet1[[#This Row],[Sales]]</f>
        <v>48</v>
      </c>
      <c r="U905">
        <f>Sheet1[[#This Row],[Total Sales]]*Sheet1[[#This Row],[Discount]]</f>
        <v>19.200000000000003</v>
      </c>
      <c r="V905" s="4">
        <f>Sheet1[[#This Row],[Total Sales]]-Sheet1[[#This Row],[Total Sales]]*Sheet1[[#This Row],[Discount]]</f>
        <v>28.799999999999997</v>
      </c>
      <c r="W905" s="4">
        <f>Sheet1[[#This Row],[Quantity]]*Sheet1[[#This Row],[Profit]]</f>
        <v>-28.655999999999999</v>
      </c>
      <c r="X905" s="5">
        <f>Sheet1[[#This Row],[Total Profit]]/Sheet1[[#This Row],[Sales After Discount]]</f>
        <v>-0.99500000000000011</v>
      </c>
      <c r="Y905" s="4">
        <f>Sheet1[[#This Row],[Shipping_cost]]*Sheet1[[#This Row],[Quantity]]</f>
        <v>5.22</v>
      </c>
      <c r="Z905" s="4">
        <f>Sheet1[[#This Row],[Total Profit]]-Sheet1[[#This Row],[Total Shipping Cost]]</f>
        <v>-33.875999999999998</v>
      </c>
      <c r="AA905" s="4" t="str">
        <f>IF(Sheet1[[#This Row],[Net Profit]]&gt;0,"Profit","Loss")</f>
        <v>Loss</v>
      </c>
    </row>
    <row r="906" spans="1:27" x14ac:dyDescent="0.25">
      <c r="A906" t="s">
        <v>1131</v>
      </c>
      <c r="B906" s="1">
        <v>40605</v>
      </c>
      <c r="C906" s="1">
        <v>40610</v>
      </c>
      <c r="D906" t="s">
        <v>1</v>
      </c>
      <c r="E906" t="s">
        <v>1132</v>
      </c>
      <c r="F906" t="s">
        <v>43</v>
      </c>
      <c r="G906" t="s">
        <v>359</v>
      </c>
      <c r="H906" t="s">
        <v>126</v>
      </c>
      <c r="I906" t="s">
        <v>127</v>
      </c>
      <c r="J906" t="s">
        <v>173</v>
      </c>
      <c r="K906" t="s">
        <v>7</v>
      </c>
      <c r="L906" t="s">
        <v>87</v>
      </c>
      <c r="M906">
        <v>15</v>
      </c>
      <c r="N906">
        <v>3</v>
      </c>
      <c r="O906">
        <v>0.2</v>
      </c>
      <c r="P906">
        <v>4.9139999999999997</v>
      </c>
      <c r="Q906">
        <v>1.37</v>
      </c>
      <c r="R906" t="s">
        <v>9</v>
      </c>
      <c r="S906">
        <f>Sheet1[[#This Row],[Ship_date]]-Sheet1[[#This Row],[Order_date]]</f>
        <v>5</v>
      </c>
      <c r="T906">
        <f>Sheet1[[#This Row],[Quantity]]*Sheet1[[#This Row],[Sales]]</f>
        <v>45</v>
      </c>
      <c r="U906">
        <f>Sheet1[[#This Row],[Total Sales]]*Sheet1[[#This Row],[Discount]]</f>
        <v>9</v>
      </c>
      <c r="V906" s="4">
        <f>Sheet1[[#This Row],[Total Sales]]-Sheet1[[#This Row],[Total Sales]]*Sheet1[[#This Row],[Discount]]</f>
        <v>36</v>
      </c>
      <c r="W906" s="4">
        <f>Sheet1[[#This Row],[Quantity]]*Sheet1[[#This Row],[Profit]]</f>
        <v>14.741999999999999</v>
      </c>
      <c r="X906" s="5">
        <f>Sheet1[[#This Row],[Total Profit]]/Sheet1[[#This Row],[Sales After Discount]]</f>
        <v>0.40949999999999998</v>
      </c>
      <c r="Y906" s="4">
        <f>Sheet1[[#This Row],[Shipping_cost]]*Sheet1[[#This Row],[Quantity]]</f>
        <v>4.1100000000000003</v>
      </c>
      <c r="Z906" s="4">
        <f>Sheet1[[#This Row],[Total Profit]]-Sheet1[[#This Row],[Total Shipping Cost]]</f>
        <v>10.631999999999998</v>
      </c>
      <c r="AA906" s="4" t="str">
        <f>IF(Sheet1[[#This Row],[Net Profit]]&gt;0,"Profit","Loss")</f>
        <v>Profit</v>
      </c>
    </row>
    <row r="907" spans="1:27" x14ac:dyDescent="0.25">
      <c r="A907" t="s">
        <v>1127</v>
      </c>
      <c r="B907" s="1">
        <v>40605</v>
      </c>
      <c r="C907" s="1">
        <v>40612</v>
      </c>
      <c r="D907" t="s">
        <v>1</v>
      </c>
      <c r="E907" t="s">
        <v>1128</v>
      </c>
      <c r="F907" t="s">
        <v>3</v>
      </c>
      <c r="G907" t="s">
        <v>1129</v>
      </c>
      <c r="H907" t="s">
        <v>1130</v>
      </c>
      <c r="I907" t="s">
        <v>75</v>
      </c>
      <c r="J907" t="s">
        <v>76</v>
      </c>
      <c r="K907" t="s">
        <v>7</v>
      </c>
      <c r="L907" t="s">
        <v>87</v>
      </c>
      <c r="M907">
        <v>8</v>
      </c>
      <c r="N907">
        <v>3</v>
      </c>
      <c r="O907">
        <v>0.4</v>
      </c>
      <c r="P907">
        <v>-0.67200000000000004</v>
      </c>
      <c r="Q907">
        <v>1.23</v>
      </c>
      <c r="R907" t="s">
        <v>51</v>
      </c>
      <c r="S907">
        <f>Sheet1[[#This Row],[Ship_date]]-Sheet1[[#This Row],[Order_date]]</f>
        <v>7</v>
      </c>
      <c r="T907">
        <f>Sheet1[[#This Row],[Quantity]]*Sheet1[[#This Row],[Sales]]</f>
        <v>24</v>
      </c>
      <c r="U907">
        <f>Sheet1[[#This Row],[Total Sales]]*Sheet1[[#This Row],[Discount]]</f>
        <v>9.6000000000000014</v>
      </c>
      <c r="V907" s="4">
        <f>Sheet1[[#This Row],[Total Sales]]-Sheet1[[#This Row],[Total Sales]]*Sheet1[[#This Row],[Discount]]</f>
        <v>14.399999999999999</v>
      </c>
      <c r="W907" s="4">
        <f>Sheet1[[#This Row],[Quantity]]*Sheet1[[#This Row],[Profit]]</f>
        <v>-2.016</v>
      </c>
      <c r="X907" s="5">
        <f>Sheet1[[#This Row],[Total Profit]]/Sheet1[[#This Row],[Sales After Discount]]</f>
        <v>-0.14000000000000001</v>
      </c>
      <c r="Y907" s="4">
        <f>Sheet1[[#This Row],[Shipping_cost]]*Sheet1[[#This Row],[Quantity]]</f>
        <v>3.69</v>
      </c>
      <c r="Z907" s="4">
        <f>Sheet1[[#This Row],[Total Profit]]-Sheet1[[#This Row],[Total Shipping Cost]]</f>
        <v>-5.7059999999999995</v>
      </c>
      <c r="AA907" s="4" t="str">
        <f>IF(Sheet1[[#This Row],[Net Profit]]&gt;0,"Profit","Loss")</f>
        <v>Loss</v>
      </c>
    </row>
    <row r="908" spans="1:27" x14ac:dyDescent="0.25">
      <c r="A908" t="s">
        <v>1153</v>
      </c>
      <c r="B908" s="1">
        <v>40605</v>
      </c>
      <c r="C908" s="1">
        <v>40609</v>
      </c>
      <c r="D908" t="s">
        <v>1</v>
      </c>
      <c r="E908" t="s">
        <v>1154</v>
      </c>
      <c r="F908" t="s">
        <v>3</v>
      </c>
      <c r="G908" t="s">
        <v>1129</v>
      </c>
      <c r="H908" t="s">
        <v>1130</v>
      </c>
      <c r="I908" t="s">
        <v>75</v>
      </c>
      <c r="J908" t="s">
        <v>76</v>
      </c>
      <c r="K908" t="s">
        <v>7</v>
      </c>
      <c r="L908" t="s">
        <v>96</v>
      </c>
      <c r="M908">
        <v>12</v>
      </c>
      <c r="N908">
        <v>1</v>
      </c>
      <c r="O908">
        <v>0.4</v>
      </c>
      <c r="P908">
        <v>-6.6079999999999997</v>
      </c>
      <c r="Q908">
        <v>1.07</v>
      </c>
      <c r="R908" t="s">
        <v>9</v>
      </c>
      <c r="S908">
        <f>Sheet1[[#This Row],[Ship_date]]-Sheet1[[#This Row],[Order_date]]</f>
        <v>4</v>
      </c>
      <c r="T908">
        <f>Sheet1[[#This Row],[Quantity]]*Sheet1[[#This Row],[Sales]]</f>
        <v>12</v>
      </c>
      <c r="U908">
        <f>Sheet1[[#This Row],[Total Sales]]*Sheet1[[#This Row],[Discount]]</f>
        <v>4.8000000000000007</v>
      </c>
      <c r="V908" s="4">
        <f>Sheet1[[#This Row],[Total Sales]]-Sheet1[[#This Row],[Total Sales]]*Sheet1[[#This Row],[Discount]]</f>
        <v>7.1999999999999993</v>
      </c>
      <c r="W908" s="4">
        <f>Sheet1[[#This Row],[Quantity]]*Sheet1[[#This Row],[Profit]]</f>
        <v>-6.6079999999999997</v>
      </c>
      <c r="X908" s="5">
        <f>Sheet1[[#This Row],[Total Profit]]/Sheet1[[#This Row],[Sales After Discount]]</f>
        <v>-0.9177777777777778</v>
      </c>
      <c r="Y908" s="4">
        <f>Sheet1[[#This Row],[Shipping_cost]]*Sheet1[[#This Row],[Quantity]]</f>
        <v>1.07</v>
      </c>
      <c r="Z908" s="4">
        <f>Sheet1[[#This Row],[Total Profit]]-Sheet1[[#This Row],[Total Shipping Cost]]</f>
        <v>-7.6779999999999999</v>
      </c>
      <c r="AA908" s="4" t="str">
        <f>IF(Sheet1[[#This Row],[Net Profit]]&gt;0,"Profit","Loss")</f>
        <v>Loss</v>
      </c>
    </row>
    <row r="909" spans="1:27" x14ac:dyDescent="0.25">
      <c r="A909" t="s">
        <v>1155</v>
      </c>
      <c r="B909" s="1">
        <v>40605</v>
      </c>
      <c r="C909" s="1">
        <v>40609</v>
      </c>
      <c r="D909" t="s">
        <v>18</v>
      </c>
      <c r="E909" t="s">
        <v>1156</v>
      </c>
      <c r="F909" t="s">
        <v>3</v>
      </c>
      <c r="G909" t="s">
        <v>1157</v>
      </c>
      <c r="H909" t="s">
        <v>126</v>
      </c>
      <c r="I909" t="s">
        <v>127</v>
      </c>
      <c r="J909" t="s">
        <v>102</v>
      </c>
      <c r="K909" t="s">
        <v>7</v>
      </c>
      <c r="L909" t="s">
        <v>91</v>
      </c>
      <c r="M909">
        <v>19</v>
      </c>
      <c r="N909">
        <v>4</v>
      </c>
      <c r="O909">
        <v>0.2</v>
      </c>
      <c r="P909">
        <v>3.4047999999999998</v>
      </c>
      <c r="Q909">
        <v>1.05</v>
      </c>
      <c r="R909" t="s">
        <v>9</v>
      </c>
      <c r="S909">
        <f>Sheet1[[#This Row],[Ship_date]]-Sheet1[[#This Row],[Order_date]]</f>
        <v>4</v>
      </c>
      <c r="T909">
        <f>Sheet1[[#This Row],[Quantity]]*Sheet1[[#This Row],[Sales]]</f>
        <v>76</v>
      </c>
      <c r="U909">
        <f>Sheet1[[#This Row],[Total Sales]]*Sheet1[[#This Row],[Discount]]</f>
        <v>15.200000000000001</v>
      </c>
      <c r="V909" s="4">
        <f>Sheet1[[#This Row],[Total Sales]]-Sheet1[[#This Row],[Total Sales]]*Sheet1[[#This Row],[Discount]]</f>
        <v>60.8</v>
      </c>
      <c r="W909" s="4">
        <f>Sheet1[[#This Row],[Quantity]]*Sheet1[[#This Row],[Profit]]</f>
        <v>13.619199999999999</v>
      </c>
      <c r="X909" s="5">
        <f>Sheet1[[#This Row],[Total Profit]]/Sheet1[[#This Row],[Sales After Discount]]</f>
        <v>0.224</v>
      </c>
      <c r="Y909" s="4">
        <f>Sheet1[[#This Row],[Shipping_cost]]*Sheet1[[#This Row],[Quantity]]</f>
        <v>4.2</v>
      </c>
      <c r="Z909" s="4">
        <f>Sheet1[[#This Row],[Total Profit]]-Sheet1[[#This Row],[Total Shipping Cost]]</f>
        <v>9.4192</v>
      </c>
      <c r="AA909" s="4" t="str">
        <f>IF(Sheet1[[#This Row],[Net Profit]]&gt;0,"Profit","Loss")</f>
        <v>Profit</v>
      </c>
    </row>
    <row r="910" spans="1:27" x14ac:dyDescent="0.25">
      <c r="A910" t="s">
        <v>1137</v>
      </c>
      <c r="B910" s="1">
        <v>40605</v>
      </c>
      <c r="C910" s="1">
        <v>40609</v>
      </c>
      <c r="D910" t="s">
        <v>1</v>
      </c>
      <c r="E910" t="s">
        <v>1136</v>
      </c>
      <c r="F910" t="s">
        <v>26</v>
      </c>
      <c r="G910" t="s">
        <v>240</v>
      </c>
      <c r="H910" t="s">
        <v>241</v>
      </c>
      <c r="I910" t="s">
        <v>6</v>
      </c>
      <c r="J910" t="s">
        <v>6</v>
      </c>
      <c r="K910" t="s">
        <v>7</v>
      </c>
      <c r="L910" t="s">
        <v>91</v>
      </c>
      <c r="M910">
        <v>24</v>
      </c>
      <c r="N910">
        <v>2</v>
      </c>
      <c r="O910">
        <v>0</v>
      </c>
      <c r="P910">
        <v>10.02</v>
      </c>
      <c r="Q910">
        <v>1.02</v>
      </c>
      <c r="R910" t="s">
        <v>9</v>
      </c>
      <c r="S910">
        <f>Sheet1[[#This Row],[Ship_date]]-Sheet1[[#This Row],[Order_date]]</f>
        <v>4</v>
      </c>
      <c r="T910">
        <f>Sheet1[[#This Row],[Quantity]]*Sheet1[[#This Row],[Sales]]</f>
        <v>48</v>
      </c>
      <c r="U910">
        <f>Sheet1[[#This Row],[Total Sales]]*Sheet1[[#This Row],[Discount]]</f>
        <v>0</v>
      </c>
      <c r="V910" s="4">
        <f>Sheet1[[#This Row],[Total Sales]]-Sheet1[[#This Row],[Total Sales]]*Sheet1[[#This Row],[Discount]]</f>
        <v>48</v>
      </c>
      <c r="W910" s="4">
        <f>Sheet1[[#This Row],[Quantity]]*Sheet1[[#This Row],[Profit]]</f>
        <v>20.04</v>
      </c>
      <c r="X910" s="5">
        <f>Sheet1[[#This Row],[Total Profit]]/Sheet1[[#This Row],[Sales After Discount]]</f>
        <v>0.41749999999999998</v>
      </c>
      <c r="Y910" s="4">
        <f>Sheet1[[#This Row],[Shipping_cost]]*Sheet1[[#This Row],[Quantity]]</f>
        <v>2.04</v>
      </c>
      <c r="Z910" s="4">
        <f>Sheet1[[#This Row],[Total Profit]]-Sheet1[[#This Row],[Total Shipping Cost]]</f>
        <v>18</v>
      </c>
      <c r="AA910" s="4" t="str">
        <f>IF(Sheet1[[#This Row],[Net Profit]]&gt;0,"Profit","Loss")</f>
        <v>Profit</v>
      </c>
    </row>
    <row r="911" spans="1:27" x14ac:dyDescent="0.25">
      <c r="A911" t="s">
        <v>1135</v>
      </c>
      <c r="B911" s="1">
        <v>40605</v>
      </c>
      <c r="C911" s="1">
        <v>40610</v>
      </c>
      <c r="D911" t="s">
        <v>1</v>
      </c>
      <c r="E911" t="s">
        <v>1136</v>
      </c>
      <c r="F911" t="s">
        <v>26</v>
      </c>
      <c r="G911" t="s">
        <v>649</v>
      </c>
      <c r="H911" t="s">
        <v>126</v>
      </c>
      <c r="I911" t="s">
        <v>127</v>
      </c>
      <c r="J911" t="s">
        <v>173</v>
      </c>
      <c r="K911" t="s">
        <v>38</v>
      </c>
      <c r="L911" t="s">
        <v>77</v>
      </c>
      <c r="M911">
        <v>10</v>
      </c>
      <c r="N911">
        <v>1</v>
      </c>
      <c r="O911">
        <v>0</v>
      </c>
      <c r="P911">
        <v>4.5953999999999997</v>
      </c>
      <c r="Q911">
        <v>0.99</v>
      </c>
      <c r="R911" t="s">
        <v>23</v>
      </c>
      <c r="S911">
        <f>Sheet1[[#This Row],[Ship_date]]-Sheet1[[#This Row],[Order_date]]</f>
        <v>5</v>
      </c>
      <c r="T911">
        <f>Sheet1[[#This Row],[Quantity]]*Sheet1[[#This Row],[Sales]]</f>
        <v>10</v>
      </c>
      <c r="U911">
        <f>Sheet1[[#This Row],[Total Sales]]*Sheet1[[#This Row],[Discount]]</f>
        <v>0</v>
      </c>
      <c r="V911" s="4">
        <f>Sheet1[[#This Row],[Total Sales]]-Sheet1[[#This Row],[Total Sales]]*Sheet1[[#This Row],[Discount]]</f>
        <v>10</v>
      </c>
      <c r="W911" s="4">
        <f>Sheet1[[#This Row],[Quantity]]*Sheet1[[#This Row],[Profit]]</f>
        <v>4.5953999999999997</v>
      </c>
      <c r="X911" s="5">
        <f>Sheet1[[#This Row],[Total Profit]]/Sheet1[[#This Row],[Sales After Discount]]</f>
        <v>0.45953999999999995</v>
      </c>
      <c r="Y911" s="4">
        <f>Sheet1[[#This Row],[Shipping_cost]]*Sheet1[[#This Row],[Quantity]]</f>
        <v>0.99</v>
      </c>
      <c r="Z911" s="4">
        <f>Sheet1[[#This Row],[Total Profit]]-Sheet1[[#This Row],[Total Shipping Cost]]</f>
        <v>3.6053999999999995</v>
      </c>
      <c r="AA911" s="4" t="str">
        <f>IF(Sheet1[[#This Row],[Net Profit]]&gt;0,"Profit","Loss")</f>
        <v>Profit</v>
      </c>
    </row>
    <row r="912" spans="1:27" x14ac:dyDescent="0.25">
      <c r="A912" t="s">
        <v>1144</v>
      </c>
      <c r="B912" s="1">
        <v>40605</v>
      </c>
      <c r="C912" s="1">
        <v>40609</v>
      </c>
      <c r="D912" t="s">
        <v>1</v>
      </c>
      <c r="E912" t="s">
        <v>1145</v>
      </c>
      <c r="F912" t="s">
        <v>3</v>
      </c>
      <c r="G912" t="s">
        <v>1146</v>
      </c>
      <c r="H912" t="s">
        <v>1147</v>
      </c>
      <c r="I912" t="s">
        <v>22</v>
      </c>
      <c r="J912" t="s">
        <v>22</v>
      </c>
      <c r="K912" t="s">
        <v>7</v>
      </c>
      <c r="L912" t="s">
        <v>97</v>
      </c>
      <c r="M912">
        <v>14</v>
      </c>
      <c r="N912">
        <v>1</v>
      </c>
      <c r="O912">
        <v>0</v>
      </c>
      <c r="P912">
        <v>6.39</v>
      </c>
      <c r="Q912">
        <v>0.39</v>
      </c>
      <c r="R912" t="s">
        <v>9</v>
      </c>
      <c r="S912">
        <f>Sheet1[[#This Row],[Ship_date]]-Sheet1[[#This Row],[Order_date]]</f>
        <v>4</v>
      </c>
      <c r="T912">
        <f>Sheet1[[#This Row],[Quantity]]*Sheet1[[#This Row],[Sales]]</f>
        <v>14</v>
      </c>
      <c r="U912">
        <f>Sheet1[[#This Row],[Total Sales]]*Sheet1[[#This Row],[Discount]]</f>
        <v>0</v>
      </c>
      <c r="V912" s="4">
        <f>Sheet1[[#This Row],[Total Sales]]-Sheet1[[#This Row],[Total Sales]]*Sheet1[[#This Row],[Discount]]</f>
        <v>14</v>
      </c>
      <c r="W912" s="4">
        <f>Sheet1[[#This Row],[Quantity]]*Sheet1[[#This Row],[Profit]]</f>
        <v>6.39</v>
      </c>
      <c r="X912" s="5">
        <f>Sheet1[[#This Row],[Total Profit]]/Sheet1[[#This Row],[Sales After Discount]]</f>
        <v>0.45642857142857141</v>
      </c>
      <c r="Y912" s="4">
        <f>Sheet1[[#This Row],[Shipping_cost]]*Sheet1[[#This Row],[Quantity]]</f>
        <v>0.39</v>
      </c>
      <c r="Z912" s="4">
        <f>Sheet1[[#This Row],[Total Profit]]-Sheet1[[#This Row],[Total Shipping Cost]]</f>
        <v>6</v>
      </c>
      <c r="AA912" s="4" t="str">
        <f>IF(Sheet1[[#This Row],[Net Profit]]&gt;0,"Profit","Loss")</f>
        <v>Profit</v>
      </c>
    </row>
    <row r="913" spans="1:27" x14ac:dyDescent="0.25">
      <c r="A913" t="s">
        <v>1158</v>
      </c>
      <c r="B913" s="1">
        <v>40606</v>
      </c>
      <c r="C913" s="1">
        <v>40611</v>
      </c>
      <c r="D913" t="s">
        <v>1</v>
      </c>
      <c r="E913" t="s">
        <v>1159</v>
      </c>
      <c r="F913" t="s">
        <v>26</v>
      </c>
      <c r="G913" t="s">
        <v>1160</v>
      </c>
      <c r="H913" t="s">
        <v>169</v>
      </c>
      <c r="I913" t="s">
        <v>14</v>
      </c>
      <c r="J913" t="s">
        <v>132</v>
      </c>
      <c r="K913" t="s">
        <v>38</v>
      </c>
      <c r="L913" t="s">
        <v>77</v>
      </c>
      <c r="M913">
        <v>555</v>
      </c>
      <c r="N913">
        <v>3</v>
      </c>
      <c r="O913">
        <v>0</v>
      </c>
      <c r="P913">
        <v>0</v>
      </c>
      <c r="Q913">
        <v>83.22</v>
      </c>
      <c r="R913" t="s">
        <v>23</v>
      </c>
      <c r="S913">
        <f>Sheet1[[#This Row],[Ship_date]]-Sheet1[[#This Row],[Order_date]]</f>
        <v>5</v>
      </c>
      <c r="T913">
        <f>Sheet1[[#This Row],[Quantity]]*Sheet1[[#This Row],[Sales]]</f>
        <v>1665</v>
      </c>
      <c r="U913">
        <f>Sheet1[[#This Row],[Total Sales]]*Sheet1[[#This Row],[Discount]]</f>
        <v>0</v>
      </c>
      <c r="V913" s="4">
        <f>Sheet1[[#This Row],[Total Sales]]-Sheet1[[#This Row],[Total Sales]]*Sheet1[[#This Row],[Discount]]</f>
        <v>1665</v>
      </c>
      <c r="W913" s="4">
        <f>Sheet1[[#This Row],[Quantity]]*Sheet1[[#This Row],[Profit]]</f>
        <v>0</v>
      </c>
      <c r="X913" s="5">
        <f>Sheet1[[#This Row],[Total Profit]]/Sheet1[[#This Row],[Sales After Discount]]</f>
        <v>0</v>
      </c>
      <c r="Y913" s="4">
        <f>Sheet1[[#This Row],[Shipping_cost]]*Sheet1[[#This Row],[Quantity]]</f>
        <v>249.66</v>
      </c>
      <c r="Z913" s="4">
        <f>Sheet1[[#This Row],[Total Profit]]-Sheet1[[#This Row],[Total Shipping Cost]]</f>
        <v>-249.66</v>
      </c>
      <c r="AA913" s="4" t="str">
        <f>IF(Sheet1[[#This Row],[Net Profit]]&gt;0,"Profit","Loss")</f>
        <v>Loss</v>
      </c>
    </row>
    <row r="914" spans="1:27" x14ac:dyDescent="0.25">
      <c r="A914" t="s">
        <v>1161</v>
      </c>
      <c r="B914" s="1">
        <v>40606</v>
      </c>
      <c r="C914" s="1">
        <v>40606</v>
      </c>
      <c r="D914" t="s">
        <v>41</v>
      </c>
      <c r="E914" t="s">
        <v>791</v>
      </c>
      <c r="F914" t="s">
        <v>3</v>
      </c>
      <c r="G914" t="s">
        <v>341</v>
      </c>
      <c r="H914" t="s">
        <v>126</v>
      </c>
      <c r="I914" t="s">
        <v>127</v>
      </c>
      <c r="J914" t="s">
        <v>102</v>
      </c>
      <c r="K914" t="s">
        <v>7</v>
      </c>
      <c r="L914" t="s">
        <v>8</v>
      </c>
      <c r="M914">
        <v>355</v>
      </c>
      <c r="N914">
        <v>5</v>
      </c>
      <c r="O914">
        <v>0</v>
      </c>
      <c r="P914">
        <v>17.745000000000001</v>
      </c>
      <c r="Q914">
        <v>74.5</v>
      </c>
      <c r="R914" t="s">
        <v>23</v>
      </c>
      <c r="S914">
        <f>Sheet1[[#This Row],[Ship_date]]-Sheet1[[#This Row],[Order_date]]</f>
        <v>0</v>
      </c>
      <c r="T914">
        <f>Sheet1[[#This Row],[Quantity]]*Sheet1[[#This Row],[Sales]]</f>
        <v>1775</v>
      </c>
      <c r="U914">
        <f>Sheet1[[#This Row],[Total Sales]]*Sheet1[[#This Row],[Discount]]</f>
        <v>0</v>
      </c>
      <c r="V914" s="4">
        <f>Sheet1[[#This Row],[Total Sales]]-Sheet1[[#This Row],[Total Sales]]*Sheet1[[#This Row],[Discount]]</f>
        <v>1775</v>
      </c>
      <c r="W914" s="4">
        <f>Sheet1[[#This Row],[Quantity]]*Sheet1[[#This Row],[Profit]]</f>
        <v>88.725000000000009</v>
      </c>
      <c r="X914" s="5">
        <f>Sheet1[[#This Row],[Total Profit]]/Sheet1[[#This Row],[Sales After Discount]]</f>
        <v>4.998591549295775E-2</v>
      </c>
      <c r="Y914" s="4">
        <f>Sheet1[[#This Row],[Shipping_cost]]*Sheet1[[#This Row],[Quantity]]</f>
        <v>372.5</v>
      </c>
      <c r="Z914" s="4">
        <f>Sheet1[[#This Row],[Total Profit]]-Sheet1[[#This Row],[Total Shipping Cost]]</f>
        <v>-283.77499999999998</v>
      </c>
      <c r="AA914" s="4" t="str">
        <f>IF(Sheet1[[#This Row],[Net Profit]]&gt;0,"Profit","Loss")</f>
        <v>Loss</v>
      </c>
    </row>
    <row r="915" spans="1:27" x14ac:dyDescent="0.25">
      <c r="A915" t="s">
        <v>1162</v>
      </c>
      <c r="B915" s="1">
        <v>40606</v>
      </c>
      <c r="C915" s="1">
        <v>40610</v>
      </c>
      <c r="D915" t="s">
        <v>1</v>
      </c>
      <c r="E915" t="s">
        <v>1163</v>
      </c>
      <c r="F915" t="s">
        <v>3</v>
      </c>
      <c r="G915" t="s">
        <v>459</v>
      </c>
      <c r="H915" t="s">
        <v>345</v>
      </c>
      <c r="I915" t="s">
        <v>75</v>
      </c>
      <c r="J915" t="s">
        <v>76</v>
      </c>
      <c r="K915" t="s">
        <v>7</v>
      </c>
      <c r="L915" t="s">
        <v>137</v>
      </c>
      <c r="M915">
        <v>91</v>
      </c>
      <c r="N915">
        <v>8</v>
      </c>
      <c r="O915">
        <v>0</v>
      </c>
      <c r="P915">
        <v>25.28</v>
      </c>
      <c r="Q915">
        <v>11.87</v>
      </c>
      <c r="R915" t="s">
        <v>23</v>
      </c>
      <c r="S915">
        <f>Sheet1[[#This Row],[Ship_date]]-Sheet1[[#This Row],[Order_date]]</f>
        <v>4</v>
      </c>
      <c r="T915">
        <f>Sheet1[[#This Row],[Quantity]]*Sheet1[[#This Row],[Sales]]</f>
        <v>728</v>
      </c>
      <c r="U915">
        <f>Sheet1[[#This Row],[Total Sales]]*Sheet1[[#This Row],[Discount]]</f>
        <v>0</v>
      </c>
      <c r="V915" s="4">
        <f>Sheet1[[#This Row],[Total Sales]]-Sheet1[[#This Row],[Total Sales]]*Sheet1[[#This Row],[Discount]]</f>
        <v>728</v>
      </c>
      <c r="W915" s="4">
        <f>Sheet1[[#This Row],[Quantity]]*Sheet1[[#This Row],[Profit]]</f>
        <v>202.24</v>
      </c>
      <c r="X915" s="5">
        <f>Sheet1[[#This Row],[Total Profit]]/Sheet1[[#This Row],[Sales After Discount]]</f>
        <v>0.27780219780219784</v>
      </c>
      <c r="Y915" s="4">
        <f>Sheet1[[#This Row],[Shipping_cost]]*Sheet1[[#This Row],[Quantity]]</f>
        <v>94.96</v>
      </c>
      <c r="Z915" s="4">
        <f>Sheet1[[#This Row],[Total Profit]]-Sheet1[[#This Row],[Total Shipping Cost]]</f>
        <v>107.28000000000002</v>
      </c>
      <c r="AA915" s="4" t="str">
        <f>IF(Sheet1[[#This Row],[Net Profit]]&gt;0,"Profit","Loss")</f>
        <v>Profit</v>
      </c>
    </row>
    <row r="916" spans="1:27" x14ac:dyDescent="0.25">
      <c r="A916" t="s">
        <v>1162</v>
      </c>
      <c r="B916" s="1">
        <v>40606</v>
      </c>
      <c r="C916" s="1">
        <v>40610</v>
      </c>
      <c r="D916" t="s">
        <v>1</v>
      </c>
      <c r="E916" t="s">
        <v>1163</v>
      </c>
      <c r="F916" t="s">
        <v>3</v>
      </c>
      <c r="G916" t="s">
        <v>459</v>
      </c>
      <c r="H916" t="s">
        <v>345</v>
      </c>
      <c r="I916" t="s">
        <v>75</v>
      </c>
      <c r="J916" t="s">
        <v>76</v>
      </c>
      <c r="K916" t="s">
        <v>7</v>
      </c>
      <c r="L916" t="s">
        <v>16</v>
      </c>
      <c r="M916">
        <v>90</v>
      </c>
      <c r="N916">
        <v>3</v>
      </c>
      <c r="O916">
        <v>0</v>
      </c>
      <c r="P916">
        <v>15.18</v>
      </c>
      <c r="Q916">
        <v>6.54</v>
      </c>
      <c r="R916" t="s">
        <v>23</v>
      </c>
      <c r="S916">
        <f>Sheet1[[#This Row],[Ship_date]]-Sheet1[[#This Row],[Order_date]]</f>
        <v>4</v>
      </c>
      <c r="T916">
        <f>Sheet1[[#This Row],[Quantity]]*Sheet1[[#This Row],[Sales]]</f>
        <v>270</v>
      </c>
      <c r="U916">
        <f>Sheet1[[#This Row],[Total Sales]]*Sheet1[[#This Row],[Discount]]</f>
        <v>0</v>
      </c>
      <c r="V916" s="4">
        <f>Sheet1[[#This Row],[Total Sales]]-Sheet1[[#This Row],[Total Sales]]*Sheet1[[#This Row],[Discount]]</f>
        <v>270</v>
      </c>
      <c r="W916" s="4">
        <f>Sheet1[[#This Row],[Quantity]]*Sheet1[[#This Row],[Profit]]</f>
        <v>45.54</v>
      </c>
      <c r="X916" s="5">
        <f>Sheet1[[#This Row],[Total Profit]]/Sheet1[[#This Row],[Sales After Discount]]</f>
        <v>0.16866666666666666</v>
      </c>
      <c r="Y916" s="4">
        <f>Sheet1[[#This Row],[Shipping_cost]]*Sheet1[[#This Row],[Quantity]]</f>
        <v>19.62</v>
      </c>
      <c r="Z916" s="4">
        <f>Sheet1[[#This Row],[Total Profit]]-Sheet1[[#This Row],[Total Shipping Cost]]</f>
        <v>25.919999999999998</v>
      </c>
      <c r="AA916" s="4" t="str">
        <f>IF(Sheet1[[#This Row],[Net Profit]]&gt;0,"Profit","Loss")</f>
        <v>Profit</v>
      </c>
    </row>
    <row r="917" spans="1:27" x14ac:dyDescent="0.25">
      <c r="A917" t="s">
        <v>1164</v>
      </c>
      <c r="B917" s="1">
        <v>40606</v>
      </c>
      <c r="C917" s="1">
        <v>40611</v>
      </c>
      <c r="D917" t="s">
        <v>1</v>
      </c>
      <c r="E917" t="s">
        <v>1165</v>
      </c>
      <c r="F917" t="s">
        <v>3</v>
      </c>
      <c r="G917" t="s">
        <v>1166</v>
      </c>
      <c r="H917" t="s">
        <v>285</v>
      </c>
      <c r="I917" t="s">
        <v>22</v>
      </c>
      <c r="J917" t="s">
        <v>22</v>
      </c>
      <c r="K917" t="s">
        <v>38</v>
      </c>
      <c r="L917" t="s">
        <v>39</v>
      </c>
      <c r="M917">
        <v>94</v>
      </c>
      <c r="N917">
        <v>2</v>
      </c>
      <c r="O917">
        <v>0.6</v>
      </c>
      <c r="P917">
        <v>-25.98</v>
      </c>
      <c r="Q917">
        <v>4.07</v>
      </c>
      <c r="R917" t="s">
        <v>9</v>
      </c>
      <c r="S917">
        <f>Sheet1[[#This Row],[Ship_date]]-Sheet1[[#This Row],[Order_date]]</f>
        <v>5</v>
      </c>
      <c r="T917">
        <f>Sheet1[[#This Row],[Quantity]]*Sheet1[[#This Row],[Sales]]</f>
        <v>188</v>
      </c>
      <c r="U917">
        <f>Sheet1[[#This Row],[Total Sales]]*Sheet1[[#This Row],[Discount]]</f>
        <v>112.8</v>
      </c>
      <c r="V917" s="4">
        <f>Sheet1[[#This Row],[Total Sales]]-Sheet1[[#This Row],[Total Sales]]*Sheet1[[#This Row],[Discount]]</f>
        <v>75.2</v>
      </c>
      <c r="W917" s="4">
        <f>Sheet1[[#This Row],[Quantity]]*Sheet1[[#This Row],[Profit]]</f>
        <v>-51.96</v>
      </c>
      <c r="X917" s="5">
        <f>Sheet1[[#This Row],[Total Profit]]/Sheet1[[#This Row],[Sales After Discount]]</f>
        <v>-0.69095744680851068</v>
      </c>
      <c r="Y917" s="4">
        <f>Sheet1[[#This Row],[Shipping_cost]]*Sheet1[[#This Row],[Quantity]]</f>
        <v>8.14</v>
      </c>
      <c r="Z917" s="4">
        <f>Sheet1[[#This Row],[Total Profit]]-Sheet1[[#This Row],[Total Shipping Cost]]</f>
        <v>-60.1</v>
      </c>
      <c r="AA917" s="4" t="str">
        <f>IF(Sheet1[[#This Row],[Net Profit]]&gt;0,"Profit","Loss")</f>
        <v>Loss</v>
      </c>
    </row>
    <row r="918" spans="1:27" x14ac:dyDescent="0.25">
      <c r="A918" t="s">
        <v>1167</v>
      </c>
      <c r="B918" s="1">
        <v>40606</v>
      </c>
      <c r="C918" s="1">
        <v>40610</v>
      </c>
      <c r="D918" t="s">
        <v>1</v>
      </c>
      <c r="E918" t="s">
        <v>1168</v>
      </c>
      <c r="F918" t="s">
        <v>3</v>
      </c>
      <c r="G918" t="s">
        <v>1169</v>
      </c>
      <c r="H918" t="s">
        <v>223</v>
      </c>
      <c r="I918" t="s">
        <v>6</v>
      </c>
      <c r="J918" t="s">
        <v>6</v>
      </c>
      <c r="K918" t="s">
        <v>38</v>
      </c>
      <c r="L918" t="s">
        <v>50</v>
      </c>
      <c r="M918">
        <v>43</v>
      </c>
      <c r="N918">
        <v>1</v>
      </c>
      <c r="O918">
        <v>0.7</v>
      </c>
      <c r="P918">
        <v>-92.349000000000004</v>
      </c>
      <c r="Q918">
        <v>3.02</v>
      </c>
      <c r="R918" t="s">
        <v>9</v>
      </c>
      <c r="S918">
        <f>Sheet1[[#This Row],[Ship_date]]-Sheet1[[#This Row],[Order_date]]</f>
        <v>4</v>
      </c>
      <c r="T918">
        <f>Sheet1[[#This Row],[Quantity]]*Sheet1[[#This Row],[Sales]]</f>
        <v>43</v>
      </c>
      <c r="U918">
        <f>Sheet1[[#This Row],[Total Sales]]*Sheet1[[#This Row],[Discount]]</f>
        <v>30.099999999999998</v>
      </c>
      <c r="V918" s="4">
        <f>Sheet1[[#This Row],[Total Sales]]-Sheet1[[#This Row],[Total Sales]]*Sheet1[[#This Row],[Discount]]</f>
        <v>12.900000000000002</v>
      </c>
      <c r="W918" s="4">
        <f>Sheet1[[#This Row],[Quantity]]*Sheet1[[#This Row],[Profit]]</f>
        <v>-92.349000000000004</v>
      </c>
      <c r="X918" s="5">
        <f>Sheet1[[#This Row],[Total Profit]]/Sheet1[[#This Row],[Sales After Discount]]</f>
        <v>-7.1588372093023249</v>
      </c>
      <c r="Y918" s="4">
        <f>Sheet1[[#This Row],[Shipping_cost]]*Sheet1[[#This Row],[Quantity]]</f>
        <v>3.02</v>
      </c>
      <c r="Z918" s="4">
        <f>Sheet1[[#This Row],[Total Profit]]-Sheet1[[#This Row],[Total Shipping Cost]]</f>
        <v>-95.369</v>
      </c>
      <c r="AA918" s="4" t="str">
        <f>IF(Sheet1[[#This Row],[Net Profit]]&gt;0,"Profit","Loss")</f>
        <v>Loss</v>
      </c>
    </row>
    <row r="919" spans="1:27" x14ac:dyDescent="0.25">
      <c r="A919" t="s">
        <v>1170</v>
      </c>
      <c r="B919" s="1">
        <v>40606</v>
      </c>
      <c r="C919" s="1">
        <v>40611</v>
      </c>
      <c r="D919" t="s">
        <v>1</v>
      </c>
      <c r="E919" t="s">
        <v>854</v>
      </c>
      <c r="F919" t="s">
        <v>3</v>
      </c>
      <c r="G919" t="s">
        <v>505</v>
      </c>
      <c r="H919" t="s">
        <v>126</v>
      </c>
      <c r="I919" t="s">
        <v>127</v>
      </c>
      <c r="J919" t="s">
        <v>102</v>
      </c>
      <c r="K919" t="s">
        <v>7</v>
      </c>
      <c r="L919" t="s">
        <v>91</v>
      </c>
      <c r="M919">
        <v>16</v>
      </c>
      <c r="N919">
        <v>3</v>
      </c>
      <c r="O919">
        <v>0.2</v>
      </c>
      <c r="P919">
        <v>2.3328000000000002</v>
      </c>
      <c r="Q919">
        <v>1.31</v>
      </c>
      <c r="R919" t="s">
        <v>9</v>
      </c>
      <c r="S919">
        <f>Sheet1[[#This Row],[Ship_date]]-Sheet1[[#This Row],[Order_date]]</f>
        <v>5</v>
      </c>
      <c r="T919">
        <f>Sheet1[[#This Row],[Quantity]]*Sheet1[[#This Row],[Sales]]</f>
        <v>48</v>
      </c>
      <c r="U919">
        <f>Sheet1[[#This Row],[Total Sales]]*Sheet1[[#This Row],[Discount]]</f>
        <v>9.6000000000000014</v>
      </c>
      <c r="V919" s="4">
        <f>Sheet1[[#This Row],[Total Sales]]-Sheet1[[#This Row],[Total Sales]]*Sheet1[[#This Row],[Discount]]</f>
        <v>38.4</v>
      </c>
      <c r="W919" s="4">
        <f>Sheet1[[#This Row],[Quantity]]*Sheet1[[#This Row],[Profit]]</f>
        <v>6.9984000000000002</v>
      </c>
      <c r="X919" s="5">
        <f>Sheet1[[#This Row],[Total Profit]]/Sheet1[[#This Row],[Sales After Discount]]</f>
        <v>0.18225000000000002</v>
      </c>
      <c r="Y919" s="4">
        <f>Sheet1[[#This Row],[Shipping_cost]]*Sheet1[[#This Row],[Quantity]]</f>
        <v>3.93</v>
      </c>
      <c r="Z919" s="4">
        <f>Sheet1[[#This Row],[Total Profit]]-Sheet1[[#This Row],[Total Shipping Cost]]</f>
        <v>3.0684</v>
      </c>
      <c r="AA919" s="4" t="str">
        <f>IF(Sheet1[[#This Row],[Net Profit]]&gt;0,"Profit","Loss")</f>
        <v>Profit</v>
      </c>
    </row>
    <row r="920" spans="1:27" x14ac:dyDescent="0.25">
      <c r="A920" t="s">
        <v>1171</v>
      </c>
      <c r="B920" s="1">
        <v>40607</v>
      </c>
      <c r="C920" s="1">
        <v>40610</v>
      </c>
      <c r="D920" t="s">
        <v>18</v>
      </c>
      <c r="E920" t="s">
        <v>555</v>
      </c>
      <c r="F920" t="s">
        <v>3</v>
      </c>
      <c r="G920" t="s">
        <v>649</v>
      </c>
      <c r="H920" t="s">
        <v>126</v>
      </c>
      <c r="I920" t="s">
        <v>127</v>
      </c>
      <c r="J920" t="s">
        <v>173</v>
      </c>
      <c r="K920" t="s">
        <v>38</v>
      </c>
      <c r="L920" t="s">
        <v>82</v>
      </c>
      <c r="M920">
        <v>480</v>
      </c>
      <c r="N920">
        <v>3</v>
      </c>
      <c r="O920">
        <v>0</v>
      </c>
      <c r="P920">
        <v>177.5889</v>
      </c>
      <c r="Q920">
        <v>55.01</v>
      </c>
      <c r="R920" t="s">
        <v>9</v>
      </c>
      <c r="S920">
        <f>Sheet1[[#This Row],[Ship_date]]-Sheet1[[#This Row],[Order_date]]</f>
        <v>3</v>
      </c>
      <c r="T920">
        <f>Sheet1[[#This Row],[Quantity]]*Sheet1[[#This Row],[Sales]]</f>
        <v>1440</v>
      </c>
      <c r="U920">
        <f>Sheet1[[#This Row],[Total Sales]]*Sheet1[[#This Row],[Discount]]</f>
        <v>0</v>
      </c>
      <c r="V920" s="4">
        <f>Sheet1[[#This Row],[Total Sales]]-Sheet1[[#This Row],[Total Sales]]*Sheet1[[#This Row],[Discount]]</f>
        <v>1440</v>
      </c>
      <c r="W920" s="4">
        <f>Sheet1[[#This Row],[Quantity]]*Sheet1[[#This Row],[Profit]]</f>
        <v>532.76670000000001</v>
      </c>
      <c r="X920" s="5">
        <f>Sheet1[[#This Row],[Total Profit]]/Sheet1[[#This Row],[Sales After Discount]]</f>
        <v>0.36997687499999998</v>
      </c>
      <c r="Y920" s="4">
        <f>Sheet1[[#This Row],[Shipping_cost]]*Sheet1[[#This Row],[Quantity]]</f>
        <v>165.03</v>
      </c>
      <c r="Z920" s="4">
        <f>Sheet1[[#This Row],[Total Profit]]-Sheet1[[#This Row],[Total Shipping Cost]]</f>
        <v>367.73670000000004</v>
      </c>
      <c r="AA920" s="4" t="str">
        <f>IF(Sheet1[[#This Row],[Net Profit]]&gt;0,"Profit","Loss")</f>
        <v>Profit</v>
      </c>
    </row>
    <row r="921" spans="1:27" x14ac:dyDescent="0.25">
      <c r="A921" t="s">
        <v>1171</v>
      </c>
      <c r="B921" s="1">
        <v>40607</v>
      </c>
      <c r="C921" s="1">
        <v>40610</v>
      </c>
      <c r="D921" t="s">
        <v>18</v>
      </c>
      <c r="E921" t="s">
        <v>555</v>
      </c>
      <c r="F921" t="s">
        <v>3</v>
      </c>
      <c r="G921" t="s">
        <v>649</v>
      </c>
      <c r="H921" t="s">
        <v>126</v>
      </c>
      <c r="I921" t="s">
        <v>127</v>
      </c>
      <c r="J921" t="s">
        <v>173</v>
      </c>
      <c r="K921" t="s">
        <v>7</v>
      </c>
      <c r="L921" t="s">
        <v>31</v>
      </c>
      <c r="M921">
        <v>98</v>
      </c>
      <c r="N921">
        <v>2</v>
      </c>
      <c r="O921">
        <v>0</v>
      </c>
      <c r="P921">
        <v>45.9754</v>
      </c>
      <c r="Q921">
        <v>10.130000000000001</v>
      </c>
      <c r="R921" t="s">
        <v>9</v>
      </c>
      <c r="S921">
        <f>Sheet1[[#This Row],[Ship_date]]-Sheet1[[#This Row],[Order_date]]</f>
        <v>3</v>
      </c>
      <c r="T921">
        <f>Sheet1[[#This Row],[Quantity]]*Sheet1[[#This Row],[Sales]]</f>
        <v>196</v>
      </c>
      <c r="U921">
        <f>Sheet1[[#This Row],[Total Sales]]*Sheet1[[#This Row],[Discount]]</f>
        <v>0</v>
      </c>
      <c r="V921" s="4">
        <f>Sheet1[[#This Row],[Total Sales]]-Sheet1[[#This Row],[Total Sales]]*Sheet1[[#This Row],[Discount]]</f>
        <v>196</v>
      </c>
      <c r="W921" s="4">
        <f>Sheet1[[#This Row],[Quantity]]*Sheet1[[#This Row],[Profit]]</f>
        <v>91.950800000000001</v>
      </c>
      <c r="X921" s="5">
        <f>Sheet1[[#This Row],[Total Profit]]/Sheet1[[#This Row],[Sales After Discount]]</f>
        <v>0.46913673469387757</v>
      </c>
      <c r="Y921" s="4">
        <f>Sheet1[[#This Row],[Shipping_cost]]*Sheet1[[#This Row],[Quantity]]</f>
        <v>20.260000000000002</v>
      </c>
      <c r="Z921" s="4">
        <f>Sheet1[[#This Row],[Total Profit]]-Sheet1[[#This Row],[Total Shipping Cost]]</f>
        <v>71.690799999999996</v>
      </c>
      <c r="AA921" s="4" t="str">
        <f>IF(Sheet1[[#This Row],[Net Profit]]&gt;0,"Profit","Loss")</f>
        <v>Profit</v>
      </c>
    </row>
    <row r="922" spans="1:27" x14ac:dyDescent="0.25">
      <c r="A922" t="s">
        <v>1171</v>
      </c>
      <c r="B922" s="1">
        <v>40607</v>
      </c>
      <c r="C922" s="1">
        <v>40610</v>
      </c>
      <c r="D922" t="s">
        <v>18</v>
      </c>
      <c r="E922" t="s">
        <v>555</v>
      </c>
      <c r="F922" t="s">
        <v>3</v>
      </c>
      <c r="G922" t="s">
        <v>649</v>
      </c>
      <c r="H922" t="s">
        <v>126</v>
      </c>
      <c r="I922" t="s">
        <v>127</v>
      </c>
      <c r="J922" t="s">
        <v>173</v>
      </c>
      <c r="K922" t="s">
        <v>7</v>
      </c>
      <c r="L922" t="s">
        <v>91</v>
      </c>
      <c r="M922">
        <v>60</v>
      </c>
      <c r="N922">
        <v>3</v>
      </c>
      <c r="O922">
        <v>0</v>
      </c>
      <c r="P922">
        <v>15.475199999999999</v>
      </c>
      <c r="Q922">
        <v>8.02</v>
      </c>
      <c r="R922" t="s">
        <v>9</v>
      </c>
      <c r="S922">
        <f>Sheet1[[#This Row],[Ship_date]]-Sheet1[[#This Row],[Order_date]]</f>
        <v>3</v>
      </c>
      <c r="T922">
        <f>Sheet1[[#This Row],[Quantity]]*Sheet1[[#This Row],[Sales]]</f>
        <v>180</v>
      </c>
      <c r="U922">
        <f>Sheet1[[#This Row],[Total Sales]]*Sheet1[[#This Row],[Discount]]</f>
        <v>0</v>
      </c>
      <c r="V922" s="4">
        <f>Sheet1[[#This Row],[Total Sales]]-Sheet1[[#This Row],[Total Sales]]*Sheet1[[#This Row],[Discount]]</f>
        <v>180</v>
      </c>
      <c r="W922" s="4">
        <f>Sheet1[[#This Row],[Quantity]]*Sheet1[[#This Row],[Profit]]</f>
        <v>46.425599999999996</v>
      </c>
      <c r="X922" s="5">
        <f>Sheet1[[#This Row],[Total Profit]]/Sheet1[[#This Row],[Sales After Discount]]</f>
        <v>0.25791999999999998</v>
      </c>
      <c r="Y922" s="4">
        <f>Sheet1[[#This Row],[Shipping_cost]]*Sheet1[[#This Row],[Quantity]]</f>
        <v>24.06</v>
      </c>
      <c r="Z922" s="4">
        <f>Sheet1[[#This Row],[Total Profit]]-Sheet1[[#This Row],[Total Shipping Cost]]</f>
        <v>22.365599999999997</v>
      </c>
      <c r="AA922" s="4" t="str">
        <f>IF(Sheet1[[#This Row],[Net Profit]]&gt;0,"Profit","Loss")</f>
        <v>Profit</v>
      </c>
    </row>
    <row r="923" spans="1:27" x14ac:dyDescent="0.25">
      <c r="A923" t="s">
        <v>1171</v>
      </c>
      <c r="B923" s="1">
        <v>40607</v>
      </c>
      <c r="C923" s="1">
        <v>40610</v>
      </c>
      <c r="D923" t="s">
        <v>18</v>
      </c>
      <c r="E923" t="s">
        <v>555</v>
      </c>
      <c r="F923" t="s">
        <v>3</v>
      </c>
      <c r="G923" t="s">
        <v>649</v>
      </c>
      <c r="H923" t="s">
        <v>126</v>
      </c>
      <c r="I923" t="s">
        <v>127</v>
      </c>
      <c r="J923" t="s">
        <v>173</v>
      </c>
      <c r="K923" t="s">
        <v>7</v>
      </c>
      <c r="L923" t="s">
        <v>137</v>
      </c>
      <c r="M923">
        <v>50</v>
      </c>
      <c r="N923">
        <v>6</v>
      </c>
      <c r="O923">
        <v>0.2</v>
      </c>
      <c r="P923">
        <v>16.750800000000002</v>
      </c>
      <c r="Q923">
        <v>7.52</v>
      </c>
      <c r="R923" t="s">
        <v>9</v>
      </c>
      <c r="S923">
        <f>Sheet1[[#This Row],[Ship_date]]-Sheet1[[#This Row],[Order_date]]</f>
        <v>3</v>
      </c>
      <c r="T923">
        <f>Sheet1[[#This Row],[Quantity]]*Sheet1[[#This Row],[Sales]]</f>
        <v>300</v>
      </c>
      <c r="U923">
        <f>Sheet1[[#This Row],[Total Sales]]*Sheet1[[#This Row],[Discount]]</f>
        <v>60</v>
      </c>
      <c r="V923" s="4">
        <f>Sheet1[[#This Row],[Total Sales]]-Sheet1[[#This Row],[Total Sales]]*Sheet1[[#This Row],[Discount]]</f>
        <v>240</v>
      </c>
      <c r="W923" s="4">
        <f>Sheet1[[#This Row],[Quantity]]*Sheet1[[#This Row],[Profit]]</f>
        <v>100.50480000000002</v>
      </c>
      <c r="X923" s="5">
        <f>Sheet1[[#This Row],[Total Profit]]/Sheet1[[#This Row],[Sales After Discount]]</f>
        <v>0.41877000000000009</v>
      </c>
      <c r="Y923" s="4">
        <f>Sheet1[[#This Row],[Shipping_cost]]*Sheet1[[#This Row],[Quantity]]</f>
        <v>45.12</v>
      </c>
      <c r="Z923" s="4">
        <f>Sheet1[[#This Row],[Total Profit]]-Sheet1[[#This Row],[Total Shipping Cost]]</f>
        <v>55.38480000000002</v>
      </c>
      <c r="AA923" s="4" t="str">
        <f>IF(Sheet1[[#This Row],[Net Profit]]&gt;0,"Profit","Loss")</f>
        <v>Profit</v>
      </c>
    </row>
    <row r="924" spans="1:27" x14ac:dyDescent="0.25">
      <c r="A924" t="s">
        <v>1172</v>
      </c>
      <c r="B924" s="1">
        <v>40607</v>
      </c>
      <c r="C924" s="1">
        <v>40613</v>
      </c>
      <c r="D924" t="s">
        <v>1</v>
      </c>
      <c r="E924" t="s">
        <v>392</v>
      </c>
      <c r="F924" t="s">
        <v>26</v>
      </c>
      <c r="G924" t="s">
        <v>65</v>
      </c>
      <c r="H924" t="s">
        <v>66</v>
      </c>
      <c r="I924" t="s">
        <v>29</v>
      </c>
      <c r="J924" t="s">
        <v>30</v>
      </c>
      <c r="K924" t="s">
        <v>7</v>
      </c>
      <c r="L924" t="s">
        <v>91</v>
      </c>
      <c r="M924">
        <v>102</v>
      </c>
      <c r="N924">
        <v>2</v>
      </c>
      <c r="O924">
        <v>0.1</v>
      </c>
      <c r="P924">
        <v>-10.295999999999999</v>
      </c>
      <c r="Q924">
        <v>7.29</v>
      </c>
      <c r="R924" t="s">
        <v>9</v>
      </c>
      <c r="S924">
        <f>Sheet1[[#This Row],[Ship_date]]-Sheet1[[#This Row],[Order_date]]</f>
        <v>6</v>
      </c>
      <c r="T924">
        <f>Sheet1[[#This Row],[Quantity]]*Sheet1[[#This Row],[Sales]]</f>
        <v>204</v>
      </c>
      <c r="U924">
        <f>Sheet1[[#This Row],[Total Sales]]*Sheet1[[#This Row],[Discount]]</f>
        <v>20.400000000000002</v>
      </c>
      <c r="V924" s="4">
        <f>Sheet1[[#This Row],[Total Sales]]-Sheet1[[#This Row],[Total Sales]]*Sheet1[[#This Row],[Discount]]</f>
        <v>183.6</v>
      </c>
      <c r="W924" s="4">
        <f>Sheet1[[#This Row],[Quantity]]*Sheet1[[#This Row],[Profit]]</f>
        <v>-20.591999999999999</v>
      </c>
      <c r="X924" s="5">
        <f>Sheet1[[#This Row],[Total Profit]]/Sheet1[[#This Row],[Sales After Discount]]</f>
        <v>-0.11215686274509803</v>
      </c>
      <c r="Y924" s="4">
        <f>Sheet1[[#This Row],[Shipping_cost]]*Sheet1[[#This Row],[Quantity]]</f>
        <v>14.58</v>
      </c>
      <c r="Z924" s="4">
        <f>Sheet1[[#This Row],[Total Profit]]-Sheet1[[#This Row],[Total Shipping Cost]]</f>
        <v>-35.171999999999997</v>
      </c>
      <c r="AA924" s="4" t="str">
        <f>IF(Sheet1[[#This Row],[Net Profit]]&gt;0,"Profit","Loss")</f>
        <v>Loss</v>
      </c>
    </row>
    <row r="925" spans="1:27" x14ac:dyDescent="0.25">
      <c r="A925" t="s">
        <v>1173</v>
      </c>
      <c r="B925" s="1">
        <v>40607</v>
      </c>
      <c r="C925" s="1">
        <v>40614</v>
      </c>
      <c r="D925" t="s">
        <v>1</v>
      </c>
      <c r="E925" t="s">
        <v>1174</v>
      </c>
      <c r="F925" t="s">
        <v>43</v>
      </c>
      <c r="G925" t="s">
        <v>1175</v>
      </c>
      <c r="H925" t="s">
        <v>972</v>
      </c>
      <c r="I925" t="s">
        <v>22</v>
      </c>
      <c r="J925" t="s">
        <v>22</v>
      </c>
      <c r="K925" t="s">
        <v>7</v>
      </c>
      <c r="L925" t="s">
        <v>137</v>
      </c>
      <c r="M925">
        <v>26</v>
      </c>
      <c r="N925">
        <v>2</v>
      </c>
      <c r="O925">
        <v>0</v>
      </c>
      <c r="P925">
        <v>1.8</v>
      </c>
      <c r="Q925">
        <v>1.99</v>
      </c>
      <c r="R925" t="s">
        <v>51</v>
      </c>
      <c r="S925">
        <f>Sheet1[[#This Row],[Ship_date]]-Sheet1[[#This Row],[Order_date]]</f>
        <v>7</v>
      </c>
      <c r="T925">
        <f>Sheet1[[#This Row],[Quantity]]*Sheet1[[#This Row],[Sales]]</f>
        <v>52</v>
      </c>
      <c r="U925">
        <f>Sheet1[[#This Row],[Total Sales]]*Sheet1[[#This Row],[Discount]]</f>
        <v>0</v>
      </c>
      <c r="V925" s="4">
        <f>Sheet1[[#This Row],[Total Sales]]-Sheet1[[#This Row],[Total Sales]]*Sheet1[[#This Row],[Discount]]</f>
        <v>52</v>
      </c>
      <c r="W925" s="4">
        <f>Sheet1[[#This Row],[Quantity]]*Sheet1[[#This Row],[Profit]]</f>
        <v>3.6</v>
      </c>
      <c r="X925" s="5">
        <f>Sheet1[[#This Row],[Total Profit]]/Sheet1[[#This Row],[Sales After Discount]]</f>
        <v>6.9230769230769235E-2</v>
      </c>
      <c r="Y925" s="4">
        <f>Sheet1[[#This Row],[Shipping_cost]]*Sheet1[[#This Row],[Quantity]]</f>
        <v>3.98</v>
      </c>
      <c r="Z925" s="4">
        <f>Sheet1[[#This Row],[Total Profit]]-Sheet1[[#This Row],[Total Shipping Cost]]</f>
        <v>-0.37999999999999989</v>
      </c>
      <c r="AA925" s="4" t="str">
        <f>IF(Sheet1[[#This Row],[Net Profit]]&gt;0,"Profit","Loss")</f>
        <v>Loss</v>
      </c>
    </row>
    <row r="926" spans="1:27" x14ac:dyDescent="0.25">
      <c r="A926" t="s">
        <v>1171</v>
      </c>
      <c r="B926" s="1">
        <v>40607</v>
      </c>
      <c r="C926" s="1">
        <v>40610</v>
      </c>
      <c r="D926" t="s">
        <v>18</v>
      </c>
      <c r="E926" t="s">
        <v>555</v>
      </c>
      <c r="F926" t="s">
        <v>3</v>
      </c>
      <c r="G926" t="s">
        <v>649</v>
      </c>
      <c r="H926" t="s">
        <v>126</v>
      </c>
      <c r="I926" t="s">
        <v>127</v>
      </c>
      <c r="J926" t="s">
        <v>173</v>
      </c>
      <c r="K926" t="s">
        <v>7</v>
      </c>
      <c r="L926" t="s">
        <v>16</v>
      </c>
      <c r="M926">
        <v>19</v>
      </c>
      <c r="N926">
        <v>2</v>
      </c>
      <c r="O926">
        <v>0</v>
      </c>
      <c r="P926">
        <v>5.3997999999999999</v>
      </c>
      <c r="Q926">
        <v>1.91</v>
      </c>
      <c r="R926" t="s">
        <v>9</v>
      </c>
      <c r="S926">
        <f>Sheet1[[#This Row],[Ship_date]]-Sheet1[[#This Row],[Order_date]]</f>
        <v>3</v>
      </c>
      <c r="T926">
        <f>Sheet1[[#This Row],[Quantity]]*Sheet1[[#This Row],[Sales]]</f>
        <v>38</v>
      </c>
      <c r="U926">
        <f>Sheet1[[#This Row],[Total Sales]]*Sheet1[[#This Row],[Discount]]</f>
        <v>0</v>
      </c>
      <c r="V926" s="4">
        <f>Sheet1[[#This Row],[Total Sales]]-Sheet1[[#This Row],[Total Sales]]*Sheet1[[#This Row],[Discount]]</f>
        <v>38</v>
      </c>
      <c r="W926" s="4">
        <f>Sheet1[[#This Row],[Quantity]]*Sheet1[[#This Row],[Profit]]</f>
        <v>10.7996</v>
      </c>
      <c r="X926" s="5">
        <f>Sheet1[[#This Row],[Total Profit]]/Sheet1[[#This Row],[Sales After Discount]]</f>
        <v>0.28420000000000001</v>
      </c>
      <c r="Y926" s="4">
        <f>Sheet1[[#This Row],[Shipping_cost]]*Sheet1[[#This Row],[Quantity]]</f>
        <v>3.82</v>
      </c>
      <c r="Z926" s="4">
        <f>Sheet1[[#This Row],[Total Profit]]-Sheet1[[#This Row],[Total Shipping Cost]]</f>
        <v>6.9795999999999996</v>
      </c>
      <c r="AA926" s="4" t="str">
        <f>IF(Sheet1[[#This Row],[Net Profit]]&gt;0,"Profit","Loss")</f>
        <v>Profit</v>
      </c>
    </row>
    <row r="927" spans="1:27" x14ac:dyDescent="0.25">
      <c r="A927" t="s">
        <v>1176</v>
      </c>
      <c r="B927" s="1">
        <v>40608</v>
      </c>
      <c r="C927" s="1">
        <v>40611</v>
      </c>
      <c r="D927" t="s">
        <v>18</v>
      </c>
      <c r="E927" t="s">
        <v>1177</v>
      </c>
      <c r="F927" t="s">
        <v>3</v>
      </c>
      <c r="G927" t="s">
        <v>74</v>
      </c>
      <c r="H927" t="s">
        <v>74</v>
      </c>
      <c r="I927" t="s">
        <v>75</v>
      </c>
      <c r="J927" t="s">
        <v>76</v>
      </c>
      <c r="K927" t="s">
        <v>7</v>
      </c>
      <c r="L927" t="s">
        <v>96</v>
      </c>
      <c r="M927">
        <v>127</v>
      </c>
      <c r="N927">
        <v>5</v>
      </c>
      <c r="O927">
        <v>0</v>
      </c>
      <c r="P927">
        <v>29.2</v>
      </c>
      <c r="Q927">
        <v>15.77</v>
      </c>
      <c r="R927" t="s">
        <v>23</v>
      </c>
      <c r="S927">
        <f>Sheet1[[#This Row],[Ship_date]]-Sheet1[[#This Row],[Order_date]]</f>
        <v>3</v>
      </c>
      <c r="T927">
        <f>Sheet1[[#This Row],[Quantity]]*Sheet1[[#This Row],[Sales]]</f>
        <v>635</v>
      </c>
      <c r="U927">
        <f>Sheet1[[#This Row],[Total Sales]]*Sheet1[[#This Row],[Discount]]</f>
        <v>0</v>
      </c>
      <c r="V927" s="4">
        <f>Sheet1[[#This Row],[Total Sales]]-Sheet1[[#This Row],[Total Sales]]*Sheet1[[#This Row],[Discount]]</f>
        <v>635</v>
      </c>
      <c r="W927" s="4">
        <f>Sheet1[[#This Row],[Quantity]]*Sheet1[[#This Row],[Profit]]</f>
        <v>146</v>
      </c>
      <c r="X927" s="5">
        <f>Sheet1[[#This Row],[Total Profit]]/Sheet1[[#This Row],[Sales After Discount]]</f>
        <v>0.22992125984251968</v>
      </c>
      <c r="Y927" s="4">
        <f>Sheet1[[#This Row],[Shipping_cost]]*Sheet1[[#This Row],[Quantity]]</f>
        <v>78.849999999999994</v>
      </c>
      <c r="Z927" s="4">
        <f>Sheet1[[#This Row],[Total Profit]]-Sheet1[[#This Row],[Total Shipping Cost]]</f>
        <v>67.150000000000006</v>
      </c>
      <c r="AA927" s="4" t="str">
        <f>IF(Sheet1[[#This Row],[Net Profit]]&gt;0,"Profit","Loss")</f>
        <v>Profit</v>
      </c>
    </row>
    <row r="928" spans="1:27" x14ac:dyDescent="0.25">
      <c r="A928" t="s">
        <v>1176</v>
      </c>
      <c r="B928" s="1">
        <v>40608</v>
      </c>
      <c r="C928" s="1">
        <v>40611</v>
      </c>
      <c r="D928" t="s">
        <v>18</v>
      </c>
      <c r="E928" t="s">
        <v>1177</v>
      </c>
      <c r="F928" t="s">
        <v>3</v>
      </c>
      <c r="G928" t="s">
        <v>74</v>
      </c>
      <c r="H928" t="s">
        <v>74</v>
      </c>
      <c r="I928" t="s">
        <v>75</v>
      </c>
      <c r="J928" t="s">
        <v>76</v>
      </c>
      <c r="K928" t="s">
        <v>7</v>
      </c>
      <c r="L928" t="s">
        <v>137</v>
      </c>
      <c r="M928">
        <v>8</v>
      </c>
      <c r="N928">
        <v>2</v>
      </c>
      <c r="O928">
        <v>0</v>
      </c>
      <c r="P928">
        <v>1.48</v>
      </c>
      <c r="Q928">
        <v>0.69</v>
      </c>
      <c r="R928" t="s">
        <v>23</v>
      </c>
      <c r="S928">
        <f>Sheet1[[#This Row],[Ship_date]]-Sheet1[[#This Row],[Order_date]]</f>
        <v>3</v>
      </c>
      <c r="T928">
        <f>Sheet1[[#This Row],[Quantity]]*Sheet1[[#This Row],[Sales]]</f>
        <v>16</v>
      </c>
      <c r="U928">
        <f>Sheet1[[#This Row],[Total Sales]]*Sheet1[[#This Row],[Discount]]</f>
        <v>0</v>
      </c>
      <c r="V928" s="4">
        <f>Sheet1[[#This Row],[Total Sales]]-Sheet1[[#This Row],[Total Sales]]*Sheet1[[#This Row],[Discount]]</f>
        <v>16</v>
      </c>
      <c r="W928" s="4">
        <f>Sheet1[[#This Row],[Quantity]]*Sheet1[[#This Row],[Profit]]</f>
        <v>2.96</v>
      </c>
      <c r="X928" s="5">
        <f>Sheet1[[#This Row],[Total Profit]]/Sheet1[[#This Row],[Sales After Discount]]</f>
        <v>0.185</v>
      </c>
      <c r="Y928" s="4">
        <f>Sheet1[[#This Row],[Shipping_cost]]*Sheet1[[#This Row],[Quantity]]</f>
        <v>1.38</v>
      </c>
      <c r="Z928" s="4">
        <f>Sheet1[[#This Row],[Total Profit]]-Sheet1[[#This Row],[Total Shipping Cost]]</f>
        <v>1.58</v>
      </c>
      <c r="AA928" s="4" t="str">
        <f>IF(Sheet1[[#This Row],[Net Profit]]&gt;0,"Profit","Loss")</f>
        <v>Profit</v>
      </c>
    </row>
    <row r="929" spans="1:27" x14ac:dyDescent="0.25">
      <c r="A929" t="s">
        <v>1178</v>
      </c>
      <c r="B929" s="1">
        <v>40609</v>
      </c>
      <c r="C929" s="1">
        <v>40613</v>
      </c>
      <c r="D929" t="s">
        <v>1</v>
      </c>
      <c r="E929" t="s">
        <v>1179</v>
      </c>
      <c r="F929" t="s">
        <v>3</v>
      </c>
      <c r="G929" t="s">
        <v>1180</v>
      </c>
      <c r="H929" t="s">
        <v>410</v>
      </c>
      <c r="I929" t="s">
        <v>22</v>
      </c>
      <c r="J929" t="s">
        <v>22</v>
      </c>
      <c r="K929" t="s">
        <v>38</v>
      </c>
      <c r="L929" t="s">
        <v>82</v>
      </c>
      <c r="M929">
        <v>1012</v>
      </c>
      <c r="N929">
        <v>10</v>
      </c>
      <c r="O929">
        <v>0</v>
      </c>
      <c r="P929">
        <v>20.100000000000001</v>
      </c>
      <c r="Q929">
        <v>137.13999999999999</v>
      </c>
      <c r="R929" t="s">
        <v>23</v>
      </c>
      <c r="S929">
        <f>Sheet1[[#This Row],[Ship_date]]-Sheet1[[#This Row],[Order_date]]</f>
        <v>4</v>
      </c>
      <c r="T929">
        <f>Sheet1[[#This Row],[Quantity]]*Sheet1[[#This Row],[Sales]]</f>
        <v>10120</v>
      </c>
      <c r="U929">
        <f>Sheet1[[#This Row],[Total Sales]]*Sheet1[[#This Row],[Discount]]</f>
        <v>0</v>
      </c>
      <c r="V929" s="4">
        <f>Sheet1[[#This Row],[Total Sales]]-Sheet1[[#This Row],[Total Sales]]*Sheet1[[#This Row],[Discount]]</f>
        <v>10120</v>
      </c>
      <c r="W929" s="4">
        <f>Sheet1[[#This Row],[Quantity]]*Sheet1[[#This Row],[Profit]]</f>
        <v>201</v>
      </c>
      <c r="X929" s="5">
        <f>Sheet1[[#This Row],[Total Profit]]/Sheet1[[#This Row],[Sales After Discount]]</f>
        <v>1.9861660079051383E-2</v>
      </c>
      <c r="Y929" s="4">
        <f>Sheet1[[#This Row],[Shipping_cost]]*Sheet1[[#This Row],[Quantity]]</f>
        <v>1371.3999999999999</v>
      </c>
      <c r="Z929" s="4">
        <f>Sheet1[[#This Row],[Total Profit]]-Sheet1[[#This Row],[Total Shipping Cost]]</f>
        <v>-1170.3999999999999</v>
      </c>
      <c r="AA929" s="4" t="str">
        <f>IF(Sheet1[[#This Row],[Net Profit]]&gt;0,"Profit","Loss")</f>
        <v>Loss</v>
      </c>
    </row>
    <row r="930" spans="1:27" x14ac:dyDescent="0.25">
      <c r="A930" t="s">
        <v>1181</v>
      </c>
      <c r="B930" s="1">
        <v>40609</v>
      </c>
      <c r="C930" s="1">
        <v>40614</v>
      </c>
      <c r="D930" t="s">
        <v>1</v>
      </c>
      <c r="E930" t="s">
        <v>1182</v>
      </c>
      <c r="F930" t="s">
        <v>43</v>
      </c>
      <c r="G930" t="s">
        <v>740</v>
      </c>
      <c r="H930" t="s">
        <v>126</v>
      </c>
      <c r="I930" t="s">
        <v>127</v>
      </c>
      <c r="J930" t="s">
        <v>192</v>
      </c>
      <c r="K930" t="s">
        <v>32</v>
      </c>
      <c r="L930" t="s">
        <v>56</v>
      </c>
      <c r="M930">
        <v>482</v>
      </c>
      <c r="N930">
        <v>2</v>
      </c>
      <c r="O930">
        <v>0.2</v>
      </c>
      <c r="P930">
        <v>54.176400000000001</v>
      </c>
      <c r="Q930">
        <v>42.74</v>
      </c>
      <c r="R930" t="s">
        <v>9</v>
      </c>
      <c r="S930">
        <f>Sheet1[[#This Row],[Ship_date]]-Sheet1[[#This Row],[Order_date]]</f>
        <v>5</v>
      </c>
      <c r="T930">
        <f>Sheet1[[#This Row],[Quantity]]*Sheet1[[#This Row],[Sales]]</f>
        <v>964</v>
      </c>
      <c r="U930">
        <f>Sheet1[[#This Row],[Total Sales]]*Sheet1[[#This Row],[Discount]]</f>
        <v>192.8</v>
      </c>
      <c r="V930" s="4">
        <f>Sheet1[[#This Row],[Total Sales]]-Sheet1[[#This Row],[Total Sales]]*Sheet1[[#This Row],[Discount]]</f>
        <v>771.2</v>
      </c>
      <c r="W930" s="4">
        <f>Sheet1[[#This Row],[Quantity]]*Sheet1[[#This Row],[Profit]]</f>
        <v>108.3528</v>
      </c>
      <c r="X930" s="5">
        <f>Sheet1[[#This Row],[Total Profit]]/Sheet1[[#This Row],[Sales After Discount]]</f>
        <v>0.14049896265560166</v>
      </c>
      <c r="Y930" s="4">
        <f>Sheet1[[#This Row],[Shipping_cost]]*Sheet1[[#This Row],[Quantity]]</f>
        <v>85.48</v>
      </c>
      <c r="Z930" s="4">
        <f>Sheet1[[#This Row],[Total Profit]]-Sheet1[[#This Row],[Total Shipping Cost]]</f>
        <v>22.872799999999998</v>
      </c>
      <c r="AA930" s="4" t="str">
        <f>IF(Sheet1[[#This Row],[Net Profit]]&gt;0,"Profit","Loss")</f>
        <v>Profit</v>
      </c>
    </row>
    <row r="931" spans="1:27" x14ac:dyDescent="0.25">
      <c r="A931" t="s">
        <v>1181</v>
      </c>
      <c r="B931" s="1">
        <v>40609</v>
      </c>
      <c r="C931" s="1">
        <v>40614</v>
      </c>
      <c r="D931" t="s">
        <v>1</v>
      </c>
      <c r="E931" t="s">
        <v>1182</v>
      </c>
      <c r="F931" t="s">
        <v>43</v>
      </c>
      <c r="G931" t="s">
        <v>740</v>
      </c>
      <c r="H931" t="s">
        <v>126</v>
      </c>
      <c r="I931" t="s">
        <v>127</v>
      </c>
      <c r="J931" t="s">
        <v>192</v>
      </c>
      <c r="K931" t="s">
        <v>32</v>
      </c>
      <c r="L931" t="s">
        <v>56</v>
      </c>
      <c r="M931">
        <v>437</v>
      </c>
      <c r="N931">
        <v>6</v>
      </c>
      <c r="O931">
        <v>0.2</v>
      </c>
      <c r="P931">
        <v>21.8352</v>
      </c>
      <c r="Q931">
        <v>38.450000000000003</v>
      </c>
      <c r="R931" t="s">
        <v>9</v>
      </c>
      <c r="S931">
        <f>Sheet1[[#This Row],[Ship_date]]-Sheet1[[#This Row],[Order_date]]</f>
        <v>5</v>
      </c>
      <c r="T931">
        <f>Sheet1[[#This Row],[Quantity]]*Sheet1[[#This Row],[Sales]]</f>
        <v>2622</v>
      </c>
      <c r="U931">
        <f>Sheet1[[#This Row],[Total Sales]]*Sheet1[[#This Row],[Discount]]</f>
        <v>524.4</v>
      </c>
      <c r="V931" s="4">
        <f>Sheet1[[#This Row],[Total Sales]]-Sheet1[[#This Row],[Total Sales]]*Sheet1[[#This Row],[Discount]]</f>
        <v>2097.6</v>
      </c>
      <c r="W931" s="4">
        <f>Sheet1[[#This Row],[Quantity]]*Sheet1[[#This Row],[Profit]]</f>
        <v>131.0112</v>
      </c>
      <c r="X931" s="5">
        <f>Sheet1[[#This Row],[Total Profit]]/Sheet1[[#This Row],[Sales After Discount]]</f>
        <v>6.2457665903890167E-2</v>
      </c>
      <c r="Y931" s="4">
        <f>Sheet1[[#This Row],[Shipping_cost]]*Sheet1[[#This Row],[Quantity]]</f>
        <v>230.70000000000002</v>
      </c>
      <c r="Z931" s="4">
        <f>Sheet1[[#This Row],[Total Profit]]-Sheet1[[#This Row],[Total Shipping Cost]]</f>
        <v>-99.688800000000015</v>
      </c>
      <c r="AA931" s="4" t="str">
        <f>IF(Sheet1[[#This Row],[Net Profit]]&gt;0,"Profit","Loss")</f>
        <v>Loss</v>
      </c>
    </row>
    <row r="932" spans="1:27" x14ac:dyDescent="0.25">
      <c r="A932" t="s">
        <v>1183</v>
      </c>
      <c r="B932" s="1">
        <v>40609</v>
      </c>
      <c r="C932" s="1">
        <v>40613</v>
      </c>
      <c r="D932" t="s">
        <v>1</v>
      </c>
      <c r="E932" t="s">
        <v>968</v>
      </c>
      <c r="F932" t="s">
        <v>3</v>
      </c>
      <c r="G932" t="s">
        <v>74</v>
      </c>
      <c r="H932" t="s">
        <v>74</v>
      </c>
      <c r="I932" t="s">
        <v>75</v>
      </c>
      <c r="J932" t="s">
        <v>76</v>
      </c>
      <c r="K932" t="s">
        <v>7</v>
      </c>
      <c r="L932" t="s">
        <v>8</v>
      </c>
      <c r="M932">
        <v>846</v>
      </c>
      <c r="N932">
        <v>6</v>
      </c>
      <c r="O932">
        <v>0</v>
      </c>
      <c r="P932">
        <v>25.32</v>
      </c>
      <c r="Q932">
        <v>35.979999999999997</v>
      </c>
      <c r="R932" t="s">
        <v>9</v>
      </c>
      <c r="S932">
        <f>Sheet1[[#This Row],[Ship_date]]-Sheet1[[#This Row],[Order_date]]</f>
        <v>4</v>
      </c>
      <c r="T932">
        <f>Sheet1[[#This Row],[Quantity]]*Sheet1[[#This Row],[Sales]]</f>
        <v>5076</v>
      </c>
      <c r="U932">
        <f>Sheet1[[#This Row],[Total Sales]]*Sheet1[[#This Row],[Discount]]</f>
        <v>0</v>
      </c>
      <c r="V932" s="4">
        <f>Sheet1[[#This Row],[Total Sales]]-Sheet1[[#This Row],[Total Sales]]*Sheet1[[#This Row],[Discount]]</f>
        <v>5076</v>
      </c>
      <c r="W932" s="4">
        <f>Sheet1[[#This Row],[Quantity]]*Sheet1[[#This Row],[Profit]]</f>
        <v>151.92000000000002</v>
      </c>
      <c r="X932" s="5">
        <f>Sheet1[[#This Row],[Total Profit]]/Sheet1[[#This Row],[Sales After Discount]]</f>
        <v>2.9929078014184402E-2</v>
      </c>
      <c r="Y932" s="4">
        <f>Sheet1[[#This Row],[Shipping_cost]]*Sheet1[[#This Row],[Quantity]]</f>
        <v>215.88</v>
      </c>
      <c r="Z932" s="4">
        <f>Sheet1[[#This Row],[Total Profit]]-Sheet1[[#This Row],[Total Shipping Cost]]</f>
        <v>-63.95999999999998</v>
      </c>
      <c r="AA932" s="4" t="str">
        <f>IF(Sheet1[[#This Row],[Net Profit]]&gt;0,"Profit","Loss")</f>
        <v>Loss</v>
      </c>
    </row>
    <row r="933" spans="1:27" x14ac:dyDescent="0.25">
      <c r="A933" t="s">
        <v>1184</v>
      </c>
      <c r="B933" s="1">
        <v>40609</v>
      </c>
      <c r="C933" s="1">
        <v>40610</v>
      </c>
      <c r="D933" t="s">
        <v>142</v>
      </c>
      <c r="E933" t="s">
        <v>439</v>
      </c>
      <c r="F933" t="s">
        <v>3</v>
      </c>
      <c r="G933" t="s">
        <v>153</v>
      </c>
      <c r="H933" t="s">
        <v>115</v>
      </c>
      <c r="I933" t="s">
        <v>29</v>
      </c>
      <c r="J933" t="s">
        <v>76</v>
      </c>
      <c r="K933" t="s">
        <v>7</v>
      </c>
      <c r="L933" t="s">
        <v>91</v>
      </c>
      <c r="M933">
        <v>108</v>
      </c>
      <c r="N933">
        <v>2</v>
      </c>
      <c r="O933">
        <v>0</v>
      </c>
      <c r="P933">
        <v>36.659999999999997</v>
      </c>
      <c r="Q933">
        <v>16.03</v>
      </c>
      <c r="R933" t="s">
        <v>23</v>
      </c>
      <c r="S933">
        <f>Sheet1[[#This Row],[Ship_date]]-Sheet1[[#This Row],[Order_date]]</f>
        <v>1</v>
      </c>
      <c r="T933">
        <f>Sheet1[[#This Row],[Quantity]]*Sheet1[[#This Row],[Sales]]</f>
        <v>216</v>
      </c>
      <c r="U933">
        <f>Sheet1[[#This Row],[Total Sales]]*Sheet1[[#This Row],[Discount]]</f>
        <v>0</v>
      </c>
      <c r="V933" s="4">
        <f>Sheet1[[#This Row],[Total Sales]]-Sheet1[[#This Row],[Total Sales]]*Sheet1[[#This Row],[Discount]]</f>
        <v>216</v>
      </c>
      <c r="W933" s="4">
        <f>Sheet1[[#This Row],[Quantity]]*Sheet1[[#This Row],[Profit]]</f>
        <v>73.319999999999993</v>
      </c>
      <c r="X933" s="5">
        <f>Sheet1[[#This Row],[Total Profit]]/Sheet1[[#This Row],[Sales After Discount]]</f>
        <v>0.33944444444444444</v>
      </c>
      <c r="Y933" s="4">
        <f>Sheet1[[#This Row],[Shipping_cost]]*Sheet1[[#This Row],[Quantity]]</f>
        <v>32.06</v>
      </c>
      <c r="Z933" s="4">
        <f>Sheet1[[#This Row],[Total Profit]]-Sheet1[[#This Row],[Total Shipping Cost]]</f>
        <v>41.259999999999991</v>
      </c>
      <c r="AA933" s="4" t="str">
        <f>IF(Sheet1[[#This Row],[Net Profit]]&gt;0,"Profit","Loss")</f>
        <v>Profit</v>
      </c>
    </row>
    <row r="934" spans="1:27" x14ac:dyDescent="0.25">
      <c r="A934" t="s">
        <v>1185</v>
      </c>
      <c r="B934" s="1">
        <v>40609</v>
      </c>
      <c r="C934" s="1">
        <v>40610</v>
      </c>
      <c r="D934" t="s">
        <v>142</v>
      </c>
      <c r="E934" t="s">
        <v>942</v>
      </c>
      <c r="F934" t="s">
        <v>3</v>
      </c>
      <c r="G934" t="s">
        <v>740</v>
      </c>
      <c r="H934" t="s">
        <v>126</v>
      </c>
      <c r="I934" t="s">
        <v>127</v>
      </c>
      <c r="J934" t="s">
        <v>192</v>
      </c>
      <c r="K934" t="s">
        <v>32</v>
      </c>
      <c r="L934" t="s">
        <v>56</v>
      </c>
      <c r="M934">
        <v>49</v>
      </c>
      <c r="N934">
        <v>1</v>
      </c>
      <c r="O934">
        <v>0.2</v>
      </c>
      <c r="P934">
        <v>5.4801000000000002</v>
      </c>
      <c r="Q934">
        <v>11.13</v>
      </c>
      <c r="R934" t="s">
        <v>23</v>
      </c>
      <c r="S934">
        <f>Sheet1[[#This Row],[Ship_date]]-Sheet1[[#This Row],[Order_date]]</f>
        <v>1</v>
      </c>
      <c r="T934">
        <f>Sheet1[[#This Row],[Quantity]]*Sheet1[[#This Row],[Sales]]</f>
        <v>49</v>
      </c>
      <c r="U934">
        <f>Sheet1[[#This Row],[Total Sales]]*Sheet1[[#This Row],[Discount]]</f>
        <v>9.8000000000000007</v>
      </c>
      <c r="V934" s="4">
        <f>Sheet1[[#This Row],[Total Sales]]-Sheet1[[#This Row],[Total Sales]]*Sheet1[[#This Row],[Discount]]</f>
        <v>39.200000000000003</v>
      </c>
      <c r="W934" s="4">
        <f>Sheet1[[#This Row],[Quantity]]*Sheet1[[#This Row],[Profit]]</f>
        <v>5.4801000000000002</v>
      </c>
      <c r="X934" s="5">
        <f>Sheet1[[#This Row],[Total Profit]]/Sheet1[[#This Row],[Sales After Discount]]</f>
        <v>0.13979846938775509</v>
      </c>
      <c r="Y934" s="4">
        <f>Sheet1[[#This Row],[Shipping_cost]]*Sheet1[[#This Row],[Quantity]]</f>
        <v>11.13</v>
      </c>
      <c r="Z934" s="4">
        <f>Sheet1[[#This Row],[Total Profit]]-Sheet1[[#This Row],[Total Shipping Cost]]</f>
        <v>-5.6499000000000006</v>
      </c>
      <c r="AA934" s="4" t="str">
        <f>IF(Sheet1[[#This Row],[Net Profit]]&gt;0,"Profit","Loss")</f>
        <v>Loss</v>
      </c>
    </row>
    <row r="935" spans="1:27" x14ac:dyDescent="0.25">
      <c r="A935" t="s">
        <v>1181</v>
      </c>
      <c r="B935" s="1">
        <v>40609</v>
      </c>
      <c r="C935" s="1">
        <v>40614</v>
      </c>
      <c r="D935" t="s">
        <v>1</v>
      </c>
      <c r="E935" t="s">
        <v>1182</v>
      </c>
      <c r="F935" t="s">
        <v>43</v>
      </c>
      <c r="G935" t="s">
        <v>740</v>
      </c>
      <c r="H935" t="s">
        <v>126</v>
      </c>
      <c r="I935" t="s">
        <v>127</v>
      </c>
      <c r="J935" t="s">
        <v>192</v>
      </c>
      <c r="K935" t="s">
        <v>7</v>
      </c>
      <c r="L935" t="s">
        <v>8</v>
      </c>
      <c r="M935">
        <v>205</v>
      </c>
      <c r="N935">
        <v>5</v>
      </c>
      <c r="O935">
        <v>0</v>
      </c>
      <c r="P935">
        <v>0</v>
      </c>
      <c r="Q935">
        <v>10.65</v>
      </c>
      <c r="R935" t="s">
        <v>9</v>
      </c>
      <c r="S935">
        <f>Sheet1[[#This Row],[Ship_date]]-Sheet1[[#This Row],[Order_date]]</f>
        <v>5</v>
      </c>
      <c r="T935">
        <f>Sheet1[[#This Row],[Quantity]]*Sheet1[[#This Row],[Sales]]</f>
        <v>1025</v>
      </c>
      <c r="U935">
        <f>Sheet1[[#This Row],[Total Sales]]*Sheet1[[#This Row],[Discount]]</f>
        <v>0</v>
      </c>
      <c r="V935" s="4">
        <f>Sheet1[[#This Row],[Total Sales]]-Sheet1[[#This Row],[Total Sales]]*Sheet1[[#This Row],[Discount]]</f>
        <v>1025</v>
      </c>
      <c r="W935" s="4">
        <f>Sheet1[[#This Row],[Quantity]]*Sheet1[[#This Row],[Profit]]</f>
        <v>0</v>
      </c>
      <c r="X935" s="5">
        <f>Sheet1[[#This Row],[Total Profit]]/Sheet1[[#This Row],[Sales After Discount]]</f>
        <v>0</v>
      </c>
      <c r="Y935" s="4">
        <f>Sheet1[[#This Row],[Shipping_cost]]*Sheet1[[#This Row],[Quantity]]</f>
        <v>53.25</v>
      </c>
      <c r="Z935" s="4">
        <f>Sheet1[[#This Row],[Total Profit]]-Sheet1[[#This Row],[Total Shipping Cost]]</f>
        <v>-53.25</v>
      </c>
      <c r="AA935" s="4" t="str">
        <f>IF(Sheet1[[#This Row],[Net Profit]]&gt;0,"Profit","Loss")</f>
        <v>Loss</v>
      </c>
    </row>
    <row r="936" spans="1:27" x14ac:dyDescent="0.25">
      <c r="A936" t="s">
        <v>1178</v>
      </c>
      <c r="B936" s="1">
        <v>40609</v>
      </c>
      <c r="C936" s="1">
        <v>40613</v>
      </c>
      <c r="D936" t="s">
        <v>1</v>
      </c>
      <c r="E936" t="s">
        <v>1179</v>
      </c>
      <c r="F936" t="s">
        <v>3</v>
      </c>
      <c r="G936" t="s">
        <v>1180</v>
      </c>
      <c r="H936" t="s">
        <v>410</v>
      </c>
      <c r="I936" t="s">
        <v>22</v>
      </c>
      <c r="J936" t="s">
        <v>22</v>
      </c>
      <c r="K936" t="s">
        <v>7</v>
      </c>
      <c r="L936" t="s">
        <v>97</v>
      </c>
      <c r="M936">
        <v>58</v>
      </c>
      <c r="N936">
        <v>4</v>
      </c>
      <c r="O936">
        <v>0</v>
      </c>
      <c r="P936">
        <v>2.2799999999999998</v>
      </c>
      <c r="Q936">
        <v>9.01</v>
      </c>
      <c r="R936" t="s">
        <v>23</v>
      </c>
      <c r="S936">
        <f>Sheet1[[#This Row],[Ship_date]]-Sheet1[[#This Row],[Order_date]]</f>
        <v>4</v>
      </c>
      <c r="T936">
        <f>Sheet1[[#This Row],[Quantity]]*Sheet1[[#This Row],[Sales]]</f>
        <v>232</v>
      </c>
      <c r="U936">
        <f>Sheet1[[#This Row],[Total Sales]]*Sheet1[[#This Row],[Discount]]</f>
        <v>0</v>
      </c>
      <c r="V936" s="4">
        <f>Sheet1[[#This Row],[Total Sales]]-Sheet1[[#This Row],[Total Sales]]*Sheet1[[#This Row],[Discount]]</f>
        <v>232</v>
      </c>
      <c r="W936" s="4">
        <f>Sheet1[[#This Row],[Quantity]]*Sheet1[[#This Row],[Profit]]</f>
        <v>9.1199999999999992</v>
      </c>
      <c r="X936" s="5">
        <f>Sheet1[[#This Row],[Total Profit]]/Sheet1[[#This Row],[Sales After Discount]]</f>
        <v>3.9310344827586205E-2</v>
      </c>
      <c r="Y936" s="4">
        <f>Sheet1[[#This Row],[Shipping_cost]]*Sheet1[[#This Row],[Quantity]]</f>
        <v>36.04</v>
      </c>
      <c r="Z936" s="4">
        <f>Sheet1[[#This Row],[Total Profit]]-Sheet1[[#This Row],[Total Shipping Cost]]</f>
        <v>-26.92</v>
      </c>
      <c r="AA936" s="4" t="str">
        <f>IF(Sheet1[[#This Row],[Net Profit]]&gt;0,"Profit","Loss")</f>
        <v>Loss</v>
      </c>
    </row>
    <row r="937" spans="1:27" x14ac:dyDescent="0.25">
      <c r="A937" t="s">
        <v>1186</v>
      </c>
      <c r="B937" s="1">
        <v>40609</v>
      </c>
      <c r="C937" s="1">
        <v>40613</v>
      </c>
      <c r="D937" t="s">
        <v>18</v>
      </c>
      <c r="E937" t="s">
        <v>1187</v>
      </c>
      <c r="F937" t="s">
        <v>26</v>
      </c>
      <c r="G937" t="s">
        <v>740</v>
      </c>
      <c r="H937" t="s">
        <v>126</v>
      </c>
      <c r="I937" t="s">
        <v>127</v>
      </c>
      <c r="J937" t="s">
        <v>192</v>
      </c>
      <c r="K937" t="s">
        <v>7</v>
      </c>
      <c r="L937" t="s">
        <v>137</v>
      </c>
      <c r="M937">
        <v>108</v>
      </c>
      <c r="N937">
        <v>2</v>
      </c>
      <c r="O937">
        <v>0.2</v>
      </c>
      <c r="P937">
        <v>33.64</v>
      </c>
      <c r="Q937">
        <v>6.44</v>
      </c>
      <c r="R937" t="s">
        <v>9</v>
      </c>
      <c r="S937">
        <f>Sheet1[[#This Row],[Ship_date]]-Sheet1[[#This Row],[Order_date]]</f>
        <v>4</v>
      </c>
      <c r="T937">
        <f>Sheet1[[#This Row],[Quantity]]*Sheet1[[#This Row],[Sales]]</f>
        <v>216</v>
      </c>
      <c r="U937">
        <f>Sheet1[[#This Row],[Total Sales]]*Sheet1[[#This Row],[Discount]]</f>
        <v>43.2</v>
      </c>
      <c r="V937" s="4">
        <f>Sheet1[[#This Row],[Total Sales]]-Sheet1[[#This Row],[Total Sales]]*Sheet1[[#This Row],[Discount]]</f>
        <v>172.8</v>
      </c>
      <c r="W937" s="4">
        <f>Sheet1[[#This Row],[Quantity]]*Sheet1[[#This Row],[Profit]]</f>
        <v>67.28</v>
      </c>
      <c r="X937" s="5">
        <f>Sheet1[[#This Row],[Total Profit]]/Sheet1[[#This Row],[Sales After Discount]]</f>
        <v>0.38935185185185184</v>
      </c>
      <c r="Y937" s="4">
        <f>Sheet1[[#This Row],[Shipping_cost]]*Sheet1[[#This Row],[Quantity]]</f>
        <v>12.88</v>
      </c>
      <c r="Z937" s="4">
        <f>Sheet1[[#This Row],[Total Profit]]-Sheet1[[#This Row],[Total Shipping Cost]]</f>
        <v>54.4</v>
      </c>
      <c r="AA937" s="4" t="str">
        <f>IF(Sheet1[[#This Row],[Net Profit]]&gt;0,"Profit","Loss")</f>
        <v>Profit</v>
      </c>
    </row>
    <row r="938" spans="1:27" x14ac:dyDescent="0.25">
      <c r="A938" t="s">
        <v>1178</v>
      </c>
      <c r="B938" s="1">
        <v>40609</v>
      </c>
      <c r="C938" s="1">
        <v>40613</v>
      </c>
      <c r="D938" t="s">
        <v>1</v>
      </c>
      <c r="E938" t="s">
        <v>1179</v>
      </c>
      <c r="F938" t="s">
        <v>3</v>
      </c>
      <c r="G938" t="s">
        <v>1180</v>
      </c>
      <c r="H938" t="s">
        <v>410</v>
      </c>
      <c r="I938" t="s">
        <v>22</v>
      </c>
      <c r="J938" t="s">
        <v>22</v>
      </c>
      <c r="K938" t="s">
        <v>38</v>
      </c>
      <c r="L938" t="s">
        <v>77</v>
      </c>
      <c r="M938">
        <v>75</v>
      </c>
      <c r="N938">
        <v>1</v>
      </c>
      <c r="O938">
        <v>0</v>
      </c>
      <c r="P938">
        <v>19.38</v>
      </c>
      <c r="Q938">
        <v>6.38</v>
      </c>
      <c r="R938" t="s">
        <v>23</v>
      </c>
      <c r="S938">
        <f>Sheet1[[#This Row],[Ship_date]]-Sheet1[[#This Row],[Order_date]]</f>
        <v>4</v>
      </c>
      <c r="T938">
        <f>Sheet1[[#This Row],[Quantity]]*Sheet1[[#This Row],[Sales]]</f>
        <v>75</v>
      </c>
      <c r="U938">
        <f>Sheet1[[#This Row],[Total Sales]]*Sheet1[[#This Row],[Discount]]</f>
        <v>0</v>
      </c>
      <c r="V938" s="4">
        <f>Sheet1[[#This Row],[Total Sales]]-Sheet1[[#This Row],[Total Sales]]*Sheet1[[#This Row],[Discount]]</f>
        <v>75</v>
      </c>
      <c r="W938" s="4">
        <f>Sheet1[[#This Row],[Quantity]]*Sheet1[[#This Row],[Profit]]</f>
        <v>19.38</v>
      </c>
      <c r="X938" s="5">
        <f>Sheet1[[#This Row],[Total Profit]]/Sheet1[[#This Row],[Sales After Discount]]</f>
        <v>0.25839999999999996</v>
      </c>
      <c r="Y938" s="4">
        <f>Sheet1[[#This Row],[Shipping_cost]]*Sheet1[[#This Row],[Quantity]]</f>
        <v>6.38</v>
      </c>
      <c r="Z938" s="4">
        <f>Sheet1[[#This Row],[Total Profit]]-Sheet1[[#This Row],[Total Shipping Cost]]</f>
        <v>13</v>
      </c>
      <c r="AA938" s="4" t="str">
        <f>IF(Sheet1[[#This Row],[Net Profit]]&gt;0,"Profit","Loss")</f>
        <v>Profit</v>
      </c>
    </row>
    <row r="939" spans="1:27" x14ac:dyDescent="0.25">
      <c r="A939" t="s">
        <v>1178</v>
      </c>
      <c r="B939" s="1">
        <v>40609</v>
      </c>
      <c r="C939" s="1">
        <v>40613</v>
      </c>
      <c r="D939" t="s">
        <v>1</v>
      </c>
      <c r="E939" t="s">
        <v>1179</v>
      </c>
      <c r="F939" t="s">
        <v>3</v>
      </c>
      <c r="G939" t="s">
        <v>1180</v>
      </c>
      <c r="H939" t="s">
        <v>410</v>
      </c>
      <c r="I939" t="s">
        <v>22</v>
      </c>
      <c r="J939" t="s">
        <v>22</v>
      </c>
      <c r="K939" t="s">
        <v>7</v>
      </c>
      <c r="L939" t="s">
        <v>137</v>
      </c>
      <c r="M939">
        <v>31</v>
      </c>
      <c r="N939">
        <v>2</v>
      </c>
      <c r="O939">
        <v>0</v>
      </c>
      <c r="P939">
        <v>8.64</v>
      </c>
      <c r="Q939">
        <v>4.62</v>
      </c>
      <c r="R939" t="s">
        <v>23</v>
      </c>
      <c r="S939">
        <f>Sheet1[[#This Row],[Ship_date]]-Sheet1[[#This Row],[Order_date]]</f>
        <v>4</v>
      </c>
      <c r="T939">
        <f>Sheet1[[#This Row],[Quantity]]*Sheet1[[#This Row],[Sales]]</f>
        <v>62</v>
      </c>
      <c r="U939">
        <f>Sheet1[[#This Row],[Total Sales]]*Sheet1[[#This Row],[Discount]]</f>
        <v>0</v>
      </c>
      <c r="V939" s="4">
        <f>Sheet1[[#This Row],[Total Sales]]-Sheet1[[#This Row],[Total Sales]]*Sheet1[[#This Row],[Discount]]</f>
        <v>62</v>
      </c>
      <c r="W939" s="4">
        <f>Sheet1[[#This Row],[Quantity]]*Sheet1[[#This Row],[Profit]]</f>
        <v>17.28</v>
      </c>
      <c r="X939" s="5">
        <f>Sheet1[[#This Row],[Total Profit]]/Sheet1[[#This Row],[Sales After Discount]]</f>
        <v>0.27870967741935487</v>
      </c>
      <c r="Y939" s="4">
        <f>Sheet1[[#This Row],[Shipping_cost]]*Sheet1[[#This Row],[Quantity]]</f>
        <v>9.24</v>
      </c>
      <c r="Z939" s="4">
        <f>Sheet1[[#This Row],[Total Profit]]-Sheet1[[#This Row],[Total Shipping Cost]]</f>
        <v>8.0400000000000009</v>
      </c>
      <c r="AA939" s="4" t="str">
        <f>IF(Sheet1[[#This Row],[Net Profit]]&gt;0,"Profit","Loss")</f>
        <v>Profit</v>
      </c>
    </row>
    <row r="940" spans="1:27" x14ac:dyDescent="0.25">
      <c r="A940" t="s">
        <v>1185</v>
      </c>
      <c r="B940" s="1">
        <v>40609</v>
      </c>
      <c r="C940" s="1">
        <v>40610</v>
      </c>
      <c r="D940" t="s">
        <v>142</v>
      </c>
      <c r="E940" t="s">
        <v>942</v>
      </c>
      <c r="F940" t="s">
        <v>3</v>
      </c>
      <c r="G940" t="s">
        <v>740</v>
      </c>
      <c r="H940" t="s">
        <v>126</v>
      </c>
      <c r="I940" t="s">
        <v>127</v>
      </c>
      <c r="J940" t="s">
        <v>192</v>
      </c>
      <c r="K940" t="s">
        <v>7</v>
      </c>
      <c r="L940" t="s">
        <v>91</v>
      </c>
      <c r="M940">
        <v>18</v>
      </c>
      <c r="N940">
        <v>3</v>
      </c>
      <c r="O940">
        <v>0</v>
      </c>
      <c r="P940">
        <v>4.6643999999999997</v>
      </c>
      <c r="Q940">
        <v>4.29</v>
      </c>
      <c r="R940" t="s">
        <v>23</v>
      </c>
      <c r="S940">
        <f>Sheet1[[#This Row],[Ship_date]]-Sheet1[[#This Row],[Order_date]]</f>
        <v>1</v>
      </c>
      <c r="T940">
        <f>Sheet1[[#This Row],[Quantity]]*Sheet1[[#This Row],[Sales]]</f>
        <v>54</v>
      </c>
      <c r="U940">
        <f>Sheet1[[#This Row],[Total Sales]]*Sheet1[[#This Row],[Discount]]</f>
        <v>0</v>
      </c>
      <c r="V940" s="4">
        <f>Sheet1[[#This Row],[Total Sales]]-Sheet1[[#This Row],[Total Sales]]*Sheet1[[#This Row],[Discount]]</f>
        <v>54</v>
      </c>
      <c r="W940" s="4">
        <f>Sheet1[[#This Row],[Quantity]]*Sheet1[[#This Row],[Profit]]</f>
        <v>13.993199999999998</v>
      </c>
      <c r="X940" s="5">
        <f>Sheet1[[#This Row],[Total Profit]]/Sheet1[[#This Row],[Sales After Discount]]</f>
        <v>0.25913333333333327</v>
      </c>
      <c r="Y940" s="4">
        <f>Sheet1[[#This Row],[Shipping_cost]]*Sheet1[[#This Row],[Quantity]]</f>
        <v>12.870000000000001</v>
      </c>
      <c r="Z940" s="4">
        <f>Sheet1[[#This Row],[Total Profit]]-Sheet1[[#This Row],[Total Shipping Cost]]</f>
        <v>1.1231999999999971</v>
      </c>
      <c r="AA940" s="4" t="str">
        <f>IF(Sheet1[[#This Row],[Net Profit]]&gt;0,"Profit","Loss")</f>
        <v>Profit</v>
      </c>
    </row>
    <row r="941" spans="1:27" x14ac:dyDescent="0.25">
      <c r="A941" t="s">
        <v>1188</v>
      </c>
      <c r="B941" s="1">
        <v>40609</v>
      </c>
      <c r="C941" s="1">
        <v>40612</v>
      </c>
      <c r="D941" t="s">
        <v>18</v>
      </c>
      <c r="E941" t="s">
        <v>1189</v>
      </c>
      <c r="F941" t="s">
        <v>3</v>
      </c>
      <c r="G941" t="s">
        <v>677</v>
      </c>
      <c r="H941" t="s">
        <v>678</v>
      </c>
      <c r="I941" t="s">
        <v>14</v>
      </c>
      <c r="J941" t="s">
        <v>281</v>
      </c>
      <c r="K941" t="s">
        <v>32</v>
      </c>
      <c r="L941" t="s">
        <v>67</v>
      </c>
      <c r="M941">
        <v>122</v>
      </c>
      <c r="N941">
        <v>1</v>
      </c>
      <c r="O941">
        <v>0</v>
      </c>
      <c r="P941">
        <v>44.97</v>
      </c>
      <c r="Q941">
        <v>3.96</v>
      </c>
      <c r="R941" t="s">
        <v>9</v>
      </c>
      <c r="S941">
        <f>Sheet1[[#This Row],[Ship_date]]-Sheet1[[#This Row],[Order_date]]</f>
        <v>3</v>
      </c>
      <c r="T941">
        <f>Sheet1[[#This Row],[Quantity]]*Sheet1[[#This Row],[Sales]]</f>
        <v>122</v>
      </c>
      <c r="U941">
        <f>Sheet1[[#This Row],[Total Sales]]*Sheet1[[#This Row],[Discount]]</f>
        <v>0</v>
      </c>
      <c r="V941" s="4">
        <f>Sheet1[[#This Row],[Total Sales]]-Sheet1[[#This Row],[Total Sales]]*Sheet1[[#This Row],[Discount]]</f>
        <v>122</v>
      </c>
      <c r="W941" s="4">
        <f>Sheet1[[#This Row],[Quantity]]*Sheet1[[#This Row],[Profit]]</f>
        <v>44.97</v>
      </c>
      <c r="X941" s="5">
        <f>Sheet1[[#This Row],[Total Profit]]/Sheet1[[#This Row],[Sales After Discount]]</f>
        <v>0.36860655737704917</v>
      </c>
      <c r="Y941" s="4">
        <f>Sheet1[[#This Row],[Shipping_cost]]*Sheet1[[#This Row],[Quantity]]</f>
        <v>3.96</v>
      </c>
      <c r="Z941" s="4">
        <f>Sheet1[[#This Row],[Total Profit]]-Sheet1[[#This Row],[Total Shipping Cost]]</f>
        <v>41.01</v>
      </c>
      <c r="AA941" s="4" t="str">
        <f>IF(Sheet1[[#This Row],[Net Profit]]&gt;0,"Profit","Loss")</f>
        <v>Profit</v>
      </c>
    </row>
    <row r="942" spans="1:27" x14ac:dyDescent="0.25">
      <c r="A942" t="s">
        <v>1190</v>
      </c>
      <c r="B942" s="1">
        <v>40609</v>
      </c>
      <c r="C942" s="1">
        <v>40616</v>
      </c>
      <c r="D942" t="s">
        <v>1</v>
      </c>
      <c r="E942" t="s">
        <v>903</v>
      </c>
      <c r="F942" t="s">
        <v>43</v>
      </c>
      <c r="G942" t="s">
        <v>1191</v>
      </c>
      <c r="H942" t="s">
        <v>1192</v>
      </c>
      <c r="I942" t="s">
        <v>6</v>
      </c>
      <c r="J942" t="s">
        <v>6</v>
      </c>
      <c r="K942" t="s">
        <v>7</v>
      </c>
      <c r="L942" t="s">
        <v>8</v>
      </c>
      <c r="M942">
        <v>24</v>
      </c>
      <c r="N942">
        <v>1</v>
      </c>
      <c r="O942">
        <v>0</v>
      </c>
      <c r="P942">
        <v>0.45</v>
      </c>
      <c r="Q942">
        <v>2.11</v>
      </c>
      <c r="R942" t="s">
        <v>51</v>
      </c>
      <c r="S942">
        <f>Sheet1[[#This Row],[Ship_date]]-Sheet1[[#This Row],[Order_date]]</f>
        <v>7</v>
      </c>
      <c r="T942">
        <f>Sheet1[[#This Row],[Quantity]]*Sheet1[[#This Row],[Sales]]</f>
        <v>24</v>
      </c>
      <c r="U942">
        <f>Sheet1[[#This Row],[Total Sales]]*Sheet1[[#This Row],[Discount]]</f>
        <v>0</v>
      </c>
      <c r="V942" s="4">
        <f>Sheet1[[#This Row],[Total Sales]]-Sheet1[[#This Row],[Total Sales]]*Sheet1[[#This Row],[Discount]]</f>
        <v>24</v>
      </c>
      <c r="W942" s="4">
        <f>Sheet1[[#This Row],[Quantity]]*Sheet1[[#This Row],[Profit]]</f>
        <v>0.45</v>
      </c>
      <c r="X942" s="5">
        <f>Sheet1[[#This Row],[Total Profit]]/Sheet1[[#This Row],[Sales After Discount]]</f>
        <v>1.8749999999999999E-2</v>
      </c>
      <c r="Y942" s="4">
        <f>Sheet1[[#This Row],[Shipping_cost]]*Sheet1[[#This Row],[Quantity]]</f>
        <v>2.11</v>
      </c>
      <c r="Z942" s="4">
        <f>Sheet1[[#This Row],[Total Profit]]-Sheet1[[#This Row],[Total Shipping Cost]]</f>
        <v>-1.66</v>
      </c>
      <c r="AA942" s="4" t="str">
        <f>IF(Sheet1[[#This Row],[Net Profit]]&gt;0,"Profit","Loss")</f>
        <v>Loss</v>
      </c>
    </row>
    <row r="943" spans="1:27" x14ac:dyDescent="0.25">
      <c r="A943" t="s">
        <v>1190</v>
      </c>
      <c r="B943" s="1">
        <v>40609</v>
      </c>
      <c r="C943" s="1">
        <v>40616</v>
      </c>
      <c r="D943" t="s">
        <v>1</v>
      </c>
      <c r="E943" t="s">
        <v>903</v>
      </c>
      <c r="F943" t="s">
        <v>43</v>
      </c>
      <c r="G943" t="s">
        <v>1191</v>
      </c>
      <c r="H943" t="s">
        <v>1192</v>
      </c>
      <c r="I943" t="s">
        <v>6</v>
      </c>
      <c r="J943" t="s">
        <v>6</v>
      </c>
      <c r="K943" t="s">
        <v>7</v>
      </c>
      <c r="L943" t="s">
        <v>8</v>
      </c>
      <c r="M943">
        <v>11</v>
      </c>
      <c r="N943">
        <v>1</v>
      </c>
      <c r="O943">
        <v>0</v>
      </c>
      <c r="P943">
        <v>0</v>
      </c>
      <c r="Q943">
        <v>1.44</v>
      </c>
      <c r="R943" t="s">
        <v>51</v>
      </c>
      <c r="S943">
        <f>Sheet1[[#This Row],[Ship_date]]-Sheet1[[#This Row],[Order_date]]</f>
        <v>7</v>
      </c>
      <c r="T943">
        <f>Sheet1[[#This Row],[Quantity]]*Sheet1[[#This Row],[Sales]]</f>
        <v>11</v>
      </c>
      <c r="U943">
        <f>Sheet1[[#This Row],[Total Sales]]*Sheet1[[#This Row],[Discount]]</f>
        <v>0</v>
      </c>
      <c r="V943" s="4">
        <f>Sheet1[[#This Row],[Total Sales]]-Sheet1[[#This Row],[Total Sales]]*Sheet1[[#This Row],[Discount]]</f>
        <v>11</v>
      </c>
      <c r="W943" s="4">
        <f>Sheet1[[#This Row],[Quantity]]*Sheet1[[#This Row],[Profit]]</f>
        <v>0</v>
      </c>
      <c r="X943" s="5">
        <f>Sheet1[[#This Row],[Total Profit]]/Sheet1[[#This Row],[Sales After Discount]]</f>
        <v>0</v>
      </c>
      <c r="Y943" s="4">
        <f>Sheet1[[#This Row],[Shipping_cost]]*Sheet1[[#This Row],[Quantity]]</f>
        <v>1.44</v>
      </c>
      <c r="Z943" s="4">
        <f>Sheet1[[#This Row],[Total Profit]]-Sheet1[[#This Row],[Total Shipping Cost]]</f>
        <v>-1.44</v>
      </c>
      <c r="AA943" s="4" t="str">
        <f>IF(Sheet1[[#This Row],[Net Profit]]&gt;0,"Profit","Loss")</f>
        <v>Loss</v>
      </c>
    </row>
    <row r="944" spans="1:27" x14ac:dyDescent="0.25">
      <c r="A944" t="s">
        <v>1185</v>
      </c>
      <c r="B944" s="1">
        <v>40609</v>
      </c>
      <c r="C944" s="1">
        <v>40610</v>
      </c>
      <c r="D944" t="s">
        <v>142</v>
      </c>
      <c r="E944" t="s">
        <v>942</v>
      </c>
      <c r="F944" t="s">
        <v>3</v>
      </c>
      <c r="G944" t="s">
        <v>740</v>
      </c>
      <c r="H944" t="s">
        <v>126</v>
      </c>
      <c r="I944" t="s">
        <v>127</v>
      </c>
      <c r="J944" t="s">
        <v>192</v>
      </c>
      <c r="K944" t="s">
        <v>7</v>
      </c>
      <c r="L944" t="s">
        <v>8</v>
      </c>
      <c r="M944">
        <v>243</v>
      </c>
      <c r="N944">
        <v>3</v>
      </c>
      <c r="O944">
        <v>0</v>
      </c>
      <c r="P944">
        <v>4.8587999999999996</v>
      </c>
      <c r="Q944">
        <v>1.28</v>
      </c>
      <c r="R944" t="s">
        <v>23</v>
      </c>
      <c r="S944">
        <f>Sheet1[[#This Row],[Ship_date]]-Sheet1[[#This Row],[Order_date]]</f>
        <v>1</v>
      </c>
      <c r="T944">
        <f>Sheet1[[#This Row],[Quantity]]*Sheet1[[#This Row],[Sales]]</f>
        <v>729</v>
      </c>
      <c r="U944">
        <f>Sheet1[[#This Row],[Total Sales]]*Sheet1[[#This Row],[Discount]]</f>
        <v>0</v>
      </c>
      <c r="V944" s="4">
        <f>Sheet1[[#This Row],[Total Sales]]-Sheet1[[#This Row],[Total Sales]]*Sheet1[[#This Row],[Discount]]</f>
        <v>729</v>
      </c>
      <c r="W944" s="4">
        <f>Sheet1[[#This Row],[Quantity]]*Sheet1[[#This Row],[Profit]]</f>
        <v>14.5764</v>
      </c>
      <c r="X944" s="5">
        <f>Sheet1[[#This Row],[Total Profit]]/Sheet1[[#This Row],[Sales After Discount]]</f>
        <v>1.9995061728395061E-2</v>
      </c>
      <c r="Y944" s="4">
        <f>Sheet1[[#This Row],[Shipping_cost]]*Sheet1[[#This Row],[Quantity]]</f>
        <v>3.84</v>
      </c>
      <c r="Z944" s="4">
        <f>Sheet1[[#This Row],[Total Profit]]-Sheet1[[#This Row],[Total Shipping Cost]]</f>
        <v>10.7364</v>
      </c>
      <c r="AA944" s="4" t="str">
        <f>IF(Sheet1[[#This Row],[Net Profit]]&gt;0,"Profit","Loss")</f>
        <v>Profit</v>
      </c>
    </row>
    <row r="945" spans="1:27" x14ac:dyDescent="0.25">
      <c r="A945" t="s">
        <v>1183</v>
      </c>
      <c r="B945" s="1">
        <v>40609</v>
      </c>
      <c r="C945" s="1">
        <v>40613</v>
      </c>
      <c r="D945" t="s">
        <v>1</v>
      </c>
      <c r="E945" t="s">
        <v>968</v>
      </c>
      <c r="F945" t="s">
        <v>3</v>
      </c>
      <c r="G945" t="s">
        <v>74</v>
      </c>
      <c r="H945" t="s">
        <v>74</v>
      </c>
      <c r="I945" t="s">
        <v>75</v>
      </c>
      <c r="J945" t="s">
        <v>76</v>
      </c>
      <c r="K945" t="s">
        <v>7</v>
      </c>
      <c r="L945" t="s">
        <v>96</v>
      </c>
      <c r="M945">
        <v>16</v>
      </c>
      <c r="N945">
        <v>2</v>
      </c>
      <c r="O945">
        <v>0</v>
      </c>
      <c r="P945">
        <v>2.04</v>
      </c>
      <c r="Q945">
        <v>1.05</v>
      </c>
      <c r="R945" t="s">
        <v>9</v>
      </c>
      <c r="S945">
        <f>Sheet1[[#This Row],[Ship_date]]-Sheet1[[#This Row],[Order_date]]</f>
        <v>4</v>
      </c>
      <c r="T945">
        <f>Sheet1[[#This Row],[Quantity]]*Sheet1[[#This Row],[Sales]]</f>
        <v>32</v>
      </c>
      <c r="U945">
        <f>Sheet1[[#This Row],[Total Sales]]*Sheet1[[#This Row],[Discount]]</f>
        <v>0</v>
      </c>
      <c r="V945" s="4">
        <f>Sheet1[[#This Row],[Total Sales]]-Sheet1[[#This Row],[Total Sales]]*Sheet1[[#This Row],[Discount]]</f>
        <v>32</v>
      </c>
      <c r="W945" s="4">
        <f>Sheet1[[#This Row],[Quantity]]*Sheet1[[#This Row],[Profit]]</f>
        <v>4.08</v>
      </c>
      <c r="X945" s="5">
        <f>Sheet1[[#This Row],[Total Profit]]/Sheet1[[#This Row],[Sales After Discount]]</f>
        <v>0.1275</v>
      </c>
      <c r="Y945" s="4">
        <f>Sheet1[[#This Row],[Shipping_cost]]*Sheet1[[#This Row],[Quantity]]</f>
        <v>2.1</v>
      </c>
      <c r="Z945" s="4">
        <f>Sheet1[[#This Row],[Total Profit]]-Sheet1[[#This Row],[Total Shipping Cost]]</f>
        <v>1.98</v>
      </c>
      <c r="AA945" s="4" t="str">
        <f>IF(Sheet1[[#This Row],[Net Profit]]&gt;0,"Profit","Loss")</f>
        <v>Profit</v>
      </c>
    </row>
    <row r="946" spans="1:27" x14ac:dyDescent="0.25">
      <c r="A946" t="s">
        <v>1181</v>
      </c>
      <c r="B946" s="1">
        <v>40609</v>
      </c>
      <c r="C946" s="1">
        <v>40614</v>
      </c>
      <c r="D946" t="s">
        <v>1</v>
      </c>
      <c r="E946" t="s">
        <v>1182</v>
      </c>
      <c r="F946" t="s">
        <v>43</v>
      </c>
      <c r="G946" t="s">
        <v>740</v>
      </c>
      <c r="H946" t="s">
        <v>126</v>
      </c>
      <c r="I946" t="s">
        <v>127</v>
      </c>
      <c r="J946" t="s">
        <v>192</v>
      </c>
      <c r="K946" t="s">
        <v>7</v>
      </c>
      <c r="L946" t="s">
        <v>91</v>
      </c>
      <c r="M946">
        <v>21</v>
      </c>
      <c r="N946">
        <v>5</v>
      </c>
      <c r="O946">
        <v>0</v>
      </c>
      <c r="P946">
        <v>9.4990000000000006</v>
      </c>
      <c r="Q946">
        <v>0.52</v>
      </c>
      <c r="R946" t="s">
        <v>9</v>
      </c>
      <c r="S946">
        <f>Sheet1[[#This Row],[Ship_date]]-Sheet1[[#This Row],[Order_date]]</f>
        <v>5</v>
      </c>
      <c r="T946">
        <f>Sheet1[[#This Row],[Quantity]]*Sheet1[[#This Row],[Sales]]</f>
        <v>105</v>
      </c>
      <c r="U946">
        <f>Sheet1[[#This Row],[Total Sales]]*Sheet1[[#This Row],[Discount]]</f>
        <v>0</v>
      </c>
      <c r="V946" s="4">
        <f>Sheet1[[#This Row],[Total Sales]]-Sheet1[[#This Row],[Total Sales]]*Sheet1[[#This Row],[Discount]]</f>
        <v>105</v>
      </c>
      <c r="W946" s="4">
        <f>Sheet1[[#This Row],[Quantity]]*Sheet1[[#This Row],[Profit]]</f>
        <v>47.495000000000005</v>
      </c>
      <c r="X946" s="5">
        <f>Sheet1[[#This Row],[Total Profit]]/Sheet1[[#This Row],[Sales After Discount]]</f>
        <v>0.45233333333333337</v>
      </c>
      <c r="Y946" s="4">
        <f>Sheet1[[#This Row],[Shipping_cost]]*Sheet1[[#This Row],[Quantity]]</f>
        <v>2.6</v>
      </c>
      <c r="Z946" s="4">
        <f>Sheet1[[#This Row],[Total Profit]]-Sheet1[[#This Row],[Total Shipping Cost]]</f>
        <v>44.895000000000003</v>
      </c>
      <c r="AA946" s="4" t="str">
        <f>IF(Sheet1[[#This Row],[Net Profit]]&gt;0,"Profit","Loss")</f>
        <v>Profit</v>
      </c>
    </row>
    <row r="947" spans="1:27" x14ac:dyDescent="0.25">
      <c r="A947" t="s">
        <v>1193</v>
      </c>
      <c r="B947" s="1">
        <v>40610</v>
      </c>
      <c r="C947" s="1">
        <v>40615</v>
      </c>
      <c r="D947" t="s">
        <v>1</v>
      </c>
      <c r="E947" t="s">
        <v>1194</v>
      </c>
      <c r="F947" t="s">
        <v>3</v>
      </c>
      <c r="G947" t="s">
        <v>380</v>
      </c>
      <c r="H947" t="s">
        <v>381</v>
      </c>
      <c r="I947" t="s">
        <v>75</v>
      </c>
      <c r="J947" t="s">
        <v>76</v>
      </c>
      <c r="K947" t="s">
        <v>32</v>
      </c>
      <c r="L947" t="s">
        <v>56</v>
      </c>
      <c r="M947">
        <v>2855</v>
      </c>
      <c r="N947">
        <v>9</v>
      </c>
      <c r="O947">
        <v>0</v>
      </c>
      <c r="P947">
        <v>1313.28</v>
      </c>
      <c r="Q947">
        <v>145.5</v>
      </c>
      <c r="R947" t="s">
        <v>9</v>
      </c>
      <c r="S947">
        <f>Sheet1[[#This Row],[Ship_date]]-Sheet1[[#This Row],[Order_date]]</f>
        <v>5</v>
      </c>
      <c r="T947">
        <f>Sheet1[[#This Row],[Quantity]]*Sheet1[[#This Row],[Sales]]</f>
        <v>25695</v>
      </c>
      <c r="U947">
        <f>Sheet1[[#This Row],[Total Sales]]*Sheet1[[#This Row],[Discount]]</f>
        <v>0</v>
      </c>
      <c r="V947" s="4">
        <f>Sheet1[[#This Row],[Total Sales]]-Sheet1[[#This Row],[Total Sales]]*Sheet1[[#This Row],[Discount]]</f>
        <v>25695</v>
      </c>
      <c r="W947" s="4">
        <f>Sheet1[[#This Row],[Quantity]]*Sheet1[[#This Row],[Profit]]</f>
        <v>11819.52</v>
      </c>
      <c r="X947" s="5">
        <f>Sheet1[[#This Row],[Total Profit]]/Sheet1[[#This Row],[Sales After Discount]]</f>
        <v>0.45999299474605954</v>
      </c>
      <c r="Y947" s="4">
        <f>Sheet1[[#This Row],[Shipping_cost]]*Sheet1[[#This Row],[Quantity]]</f>
        <v>1309.5</v>
      </c>
      <c r="Z947" s="4">
        <f>Sheet1[[#This Row],[Total Profit]]-Sheet1[[#This Row],[Total Shipping Cost]]</f>
        <v>10510.02</v>
      </c>
      <c r="AA947" s="4" t="str">
        <f>IF(Sheet1[[#This Row],[Net Profit]]&gt;0,"Profit","Loss")</f>
        <v>Profit</v>
      </c>
    </row>
    <row r="948" spans="1:27" x14ac:dyDescent="0.25">
      <c r="A948" t="s">
        <v>1195</v>
      </c>
      <c r="B948" s="1">
        <v>40610</v>
      </c>
      <c r="C948" s="1">
        <v>40614</v>
      </c>
      <c r="D948" t="s">
        <v>18</v>
      </c>
      <c r="E948" t="s">
        <v>932</v>
      </c>
      <c r="F948" t="s">
        <v>3</v>
      </c>
      <c r="G948" t="s">
        <v>660</v>
      </c>
      <c r="H948" t="s">
        <v>13</v>
      </c>
      <c r="I948" t="s">
        <v>14</v>
      </c>
      <c r="J948" t="s">
        <v>15</v>
      </c>
      <c r="K948" t="s">
        <v>38</v>
      </c>
      <c r="L948" t="s">
        <v>77</v>
      </c>
      <c r="M948">
        <v>861</v>
      </c>
      <c r="N948">
        <v>7</v>
      </c>
      <c r="O948">
        <v>0.1</v>
      </c>
      <c r="P948">
        <v>143.32499999999999</v>
      </c>
      <c r="Q948">
        <v>142.19</v>
      </c>
      <c r="R948" t="s">
        <v>9</v>
      </c>
      <c r="S948">
        <f>Sheet1[[#This Row],[Ship_date]]-Sheet1[[#This Row],[Order_date]]</f>
        <v>4</v>
      </c>
      <c r="T948">
        <f>Sheet1[[#This Row],[Quantity]]*Sheet1[[#This Row],[Sales]]</f>
        <v>6027</v>
      </c>
      <c r="U948">
        <f>Sheet1[[#This Row],[Total Sales]]*Sheet1[[#This Row],[Discount]]</f>
        <v>602.70000000000005</v>
      </c>
      <c r="V948" s="4">
        <f>Sheet1[[#This Row],[Total Sales]]-Sheet1[[#This Row],[Total Sales]]*Sheet1[[#This Row],[Discount]]</f>
        <v>5424.3</v>
      </c>
      <c r="W948" s="4">
        <f>Sheet1[[#This Row],[Quantity]]*Sheet1[[#This Row],[Profit]]</f>
        <v>1003.2749999999999</v>
      </c>
      <c r="X948" s="5">
        <f>Sheet1[[#This Row],[Total Profit]]/Sheet1[[#This Row],[Sales After Discount]]</f>
        <v>0.18495934959349591</v>
      </c>
      <c r="Y948" s="4">
        <f>Sheet1[[#This Row],[Shipping_cost]]*Sheet1[[#This Row],[Quantity]]</f>
        <v>995.32999999999993</v>
      </c>
      <c r="Z948" s="4">
        <f>Sheet1[[#This Row],[Total Profit]]-Sheet1[[#This Row],[Total Shipping Cost]]</f>
        <v>7.9449999999999363</v>
      </c>
      <c r="AA948" s="4" t="str">
        <f>IF(Sheet1[[#This Row],[Net Profit]]&gt;0,"Profit","Loss")</f>
        <v>Profit</v>
      </c>
    </row>
    <row r="949" spans="1:27" x14ac:dyDescent="0.25">
      <c r="A949" t="s">
        <v>1196</v>
      </c>
      <c r="B949" s="1">
        <v>40610</v>
      </c>
      <c r="C949" s="1">
        <v>40615</v>
      </c>
      <c r="D949" t="s">
        <v>1</v>
      </c>
      <c r="E949" t="s">
        <v>273</v>
      </c>
      <c r="F949" t="s">
        <v>26</v>
      </c>
      <c r="G949" t="s">
        <v>1197</v>
      </c>
      <c r="H949" t="s">
        <v>1198</v>
      </c>
      <c r="I949" t="s">
        <v>14</v>
      </c>
      <c r="J949" t="s">
        <v>61</v>
      </c>
      <c r="K949" t="s">
        <v>32</v>
      </c>
      <c r="L949" t="s">
        <v>62</v>
      </c>
      <c r="M949">
        <v>1330</v>
      </c>
      <c r="N949">
        <v>3</v>
      </c>
      <c r="O949">
        <v>0</v>
      </c>
      <c r="P949">
        <v>292.58999999999997</v>
      </c>
      <c r="Q949">
        <v>78.66</v>
      </c>
      <c r="R949" t="s">
        <v>9</v>
      </c>
      <c r="S949">
        <f>Sheet1[[#This Row],[Ship_date]]-Sheet1[[#This Row],[Order_date]]</f>
        <v>5</v>
      </c>
      <c r="T949">
        <f>Sheet1[[#This Row],[Quantity]]*Sheet1[[#This Row],[Sales]]</f>
        <v>3990</v>
      </c>
      <c r="U949">
        <f>Sheet1[[#This Row],[Total Sales]]*Sheet1[[#This Row],[Discount]]</f>
        <v>0</v>
      </c>
      <c r="V949" s="4">
        <f>Sheet1[[#This Row],[Total Sales]]-Sheet1[[#This Row],[Total Sales]]*Sheet1[[#This Row],[Discount]]</f>
        <v>3990</v>
      </c>
      <c r="W949" s="4">
        <f>Sheet1[[#This Row],[Quantity]]*Sheet1[[#This Row],[Profit]]</f>
        <v>877.77</v>
      </c>
      <c r="X949" s="5">
        <f>Sheet1[[#This Row],[Total Profit]]/Sheet1[[#This Row],[Sales After Discount]]</f>
        <v>0.21999248120300752</v>
      </c>
      <c r="Y949" s="4">
        <f>Sheet1[[#This Row],[Shipping_cost]]*Sheet1[[#This Row],[Quantity]]</f>
        <v>235.98</v>
      </c>
      <c r="Z949" s="4">
        <f>Sheet1[[#This Row],[Total Profit]]-Sheet1[[#This Row],[Total Shipping Cost]]</f>
        <v>641.79</v>
      </c>
      <c r="AA949" s="4" t="str">
        <f>IF(Sheet1[[#This Row],[Net Profit]]&gt;0,"Profit","Loss")</f>
        <v>Profit</v>
      </c>
    </row>
    <row r="950" spans="1:27" x14ac:dyDescent="0.25">
      <c r="A950" t="s">
        <v>1193</v>
      </c>
      <c r="B950" s="1">
        <v>40610</v>
      </c>
      <c r="C950" s="1">
        <v>40615</v>
      </c>
      <c r="D950" t="s">
        <v>1</v>
      </c>
      <c r="E950" t="s">
        <v>1194</v>
      </c>
      <c r="F950" t="s">
        <v>3</v>
      </c>
      <c r="G950" t="s">
        <v>380</v>
      </c>
      <c r="H950" t="s">
        <v>381</v>
      </c>
      <c r="I950" t="s">
        <v>75</v>
      </c>
      <c r="J950" t="s">
        <v>76</v>
      </c>
      <c r="K950" t="s">
        <v>7</v>
      </c>
      <c r="L950" t="s">
        <v>44</v>
      </c>
      <c r="M950">
        <v>619</v>
      </c>
      <c r="N950">
        <v>11</v>
      </c>
      <c r="O950">
        <v>0</v>
      </c>
      <c r="P950">
        <v>284.45999999999998</v>
      </c>
      <c r="Q950">
        <v>49.07</v>
      </c>
      <c r="R950" t="s">
        <v>9</v>
      </c>
      <c r="S950">
        <f>Sheet1[[#This Row],[Ship_date]]-Sheet1[[#This Row],[Order_date]]</f>
        <v>5</v>
      </c>
      <c r="T950">
        <f>Sheet1[[#This Row],[Quantity]]*Sheet1[[#This Row],[Sales]]</f>
        <v>6809</v>
      </c>
      <c r="U950">
        <f>Sheet1[[#This Row],[Total Sales]]*Sheet1[[#This Row],[Discount]]</f>
        <v>0</v>
      </c>
      <c r="V950" s="4">
        <f>Sheet1[[#This Row],[Total Sales]]-Sheet1[[#This Row],[Total Sales]]*Sheet1[[#This Row],[Discount]]</f>
        <v>6809</v>
      </c>
      <c r="W950" s="4">
        <f>Sheet1[[#This Row],[Quantity]]*Sheet1[[#This Row],[Profit]]</f>
        <v>3129.06</v>
      </c>
      <c r="X950" s="5">
        <f>Sheet1[[#This Row],[Total Profit]]/Sheet1[[#This Row],[Sales After Discount]]</f>
        <v>0.45954765751211629</v>
      </c>
      <c r="Y950" s="4">
        <f>Sheet1[[#This Row],[Shipping_cost]]*Sheet1[[#This Row],[Quantity]]</f>
        <v>539.77</v>
      </c>
      <c r="Z950" s="4">
        <f>Sheet1[[#This Row],[Total Profit]]-Sheet1[[#This Row],[Total Shipping Cost]]</f>
        <v>2589.29</v>
      </c>
      <c r="AA950" s="4" t="str">
        <f>IF(Sheet1[[#This Row],[Net Profit]]&gt;0,"Profit","Loss")</f>
        <v>Profit</v>
      </c>
    </row>
    <row r="951" spans="1:27" x14ac:dyDescent="0.25">
      <c r="A951" t="s">
        <v>1199</v>
      </c>
      <c r="B951" s="1">
        <v>40610</v>
      </c>
      <c r="C951" s="1">
        <v>40614</v>
      </c>
      <c r="D951" t="s">
        <v>1</v>
      </c>
      <c r="E951" t="s">
        <v>682</v>
      </c>
      <c r="F951" t="s">
        <v>43</v>
      </c>
      <c r="G951" t="s">
        <v>59</v>
      </c>
      <c r="H951" t="s">
        <v>60</v>
      </c>
      <c r="I951" t="s">
        <v>14</v>
      </c>
      <c r="J951" t="s">
        <v>61</v>
      </c>
      <c r="K951" t="s">
        <v>38</v>
      </c>
      <c r="L951" t="s">
        <v>77</v>
      </c>
      <c r="M951">
        <v>543</v>
      </c>
      <c r="N951">
        <v>9</v>
      </c>
      <c r="O951">
        <v>0.25</v>
      </c>
      <c r="P951">
        <v>-7.4249999999999998</v>
      </c>
      <c r="Q951">
        <v>40.479999999999997</v>
      </c>
      <c r="R951" t="s">
        <v>9</v>
      </c>
      <c r="S951">
        <f>Sheet1[[#This Row],[Ship_date]]-Sheet1[[#This Row],[Order_date]]</f>
        <v>4</v>
      </c>
      <c r="T951">
        <f>Sheet1[[#This Row],[Quantity]]*Sheet1[[#This Row],[Sales]]</f>
        <v>4887</v>
      </c>
      <c r="U951">
        <f>Sheet1[[#This Row],[Total Sales]]*Sheet1[[#This Row],[Discount]]</f>
        <v>1221.75</v>
      </c>
      <c r="V951" s="4">
        <f>Sheet1[[#This Row],[Total Sales]]-Sheet1[[#This Row],[Total Sales]]*Sheet1[[#This Row],[Discount]]</f>
        <v>3665.25</v>
      </c>
      <c r="W951" s="4">
        <f>Sheet1[[#This Row],[Quantity]]*Sheet1[[#This Row],[Profit]]</f>
        <v>-66.825000000000003</v>
      </c>
      <c r="X951" s="5">
        <f>Sheet1[[#This Row],[Total Profit]]/Sheet1[[#This Row],[Sales After Discount]]</f>
        <v>-1.8232044198895028E-2</v>
      </c>
      <c r="Y951" s="4">
        <f>Sheet1[[#This Row],[Shipping_cost]]*Sheet1[[#This Row],[Quantity]]</f>
        <v>364.32</v>
      </c>
      <c r="Z951" s="4">
        <f>Sheet1[[#This Row],[Total Profit]]-Sheet1[[#This Row],[Total Shipping Cost]]</f>
        <v>-431.14499999999998</v>
      </c>
      <c r="AA951" s="4" t="str">
        <f>IF(Sheet1[[#This Row],[Net Profit]]&gt;0,"Profit","Loss")</f>
        <v>Loss</v>
      </c>
    </row>
    <row r="952" spans="1:27" x14ac:dyDescent="0.25">
      <c r="A952" t="s">
        <v>1196</v>
      </c>
      <c r="B952" s="1">
        <v>40610</v>
      </c>
      <c r="C952" s="1">
        <v>40615</v>
      </c>
      <c r="D952" t="s">
        <v>1</v>
      </c>
      <c r="E952" t="s">
        <v>273</v>
      </c>
      <c r="F952" t="s">
        <v>26</v>
      </c>
      <c r="G952" t="s">
        <v>1197</v>
      </c>
      <c r="H952" t="s">
        <v>1198</v>
      </c>
      <c r="I952" t="s">
        <v>14</v>
      </c>
      <c r="J952" t="s">
        <v>61</v>
      </c>
      <c r="K952" t="s">
        <v>38</v>
      </c>
      <c r="L952" t="s">
        <v>50</v>
      </c>
      <c r="M952">
        <v>900</v>
      </c>
      <c r="N952">
        <v>3</v>
      </c>
      <c r="O952">
        <v>0</v>
      </c>
      <c r="P952">
        <v>296.91000000000003</v>
      </c>
      <c r="Q952">
        <v>34.24</v>
      </c>
      <c r="R952" t="s">
        <v>9</v>
      </c>
      <c r="S952">
        <f>Sheet1[[#This Row],[Ship_date]]-Sheet1[[#This Row],[Order_date]]</f>
        <v>5</v>
      </c>
      <c r="T952">
        <f>Sheet1[[#This Row],[Quantity]]*Sheet1[[#This Row],[Sales]]</f>
        <v>2700</v>
      </c>
      <c r="U952">
        <f>Sheet1[[#This Row],[Total Sales]]*Sheet1[[#This Row],[Discount]]</f>
        <v>0</v>
      </c>
      <c r="V952" s="4">
        <f>Sheet1[[#This Row],[Total Sales]]-Sheet1[[#This Row],[Total Sales]]*Sheet1[[#This Row],[Discount]]</f>
        <v>2700</v>
      </c>
      <c r="W952" s="4">
        <f>Sheet1[[#This Row],[Quantity]]*Sheet1[[#This Row],[Profit]]</f>
        <v>890.73</v>
      </c>
      <c r="X952" s="5">
        <f>Sheet1[[#This Row],[Total Profit]]/Sheet1[[#This Row],[Sales After Discount]]</f>
        <v>0.32990000000000003</v>
      </c>
      <c r="Y952" s="4">
        <f>Sheet1[[#This Row],[Shipping_cost]]*Sheet1[[#This Row],[Quantity]]</f>
        <v>102.72</v>
      </c>
      <c r="Z952" s="4">
        <f>Sheet1[[#This Row],[Total Profit]]-Sheet1[[#This Row],[Total Shipping Cost]]</f>
        <v>788.01</v>
      </c>
      <c r="AA952" s="4" t="str">
        <f>IF(Sheet1[[#This Row],[Net Profit]]&gt;0,"Profit","Loss")</f>
        <v>Profit</v>
      </c>
    </row>
    <row r="953" spans="1:27" x14ac:dyDescent="0.25">
      <c r="A953" t="s">
        <v>1200</v>
      </c>
      <c r="B953" s="1">
        <v>40610</v>
      </c>
      <c r="C953" s="1">
        <v>40616</v>
      </c>
      <c r="D953" t="s">
        <v>1</v>
      </c>
      <c r="E953" t="s">
        <v>1201</v>
      </c>
      <c r="F953" t="s">
        <v>43</v>
      </c>
      <c r="G953" t="s">
        <v>222</v>
      </c>
      <c r="H953" t="s">
        <v>223</v>
      </c>
      <c r="I953" t="s">
        <v>6</v>
      </c>
      <c r="J953" t="s">
        <v>6</v>
      </c>
      <c r="K953" t="s">
        <v>38</v>
      </c>
      <c r="L953" t="s">
        <v>50</v>
      </c>
      <c r="M953">
        <v>384</v>
      </c>
      <c r="N953">
        <v>4</v>
      </c>
      <c r="O953">
        <v>0.7</v>
      </c>
      <c r="P953">
        <v>-575.72400000000005</v>
      </c>
      <c r="Q953">
        <v>29.68</v>
      </c>
      <c r="R953" t="s">
        <v>9</v>
      </c>
      <c r="S953">
        <f>Sheet1[[#This Row],[Ship_date]]-Sheet1[[#This Row],[Order_date]]</f>
        <v>6</v>
      </c>
      <c r="T953">
        <f>Sheet1[[#This Row],[Quantity]]*Sheet1[[#This Row],[Sales]]</f>
        <v>1536</v>
      </c>
      <c r="U953">
        <f>Sheet1[[#This Row],[Total Sales]]*Sheet1[[#This Row],[Discount]]</f>
        <v>1075.1999999999998</v>
      </c>
      <c r="V953" s="4">
        <f>Sheet1[[#This Row],[Total Sales]]-Sheet1[[#This Row],[Total Sales]]*Sheet1[[#This Row],[Discount]]</f>
        <v>460.80000000000018</v>
      </c>
      <c r="W953" s="4">
        <f>Sheet1[[#This Row],[Quantity]]*Sheet1[[#This Row],[Profit]]</f>
        <v>-2302.8960000000002</v>
      </c>
      <c r="X953" s="5">
        <f>Sheet1[[#This Row],[Total Profit]]/Sheet1[[#This Row],[Sales After Discount]]</f>
        <v>-4.9976041666666653</v>
      </c>
      <c r="Y953" s="4">
        <f>Sheet1[[#This Row],[Shipping_cost]]*Sheet1[[#This Row],[Quantity]]</f>
        <v>118.72</v>
      </c>
      <c r="Z953" s="4">
        <f>Sheet1[[#This Row],[Total Profit]]-Sheet1[[#This Row],[Total Shipping Cost]]</f>
        <v>-2421.616</v>
      </c>
      <c r="AA953" s="4" t="str">
        <f>IF(Sheet1[[#This Row],[Net Profit]]&gt;0,"Profit","Loss")</f>
        <v>Loss</v>
      </c>
    </row>
    <row r="954" spans="1:27" x14ac:dyDescent="0.25">
      <c r="A954" t="s">
        <v>1199</v>
      </c>
      <c r="B954" s="1">
        <v>40610</v>
      </c>
      <c r="C954" s="1">
        <v>40614</v>
      </c>
      <c r="D954" t="s">
        <v>1</v>
      </c>
      <c r="E954" t="s">
        <v>682</v>
      </c>
      <c r="F954" t="s">
        <v>43</v>
      </c>
      <c r="G954" t="s">
        <v>59</v>
      </c>
      <c r="H954" t="s">
        <v>60</v>
      </c>
      <c r="I954" t="s">
        <v>14</v>
      </c>
      <c r="J954" t="s">
        <v>61</v>
      </c>
      <c r="K954" t="s">
        <v>38</v>
      </c>
      <c r="L954" t="s">
        <v>77</v>
      </c>
      <c r="M954">
        <v>954</v>
      </c>
      <c r="N954">
        <v>2</v>
      </c>
      <c r="O954">
        <v>0.25</v>
      </c>
      <c r="P954">
        <v>38.145000000000003</v>
      </c>
      <c r="Q954">
        <v>20.84</v>
      </c>
      <c r="R954" t="s">
        <v>9</v>
      </c>
      <c r="S954">
        <f>Sheet1[[#This Row],[Ship_date]]-Sheet1[[#This Row],[Order_date]]</f>
        <v>4</v>
      </c>
      <c r="T954">
        <f>Sheet1[[#This Row],[Quantity]]*Sheet1[[#This Row],[Sales]]</f>
        <v>1908</v>
      </c>
      <c r="U954">
        <f>Sheet1[[#This Row],[Total Sales]]*Sheet1[[#This Row],[Discount]]</f>
        <v>477</v>
      </c>
      <c r="V954" s="4">
        <f>Sheet1[[#This Row],[Total Sales]]-Sheet1[[#This Row],[Total Sales]]*Sheet1[[#This Row],[Discount]]</f>
        <v>1431</v>
      </c>
      <c r="W954" s="4">
        <f>Sheet1[[#This Row],[Quantity]]*Sheet1[[#This Row],[Profit]]</f>
        <v>76.290000000000006</v>
      </c>
      <c r="X954" s="5">
        <f>Sheet1[[#This Row],[Total Profit]]/Sheet1[[#This Row],[Sales After Discount]]</f>
        <v>5.3312368972746334E-2</v>
      </c>
      <c r="Y954" s="4">
        <f>Sheet1[[#This Row],[Shipping_cost]]*Sheet1[[#This Row],[Quantity]]</f>
        <v>41.68</v>
      </c>
      <c r="Z954" s="4">
        <f>Sheet1[[#This Row],[Total Profit]]-Sheet1[[#This Row],[Total Shipping Cost]]</f>
        <v>34.610000000000007</v>
      </c>
      <c r="AA954" s="4" t="str">
        <f>IF(Sheet1[[#This Row],[Net Profit]]&gt;0,"Profit","Loss")</f>
        <v>Profit</v>
      </c>
    </row>
    <row r="955" spans="1:27" x14ac:dyDescent="0.25">
      <c r="A955" t="s">
        <v>1202</v>
      </c>
      <c r="B955" s="1">
        <v>40610</v>
      </c>
      <c r="C955" s="1">
        <v>40610</v>
      </c>
      <c r="D955" t="s">
        <v>41</v>
      </c>
      <c r="E955" t="s">
        <v>511</v>
      </c>
      <c r="F955" t="s">
        <v>26</v>
      </c>
      <c r="G955" t="s">
        <v>689</v>
      </c>
      <c r="H955" t="s">
        <v>689</v>
      </c>
      <c r="I955" t="s">
        <v>75</v>
      </c>
      <c r="J955" t="s">
        <v>76</v>
      </c>
      <c r="K955" t="s">
        <v>38</v>
      </c>
      <c r="L955" t="s">
        <v>50</v>
      </c>
      <c r="M955">
        <v>144</v>
      </c>
      <c r="N955">
        <v>3</v>
      </c>
      <c r="O955">
        <v>0.40200000000000002</v>
      </c>
      <c r="P955">
        <v>9.1199999999999992</v>
      </c>
      <c r="Q955">
        <v>16.2</v>
      </c>
      <c r="R955" t="s">
        <v>23</v>
      </c>
      <c r="S955">
        <f>Sheet1[[#This Row],[Ship_date]]-Sheet1[[#This Row],[Order_date]]</f>
        <v>0</v>
      </c>
      <c r="T955">
        <f>Sheet1[[#This Row],[Quantity]]*Sheet1[[#This Row],[Sales]]</f>
        <v>432</v>
      </c>
      <c r="U955">
        <f>Sheet1[[#This Row],[Total Sales]]*Sheet1[[#This Row],[Discount]]</f>
        <v>173.66400000000002</v>
      </c>
      <c r="V955" s="4">
        <f>Sheet1[[#This Row],[Total Sales]]-Sheet1[[#This Row],[Total Sales]]*Sheet1[[#This Row],[Discount]]</f>
        <v>258.33600000000001</v>
      </c>
      <c r="W955" s="4">
        <f>Sheet1[[#This Row],[Quantity]]*Sheet1[[#This Row],[Profit]]</f>
        <v>27.36</v>
      </c>
      <c r="X955" s="5">
        <f>Sheet1[[#This Row],[Total Profit]]/Sheet1[[#This Row],[Sales After Discount]]</f>
        <v>0.10590858416945373</v>
      </c>
      <c r="Y955" s="4">
        <f>Sheet1[[#This Row],[Shipping_cost]]*Sheet1[[#This Row],[Quantity]]</f>
        <v>48.599999999999994</v>
      </c>
      <c r="Z955" s="4">
        <f>Sheet1[[#This Row],[Total Profit]]-Sheet1[[#This Row],[Total Shipping Cost]]</f>
        <v>-21.239999999999995</v>
      </c>
      <c r="AA955" s="4" t="str">
        <f>IF(Sheet1[[#This Row],[Net Profit]]&gt;0,"Profit","Loss")</f>
        <v>Loss</v>
      </c>
    </row>
    <row r="956" spans="1:27" x14ac:dyDescent="0.25">
      <c r="A956" t="s">
        <v>1195</v>
      </c>
      <c r="B956" s="1">
        <v>40610</v>
      </c>
      <c r="C956" s="1">
        <v>40614</v>
      </c>
      <c r="D956" t="s">
        <v>18</v>
      </c>
      <c r="E956" t="s">
        <v>932</v>
      </c>
      <c r="F956" t="s">
        <v>3</v>
      </c>
      <c r="G956" t="s">
        <v>660</v>
      </c>
      <c r="H956" t="s">
        <v>13</v>
      </c>
      <c r="I956" t="s">
        <v>14</v>
      </c>
      <c r="J956" t="s">
        <v>15</v>
      </c>
      <c r="K956" t="s">
        <v>38</v>
      </c>
      <c r="L956" t="s">
        <v>77</v>
      </c>
      <c r="M956">
        <v>124</v>
      </c>
      <c r="N956">
        <v>1</v>
      </c>
      <c r="O956">
        <v>0.1</v>
      </c>
      <c r="P956">
        <v>39.996000000000002</v>
      </c>
      <c r="Q956">
        <v>10.9</v>
      </c>
      <c r="R956" t="s">
        <v>9</v>
      </c>
      <c r="S956">
        <f>Sheet1[[#This Row],[Ship_date]]-Sheet1[[#This Row],[Order_date]]</f>
        <v>4</v>
      </c>
      <c r="T956">
        <f>Sheet1[[#This Row],[Quantity]]*Sheet1[[#This Row],[Sales]]</f>
        <v>124</v>
      </c>
      <c r="U956">
        <f>Sheet1[[#This Row],[Total Sales]]*Sheet1[[#This Row],[Discount]]</f>
        <v>12.4</v>
      </c>
      <c r="V956" s="4">
        <f>Sheet1[[#This Row],[Total Sales]]-Sheet1[[#This Row],[Total Sales]]*Sheet1[[#This Row],[Discount]]</f>
        <v>111.6</v>
      </c>
      <c r="W956" s="4">
        <f>Sheet1[[#This Row],[Quantity]]*Sheet1[[#This Row],[Profit]]</f>
        <v>39.996000000000002</v>
      </c>
      <c r="X956" s="5">
        <f>Sheet1[[#This Row],[Total Profit]]/Sheet1[[#This Row],[Sales After Discount]]</f>
        <v>0.35838709677419361</v>
      </c>
      <c r="Y956" s="4">
        <f>Sheet1[[#This Row],[Shipping_cost]]*Sheet1[[#This Row],[Quantity]]</f>
        <v>10.9</v>
      </c>
      <c r="Z956" s="4">
        <f>Sheet1[[#This Row],[Total Profit]]-Sheet1[[#This Row],[Total Shipping Cost]]</f>
        <v>29.096000000000004</v>
      </c>
      <c r="AA956" s="4" t="str">
        <f>IF(Sheet1[[#This Row],[Net Profit]]&gt;0,"Profit","Loss")</f>
        <v>Profit</v>
      </c>
    </row>
    <row r="957" spans="1:27" x14ac:dyDescent="0.25">
      <c r="A957" t="s">
        <v>1195</v>
      </c>
      <c r="B957" s="1">
        <v>40610</v>
      </c>
      <c r="C957" s="1">
        <v>40614</v>
      </c>
      <c r="D957" t="s">
        <v>18</v>
      </c>
      <c r="E957" t="s">
        <v>932</v>
      </c>
      <c r="F957" t="s">
        <v>3</v>
      </c>
      <c r="G957" t="s">
        <v>660</v>
      </c>
      <c r="H957" t="s">
        <v>13</v>
      </c>
      <c r="I957" t="s">
        <v>14</v>
      </c>
      <c r="J957" t="s">
        <v>15</v>
      </c>
      <c r="K957" t="s">
        <v>38</v>
      </c>
      <c r="L957" t="s">
        <v>82</v>
      </c>
      <c r="M957">
        <v>143</v>
      </c>
      <c r="N957">
        <v>4</v>
      </c>
      <c r="O957">
        <v>0.1</v>
      </c>
      <c r="P957">
        <v>-12.804</v>
      </c>
      <c r="Q957">
        <v>9.83</v>
      </c>
      <c r="R957" t="s">
        <v>9</v>
      </c>
      <c r="S957">
        <f>Sheet1[[#This Row],[Ship_date]]-Sheet1[[#This Row],[Order_date]]</f>
        <v>4</v>
      </c>
      <c r="T957">
        <f>Sheet1[[#This Row],[Quantity]]*Sheet1[[#This Row],[Sales]]</f>
        <v>572</v>
      </c>
      <c r="U957">
        <f>Sheet1[[#This Row],[Total Sales]]*Sheet1[[#This Row],[Discount]]</f>
        <v>57.2</v>
      </c>
      <c r="V957" s="4">
        <f>Sheet1[[#This Row],[Total Sales]]-Sheet1[[#This Row],[Total Sales]]*Sheet1[[#This Row],[Discount]]</f>
        <v>514.79999999999995</v>
      </c>
      <c r="W957" s="4">
        <f>Sheet1[[#This Row],[Quantity]]*Sheet1[[#This Row],[Profit]]</f>
        <v>-51.216000000000001</v>
      </c>
      <c r="X957" s="5">
        <f>Sheet1[[#This Row],[Total Profit]]/Sheet1[[#This Row],[Sales After Discount]]</f>
        <v>-9.94871794871795E-2</v>
      </c>
      <c r="Y957" s="4">
        <f>Sheet1[[#This Row],[Shipping_cost]]*Sheet1[[#This Row],[Quantity]]</f>
        <v>39.32</v>
      </c>
      <c r="Z957" s="4">
        <f>Sheet1[[#This Row],[Total Profit]]-Sheet1[[#This Row],[Total Shipping Cost]]</f>
        <v>-90.536000000000001</v>
      </c>
      <c r="AA957" s="4" t="str">
        <f>IF(Sheet1[[#This Row],[Net Profit]]&gt;0,"Profit","Loss")</f>
        <v>Loss</v>
      </c>
    </row>
    <row r="958" spans="1:27" x14ac:dyDescent="0.25">
      <c r="A958" t="s">
        <v>1200</v>
      </c>
      <c r="B958" s="1">
        <v>40610</v>
      </c>
      <c r="C958" s="1">
        <v>40616</v>
      </c>
      <c r="D958" t="s">
        <v>1</v>
      </c>
      <c r="E958" t="s">
        <v>1201</v>
      </c>
      <c r="F958" t="s">
        <v>43</v>
      </c>
      <c r="G958" t="s">
        <v>222</v>
      </c>
      <c r="H958" t="s">
        <v>223</v>
      </c>
      <c r="I958" t="s">
        <v>6</v>
      </c>
      <c r="J958" t="s">
        <v>6</v>
      </c>
      <c r="K958" t="s">
        <v>38</v>
      </c>
      <c r="L958" t="s">
        <v>39</v>
      </c>
      <c r="M958">
        <v>80</v>
      </c>
      <c r="N958">
        <v>1</v>
      </c>
      <c r="O958">
        <v>0.7</v>
      </c>
      <c r="P958">
        <v>-106.515</v>
      </c>
      <c r="Q958">
        <v>9.76</v>
      </c>
      <c r="R958" t="s">
        <v>9</v>
      </c>
      <c r="S958">
        <f>Sheet1[[#This Row],[Ship_date]]-Sheet1[[#This Row],[Order_date]]</f>
        <v>6</v>
      </c>
      <c r="T958">
        <f>Sheet1[[#This Row],[Quantity]]*Sheet1[[#This Row],[Sales]]</f>
        <v>80</v>
      </c>
      <c r="U958">
        <f>Sheet1[[#This Row],[Total Sales]]*Sheet1[[#This Row],[Discount]]</f>
        <v>56</v>
      </c>
      <c r="V958" s="4">
        <f>Sheet1[[#This Row],[Total Sales]]-Sheet1[[#This Row],[Total Sales]]*Sheet1[[#This Row],[Discount]]</f>
        <v>24</v>
      </c>
      <c r="W958" s="4">
        <f>Sheet1[[#This Row],[Quantity]]*Sheet1[[#This Row],[Profit]]</f>
        <v>-106.515</v>
      </c>
      <c r="X958" s="5">
        <f>Sheet1[[#This Row],[Total Profit]]/Sheet1[[#This Row],[Sales After Discount]]</f>
        <v>-4.4381250000000003</v>
      </c>
      <c r="Y958" s="4">
        <f>Sheet1[[#This Row],[Shipping_cost]]*Sheet1[[#This Row],[Quantity]]</f>
        <v>9.76</v>
      </c>
      <c r="Z958" s="4">
        <f>Sheet1[[#This Row],[Total Profit]]-Sheet1[[#This Row],[Total Shipping Cost]]</f>
        <v>-116.27500000000001</v>
      </c>
      <c r="AA958" s="4" t="str">
        <f>IF(Sheet1[[#This Row],[Net Profit]]&gt;0,"Profit","Loss")</f>
        <v>Loss</v>
      </c>
    </row>
    <row r="959" spans="1:27" x14ac:dyDescent="0.25">
      <c r="A959" t="s">
        <v>1203</v>
      </c>
      <c r="B959" s="1">
        <v>40610</v>
      </c>
      <c r="C959" s="1">
        <v>40615</v>
      </c>
      <c r="D959" t="s">
        <v>1</v>
      </c>
      <c r="E959" t="s">
        <v>563</v>
      </c>
      <c r="F959" t="s">
        <v>3</v>
      </c>
      <c r="G959" t="s">
        <v>1204</v>
      </c>
      <c r="H959" t="s">
        <v>305</v>
      </c>
      <c r="I959" t="s">
        <v>29</v>
      </c>
      <c r="J959" t="s">
        <v>76</v>
      </c>
      <c r="K959" t="s">
        <v>7</v>
      </c>
      <c r="L959" t="s">
        <v>97</v>
      </c>
      <c r="M959">
        <v>117</v>
      </c>
      <c r="N959">
        <v>7</v>
      </c>
      <c r="O959">
        <v>0</v>
      </c>
      <c r="P959">
        <v>15.12</v>
      </c>
      <c r="Q959">
        <v>9.69</v>
      </c>
      <c r="R959" t="s">
        <v>9</v>
      </c>
      <c r="S959">
        <f>Sheet1[[#This Row],[Ship_date]]-Sheet1[[#This Row],[Order_date]]</f>
        <v>5</v>
      </c>
      <c r="T959">
        <f>Sheet1[[#This Row],[Quantity]]*Sheet1[[#This Row],[Sales]]</f>
        <v>819</v>
      </c>
      <c r="U959">
        <f>Sheet1[[#This Row],[Total Sales]]*Sheet1[[#This Row],[Discount]]</f>
        <v>0</v>
      </c>
      <c r="V959" s="4">
        <f>Sheet1[[#This Row],[Total Sales]]-Sheet1[[#This Row],[Total Sales]]*Sheet1[[#This Row],[Discount]]</f>
        <v>819</v>
      </c>
      <c r="W959" s="4">
        <f>Sheet1[[#This Row],[Quantity]]*Sheet1[[#This Row],[Profit]]</f>
        <v>105.83999999999999</v>
      </c>
      <c r="X959" s="5">
        <f>Sheet1[[#This Row],[Total Profit]]/Sheet1[[#This Row],[Sales After Discount]]</f>
        <v>0.1292307692307692</v>
      </c>
      <c r="Y959" s="4">
        <f>Sheet1[[#This Row],[Shipping_cost]]*Sheet1[[#This Row],[Quantity]]</f>
        <v>67.83</v>
      </c>
      <c r="Z959" s="4">
        <f>Sheet1[[#This Row],[Total Profit]]-Sheet1[[#This Row],[Total Shipping Cost]]</f>
        <v>38.009999999999991</v>
      </c>
      <c r="AA959" s="4" t="str">
        <f>IF(Sheet1[[#This Row],[Net Profit]]&gt;0,"Profit","Loss")</f>
        <v>Profit</v>
      </c>
    </row>
    <row r="960" spans="1:27" x14ac:dyDescent="0.25">
      <c r="A960" t="s">
        <v>1195</v>
      </c>
      <c r="B960" s="1">
        <v>40610</v>
      </c>
      <c r="C960" s="1">
        <v>40614</v>
      </c>
      <c r="D960" t="s">
        <v>18</v>
      </c>
      <c r="E960" t="s">
        <v>932</v>
      </c>
      <c r="F960" t="s">
        <v>3</v>
      </c>
      <c r="G960" t="s">
        <v>660</v>
      </c>
      <c r="H960" t="s">
        <v>13</v>
      </c>
      <c r="I960" t="s">
        <v>14</v>
      </c>
      <c r="J960" t="s">
        <v>15</v>
      </c>
      <c r="K960" t="s">
        <v>38</v>
      </c>
      <c r="L960" t="s">
        <v>39</v>
      </c>
      <c r="M960">
        <v>317</v>
      </c>
      <c r="N960">
        <v>7</v>
      </c>
      <c r="O960">
        <v>0.1</v>
      </c>
      <c r="P960">
        <v>13.944000000000001</v>
      </c>
      <c r="Q960">
        <v>9.56</v>
      </c>
      <c r="R960" t="s">
        <v>9</v>
      </c>
      <c r="S960">
        <f>Sheet1[[#This Row],[Ship_date]]-Sheet1[[#This Row],[Order_date]]</f>
        <v>4</v>
      </c>
      <c r="T960">
        <f>Sheet1[[#This Row],[Quantity]]*Sheet1[[#This Row],[Sales]]</f>
        <v>2219</v>
      </c>
      <c r="U960">
        <f>Sheet1[[#This Row],[Total Sales]]*Sheet1[[#This Row],[Discount]]</f>
        <v>221.9</v>
      </c>
      <c r="V960" s="4">
        <f>Sheet1[[#This Row],[Total Sales]]-Sheet1[[#This Row],[Total Sales]]*Sheet1[[#This Row],[Discount]]</f>
        <v>1997.1</v>
      </c>
      <c r="W960" s="4">
        <f>Sheet1[[#This Row],[Quantity]]*Sheet1[[#This Row],[Profit]]</f>
        <v>97.608000000000004</v>
      </c>
      <c r="X960" s="5">
        <f>Sheet1[[#This Row],[Total Profit]]/Sheet1[[#This Row],[Sales After Discount]]</f>
        <v>4.8874868559411151E-2</v>
      </c>
      <c r="Y960" s="4">
        <f>Sheet1[[#This Row],[Shipping_cost]]*Sheet1[[#This Row],[Quantity]]</f>
        <v>66.92</v>
      </c>
      <c r="Z960" s="4">
        <f>Sheet1[[#This Row],[Total Profit]]-Sheet1[[#This Row],[Total Shipping Cost]]</f>
        <v>30.688000000000002</v>
      </c>
      <c r="AA960" s="4" t="str">
        <f>IF(Sheet1[[#This Row],[Net Profit]]&gt;0,"Profit","Loss")</f>
        <v>Profit</v>
      </c>
    </row>
    <row r="961" spans="1:27" x14ac:dyDescent="0.25">
      <c r="A961" t="s">
        <v>1205</v>
      </c>
      <c r="B961" s="1">
        <v>40610</v>
      </c>
      <c r="C961" s="1">
        <v>40616</v>
      </c>
      <c r="D961" t="s">
        <v>1</v>
      </c>
      <c r="E961" t="s">
        <v>1099</v>
      </c>
      <c r="F961" t="s">
        <v>3</v>
      </c>
      <c r="G961" t="s">
        <v>1206</v>
      </c>
      <c r="H961" t="s">
        <v>200</v>
      </c>
      <c r="I961" t="s">
        <v>22</v>
      </c>
      <c r="J961" t="s">
        <v>22</v>
      </c>
      <c r="K961" t="s">
        <v>32</v>
      </c>
      <c r="L961" t="s">
        <v>33</v>
      </c>
      <c r="M961">
        <v>101</v>
      </c>
      <c r="N961">
        <v>4</v>
      </c>
      <c r="O961">
        <v>0</v>
      </c>
      <c r="P961">
        <v>31.2</v>
      </c>
      <c r="Q961">
        <v>8.43</v>
      </c>
      <c r="R961" t="s">
        <v>9</v>
      </c>
      <c r="S961">
        <f>Sheet1[[#This Row],[Ship_date]]-Sheet1[[#This Row],[Order_date]]</f>
        <v>6</v>
      </c>
      <c r="T961">
        <f>Sheet1[[#This Row],[Quantity]]*Sheet1[[#This Row],[Sales]]</f>
        <v>404</v>
      </c>
      <c r="U961">
        <f>Sheet1[[#This Row],[Total Sales]]*Sheet1[[#This Row],[Discount]]</f>
        <v>0</v>
      </c>
      <c r="V961" s="4">
        <f>Sheet1[[#This Row],[Total Sales]]-Sheet1[[#This Row],[Total Sales]]*Sheet1[[#This Row],[Discount]]</f>
        <v>404</v>
      </c>
      <c r="W961" s="4">
        <f>Sheet1[[#This Row],[Quantity]]*Sheet1[[#This Row],[Profit]]</f>
        <v>124.8</v>
      </c>
      <c r="X961" s="5">
        <f>Sheet1[[#This Row],[Total Profit]]/Sheet1[[#This Row],[Sales After Discount]]</f>
        <v>0.30891089108910891</v>
      </c>
      <c r="Y961" s="4">
        <f>Sheet1[[#This Row],[Shipping_cost]]*Sheet1[[#This Row],[Quantity]]</f>
        <v>33.72</v>
      </c>
      <c r="Z961" s="4">
        <f>Sheet1[[#This Row],[Total Profit]]-Sheet1[[#This Row],[Total Shipping Cost]]</f>
        <v>91.08</v>
      </c>
      <c r="AA961" s="4" t="str">
        <f>IF(Sheet1[[#This Row],[Net Profit]]&gt;0,"Profit","Loss")</f>
        <v>Profit</v>
      </c>
    </row>
    <row r="962" spans="1:27" x14ac:dyDescent="0.25">
      <c r="A962" t="s">
        <v>1207</v>
      </c>
      <c r="B962" s="1">
        <v>40610</v>
      </c>
      <c r="C962" s="1">
        <v>40615</v>
      </c>
      <c r="D962" t="s">
        <v>18</v>
      </c>
      <c r="E962" t="s">
        <v>1208</v>
      </c>
      <c r="F962" t="s">
        <v>3</v>
      </c>
      <c r="G962" t="s">
        <v>1209</v>
      </c>
      <c r="H962" t="s">
        <v>972</v>
      </c>
      <c r="I962" t="s">
        <v>22</v>
      </c>
      <c r="J962" t="s">
        <v>22</v>
      </c>
      <c r="K962" t="s">
        <v>38</v>
      </c>
      <c r="L962" t="s">
        <v>82</v>
      </c>
      <c r="M962">
        <v>41</v>
      </c>
      <c r="N962">
        <v>1</v>
      </c>
      <c r="O962">
        <v>0</v>
      </c>
      <c r="P962">
        <v>6.12</v>
      </c>
      <c r="Q962">
        <v>7.1</v>
      </c>
      <c r="R962" t="s">
        <v>23</v>
      </c>
      <c r="S962">
        <f>Sheet1[[#This Row],[Ship_date]]-Sheet1[[#This Row],[Order_date]]</f>
        <v>5</v>
      </c>
      <c r="T962">
        <f>Sheet1[[#This Row],[Quantity]]*Sheet1[[#This Row],[Sales]]</f>
        <v>41</v>
      </c>
      <c r="U962">
        <f>Sheet1[[#This Row],[Total Sales]]*Sheet1[[#This Row],[Discount]]</f>
        <v>0</v>
      </c>
      <c r="V962" s="4">
        <f>Sheet1[[#This Row],[Total Sales]]-Sheet1[[#This Row],[Total Sales]]*Sheet1[[#This Row],[Discount]]</f>
        <v>41</v>
      </c>
      <c r="W962" s="4">
        <f>Sheet1[[#This Row],[Quantity]]*Sheet1[[#This Row],[Profit]]</f>
        <v>6.12</v>
      </c>
      <c r="X962" s="5">
        <f>Sheet1[[#This Row],[Total Profit]]/Sheet1[[#This Row],[Sales After Discount]]</f>
        <v>0.14926829268292682</v>
      </c>
      <c r="Y962" s="4">
        <f>Sheet1[[#This Row],[Shipping_cost]]*Sheet1[[#This Row],[Quantity]]</f>
        <v>7.1</v>
      </c>
      <c r="Z962" s="4">
        <f>Sheet1[[#This Row],[Total Profit]]-Sheet1[[#This Row],[Total Shipping Cost]]</f>
        <v>-0.97999999999999954</v>
      </c>
      <c r="AA962" s="4" t="str">
        <f>IF(Sheet1[[#This Row],[Net Profit]]&gt;0,"Profit","Loss")</f>
        <v>Loss</v>
      </c>
    </row>
    <row r="963" spans="1:27" x14ac:dyDescent="0.25">
      <c r="A963" t="s">
        <v>1196</v>
      </c>
      <c r="B963" s="1">
        <v>40610</v>
      </c>
      <c r="C963" s="1">
        <v>40615</v>
      </c>
      <c r="D963" t="s">
        <v>1</v>
      </c>
      <c r="E963" t="s">
        <v>273</v>
      </c>
      <c r="F963" t="s">
        <v>26</v>
      </c>
      <c r="G963" t="s">
        <v>1197</v>
      </c>
      <c r="H963" t="s">
        <v>1198</v>
      </c>
      <c r="I963" t="s">
        <v>14</v>
      </c>
      <c r="J963" t="s">
        <v>61</v>
      </c>
      <c r="K963" t="s">
        <v>7</v>
      </c>
      <c r="L963" t="s">
        <v>16</v>
      </c>
      <c r="M963">
        <v>76</v>
      </c>
      <c r="N963">
        <v>5</v>
      </c>
      <c r="O963">
        <v>0</v>
      </c>
      <c r="P963">
        <v>18.149999999999999</v>
      </c>
      <c r="Q963">
        <v>5.5</v>
      </c>
      <c r="R963" t="s">
        <v>9</v>
      </c>
      <c r="S963">
        <f>Sheet1[[#This Row],[Ship_date]]-Sheet1[[#This Row],[Order_date]]</f>
        <v>5</v>
      </c>
      <c r="T963">
        <f>Sheet1[[#This Row],[Quantity]]*Sheet1[[#This Row],[Sales]]</f>
        <v>380</v>
      </c>
      <c r="U963">
        <f>Sheet1[[#This Row],[Total Sales]]*Sheet1[[#This Row],[Discount]]</f>
        <v>0</v>
      </c>
      <c r="V963" s="4">
        <f>Sheet1[[#This Row],[Total Sales]]-Sheet1[[#This Row],[Total Sales]]*Sheet1[[#This Row],[Discount]]</f>
        <v>380</v>
      </c>
      <c r="W963" s="4">
        <f>Sheet1[[#This Row],[Quantity]]*Sheet1[[#This Row],[Profit]]</f>
        <v>90.75</v>
      </c>
      <c r="X963" s="5">
        <f>Sheet1[[#This Row],[Total Profit]]/Sheet1[[#This Row],[Sales After Discount]]</f>
        <v>0.2388157894736842</v>
      </c>
      <c r="Y963" s="4">
        <f>Sheet1[[#This Row],[Shipping_cost]]*Sheet1[[#This Row],[Quantity]]</f>
        <v>27.5</v>
      </c>
      <c r="Z963" s="4">
        <f>Sheet1[[#This Row],[Total Profit]]-Sheet1[[#This Row],[Total Shipping Cost]]</f>
        <v>63.25</v>
      </c>
      <c r="AA963" s="4" t="str">
        <f>IF(Sheet1[[#This Row],[Net Profit]]&gt;0,"Profit","Loss")</f>
        <v>Profit</v>
      </c>
    </row>
    <row r="964" spans="1:27" x14ac:dyDescent="0.25">
      <c r="A964" t="s">
        <v>1210</v>
      </c>
      <c r="B964" s="1">
        <v>40610</v>
      </c>
      <c r="C964" s="1">
        <v>40614</v>
      </c>
      <c r="D964" t="s">
        <v>1</v>
      </c>
      <c r="E964" t="s">
        <v>1056</v>
      </c>
      <c r="F964" t="s">
        <v>3</v>
      </c>
      <c r="G964" t="s">
        <v>1211</v>
      </c>
      <c r="H964" t="s">
        <v>37</v>
      </c>
      <c r="I964" t="s">
        <v>37</v>
      </c>
      <c r="J964" t="s">
        <v>37</v>
      </c>
      <c r="K964" t="s">
        <v>7</v>
      </c>
      <c r="L964" t="s">
        <v>137</v>
      </c>
      <c r="M964">
        <v>60</v>
      </c>
      <c r="N964">
        <v>2</v>
      </c>
      <c r="O964">
        <v>0</v>
      </c>
      <c r="P964">
        <v>23.88</v>
      </c>
      <c r="Q964">
        <v>5</v>
      </c>
      <c r="R964" t="s">
        <v>9</v>
      </c>
      <c r="S964">
        <f>Sheet1[[#This Row],[Ship_date]]-Sheet1[[#This Row],[Order_date]]</f>
        <v>4</v>
      </c>
      <c r="T964">
        <f>Sheet1[[#This Row],[Quantity]]*Sheet1[[#This Row],[Sales]]</f>
        <v>120</v>
      </c>
      <c r="U964">
        <f>Sheet1[[#This Row],[Total Sales]]*Sheet1[[#This Row],[Discount]]</f>
        <v>0</v>
      </c>
      <c r="V964" s="4">
        <f>Sheet1[[#This Row],[Total Sales]]-Sheet1[[#This Row],[Total Sales]]*Sheet1[[#This Row],[Discount]]</f>
        <v>120</v>
      </c>
      <c r="W964" s="4">
        <f>Sheet1[[#This Row],[Quantity]]*Sheet1[[#This Row],[Profit]]</f>
        <v>47.76</v>
      </c>
      <c r="X964" s="5">
        <f>Sheet1[[#This Row],[Total Profit]]/Sheet1[[#This Row],[Sales After Discount]]</f>
        <v>0.39799999999999996</v>
      </c>
      <c r="Y964" s="4">
        <f>Sheet1[[#This Row],[Shipping_cost]]*Sheet1[[#This Row],[Quantity]]</f>
        <v>10</v>
      </c>
      <c r="Z964" s="4">
        <f>Sheet1[[#This Row],[Total Profit]]-Sheet1[[#This Row],[Total Shipping Cost]]</f>
        <v>37.76</v>
      </c>
      <c r="AA964" s="4" t="str">
        <f>IF(Sheet1[[#This Row],[Net Profit]]&gt;0,"Profit","Loss")</f>
        <v>Profit</v>
      </c>
    </row>
    <row r="965" spans="1:27" x14ac:dyDescent="0.25">
      <c r="A965" t="s">
        <v>1212</v>
      </c>
      <c r="B965" s="1">
        <v>40610</v>
      </c>
      <c r="C965" s="1">
        <v>40613</v>
      </c>
      <c r="D965" t="s">
        <v>142</v>
      </c>
      <c r="E965" t="s">
        <v>1213</v>
      </c>
      <c r="F965" t="s">
        <v>3</v>
      </c>
      <c r="G965" t="s">
        <v>1214</v>
      </c>
      <c r="H965" t="s">
        <v>1215</v>
      </c>
      <c r="I965" t="s">
        <v>75</v>
      </c>
      <c r="J965" t="s">
        <v>102</v>
      </c>
      <c r="K965" t="s">
        <v>7</v>
      </c>
      <c r="L965" t="s">
        <v>97</v>
      </c>
      <c r="M965">
        <v>16</v>
      </c>
      <c r="N965">
        <v>3</v>
      </c>
      <c r="O965">
        <v>0.4</v>
      </c>
      <c r="P965">
        <v>-0.86399999999999999</v>
      </c>
      <c r="Q965">
        <v>4.07</v>
      </c>
      <c r="R965" t="s">
        <v>23</v>
      </c>
      <c r="S965">
        <f>Sheet1[[#This Row],[Ship_date]]-Sheet1[[#This Row],[Order_date]]</f>
        <v>3</v>
      </c>
      <c r="T965">
        <f>Sheet1[[#This Row],[Quantity]]*Sheet1[[#This Row],[Sales]]</f>
        <v>48</v>
      </c>
      <c r="U965">
        <f>Sheet1[[#This Row],[Total Sales]]*Sheet1[[#This Row],[Discount]]</f>
        <v>19.200000000000003</v>
      </c>
      <c r="V965" s="4">
        <f>Sheet1[[#This Row],[Total Sales]]-Sheet1[[#This Row],[Total Sales]]*Sheet1[[#This Row],[Discount]]</f>
        <v>28.799999999999997</v>
      </c>
      <c r="W965" s="4">
        <f>Sheet1[[#This Row],[Quantity]]*Sheet1[[#This Row],[Profit]]</f>
        <v>-2.5920000000000001</v>
      </c>
      <c r="X965" s="5">
        <f>Sheet1[[#This Row],[Total Profit]]/Sheet1[[#This Row],[Sales After Discount]]</f>
        <v>-9.0000000000000011E-2</v>
      </c>
      <c r="Y965" s="4">
        <f>Sheet1[[#This Row],[Shipping_cost]]*Sheet1[[#This Row],[Quantity]]</f>
        <v>12.21</v>
      </c>
      <c r="Z965" s="4">
        <f>Sheet1[[#This Row],[Total Profit]]-Sheet1[[#This Row],[Total Shipping Cost]]</f>
        <v>-14.802000000000001</v>
      </c>
      <c r="AA965" s="4" t="str">
        <f>IF(Sheet1[[#This Row],[Net Profit]]&gt;0,"Profit","Loss")</f>
        <v>Loss</v>
      </c>
    </row>
    <row r="966" spans="1:27" x14ac:dyDescent="0.25">
      <c r="A966" t="s">
        <v>1196</v>
      </c>
      <c r="B966" s="1">
        <v>40610</v>
      </c>
      <c r="C966" s="1">
        <v>40615</v>
      </c>
      <c r="D966" t="s">
        <v>1</v>
      </c>
      <c r="E966" t="s">
        <v>273</v>
      </c>
      <c r="F966" t="s">
        <v>26</v>
      </c>
      <c r="G966" t="s">
        <v>1197</v>
      </c>
      <c r="H966" t="s">
        <v>1198</v>
      </c>
      <c r="I966" t="s">
        <v>14</v>
      </c>
      <c r="J966" t="s">
        <v>61</v>
      </c>
      <c r="K966" t="s">
        <v>7</v>
      </c>
      <c r="L966" t="s">
        <v>137</v>
      </c>
      <c r="M966">
        <v>88</v>
      </c>
      <c r="N966">
        <v>6</v>
      </c>
      <c r="O966">
        <v>0</v>
      </c>
      <c r="P966">
        <v>20.16</v>
      </c>
      <c r="Q966">
        <v>3.76</v>
      </c>
      <c r="R966" t="s">
        <v>9</v>
      </c>
      <c r="S966">
        <f>Sheet1[[#This Row],[Ship_date]]-Sheet1[[#This Row],[Order_date]]</f>
        <v>5</v>
      </c>
      <c r="T966">
        <f>Sheet1[[#This Row],[Quantity]]*Sheet1[[#This Row],[Sales]]</f>
        <v>528</v>
      </c>
      <c r="U966">
        <f>Sheet1[[#This Row],[Total Sales]]*Sheet1[[#This Row],[Discount]]</f>
        <v>0</v>
      </c>
      <c r="V966" s="4">
        <f>Sheet1[[#This Row],[Total Sales]]-Sheet1[[#This Row],[Total Sales]]*Sheet1[[#This Row],[Discount]]</f>
        <v>528</v>
      </c>
      <c r="W966" s="4">
        <f>Sheet1[[#This Row],[Quantity]]*Sheet1[[#This Row],[Profit]]</f>
        <v>120.96000000000001</v>
      </c>
      <c r="X966" s="5">
        <f>Sheet1[[#This Row],[Total Profit]]/Sheet1[[#This Row],[Sales After Discount]]</f>
        <v>0.2290909090909091</v>
      </c>
      <c r="Y966" s="4">
        <f>Sheet1[[#This Row],[Shipping_cost]]*Sheet1[[#This Row],[Quantity]]</f>
        <v>22.56</v>
      </c>
      <c r="Z966" s="4">
        <f>Sheet1[[#This Row],[Total Profit]]-Sheet1[[#This Row],[Total Shipping Cost]]</f>
        <v>98.4</v>
      </c>
      <c r="AA966" s="4" t="str">
        <f>IF(Sheet1[[#This Row],[Net Profit]]&gt;0,"Profit","Loss")</f>
        <v>Profit</v>
      </c>
    </row>
    <row r="967" spans="1:27" x14ac:dyDescent="0.25">
      <c r="A967" t="s">
        <v>1216</v>
      </c>
      <c r="B967" s="1">
        <v>40610</v>
      </c>
      <c r="C967" s="1">
        <v>40612</v>
      </c>
      <c r="D967" t="s">
        <v>18</v>
      </c>
      <c r="E967" t="s">
        <v>1217</v>
      </c>
      <c r="F967" t="s">
        <v>43</v>
      </c>
      <c r="G967" t="s">
        <v>1043</v>
      </c>
      <c r="H967" t="s">
        <v>157</v>
      </c>
      <c r="I967" t="s">
        <v>14</v>
      </c>
      <c r="J967" t="s">
        <v>61</v>
      </c>
      <c r="K967" t="s">
        <v>7</v>
      </c>
      <c r="L967" t="s">
        <v>31</v>
      </c>
      <c r="M967">
        <v>72</v>
      </c>
      <c r="N967">
        <v>4</v>
      </c>
      <c r="O967">
        <v>0.47</v>
      </c>
      <c r="P967">
        <v>-63.788400000000003</v>
      </c>
      <c r="Q967">
        <v>3.05</v>
      </c>
      <c r="R967" t="s">
        <v>9</v>
      </c>
      <c r="S967">
        <f>Sheet1[[#This Row],[Ship_date]]-Sheet1[[#This Row],[Order_date]]</f>
        <v>2</v>
      </c>
      <c r="T967">
        <f>Sheet1[[#This Row],[Quantity]]*Sheet1[[#This Row],[Sales]]</f>
        <v>288</v>
      </c>
      <c r="U967">
        <f>Sheet1[[#This Row],[Total Sales]]*Sheet1[[#This Row],[Discount]]</f>
        <v>135.35999999999999</v>
      </c>
      <c r="V967" s="4">
        <f>Sheet1[[#This Row],[Total Sales]]-Sheet1[[#This Row],[Total Sales]]*Sheet1[[#This Row],[Discount]]</f>
        <v>152.64000000000001</v>
      </c>
      <c r="W967" s="4">
        <f>Sheet1[[#This Row],[Quantity]]*Sheet1[[#This Row],[Profit]]</f>
        <v>-255.15360000000001</v>
      </c>
      <c r="X967" s="5">
        <f>Sheet1[[#This Row],[Total Profit]]/Sheet1[[#This Row],[Sales After Discount]]</f>
        <v>-1.6716037735849056</v>
      </c>
      <c r="Y967" s="4">
        <f>Sheet1[[#This Row],[Shipping_cost]]*Sheet1[[#This Row],[Quantity]]</f>
        <v>12.2</v>
      </c>
      <c r="Z967" s="4">
        <f>Sheet1[[#This Row],[Total Profit]]-Sheet1[[#This Row],[Total Shipping Cost]]</f>
        <v>-267.35360000000003</v>
      </c>
      <c r="AA967" s="4" t="str">
        <f>IF(Sheet1[[#This Row],[Net Profit]]&gt;0,"Profit","Loss")</f>
        <v>Loss</v>
      </c>
    </row>
    <row r="968" spans="1:27" x14ac:dyDescent="0.25">
      <c r="A968" t="s">
        <v>1200</v>
      </c>
      <c r="B968" s="1">
        <v>40610</v>
      </c>
      <c r="C968" s="1">
        <v>40616</v>
      </c>
      <c r="D968" t="s">
        <v>1</v>
      </c>
      <c r="E968" t="s">
        <v>1201</v>
      </c>
      <c r="F968" t="s">
        <v>43</v>
      </c>
      <c r="G968" t="s">
        <v>222</v>
      </c>
      <c r="H968" t="s">
        <v>223</v>
      </c>
      <c r="I968" t="s">
        <v>6</v>
      </c>
      <c r="J968" t="s">
        <v>6</v>
      </c>
      <c r="K968" t="s">
        <v>7</v>
      </c>
      <c r="L968" t="s">
        <v>137</v>
      </c>
      <c r="M968">
        <v>31</v>
      </c>
      <c r="N968">
        <v>2</v>
      </c>
      <c r="O968">
        <v>0.7</v>
      </c>
      <c r="P968">
        <v>-41.945999999999998</v>
      </c>
      <c r="Q968">
        <v>2.94</v>
      </c>
      <c r="R968" t="s">
        <v>9</v>
      </c>
      <c r="S968">
        <f>Sheet1[[#This Row],[Ship_date]]-Sheet1[[#This Row],[Order_date]]</f>
        <v>6</v>
      </c>
      <c r="T968">
        <f>Sheet1[[#This Row],[Quantity]]*Sheet1[[#This Row],[Sales]]</f>
        <v>62</v>
      </c>
      <c r="U968">
        <f>Sheet1[[#This Row],[Total Sales]]*Sheet1[[#This Row],[Discount]]</f>
        <v>43.4</v>
      </c>
      <c r="V968" s="4">
        <f>Sheet1[[#This Row],[Total Sales]]-Sheet1[[#This Row],[Total Sales]]*Sheet1[[#This Row],[Discount]]</f>
        <v>18.600000000000001</v>
      </c>
      <c r="W968" s="4">
        <f>Sheet1[[#This Row],[Quantity]]*Sheet1[[#This Row],[Profit]]</f>
        <v>-83.891999999999996</v>
      </c>
      <c r="X968" s="5">
        <f>Sheet1[[#This Row],[Total Profit]]/Sheet1[[#This Row],[Sales After Discount]]</f>
        <v>-4.5103225806451608</v>
      </c>
      <c r="Y968" s="4">
        <f>Sheet1[[#This Row],[Shipping_cost]]*Sheet1[[#This Row],[Quantity]]</f>
        <v>5.88</v>
      </c>
      <c r="Z968" s="4">
        <f>Sheet1[[#This Row],[Total Profit]]-Sheet1[[#This Row],[Total Shipping Cost]]</f>
        <v>-89.771999999999991</v>
      </c>
      <c r="AA968" s="4" t="str">
        <f>IF(Sheet1[[#This Row],[Net Profit]]&gt;0,"Profit","Loss")</f>
        <v>Loss</v>
      </c>
    </row>
    <row r="969" spans="1:27" x14ac:dyDescent="0.25">
      <c r="A969" t="s">
        <v>1205</v>
      </c>
      <c r="B969" s="1">
        <v>40610</v>
      </c>
      <c r="C969" s="1">
        <v>40616</v>
      </c>
      <c r="D969" t="s">
        <v>1</v>
      </c>
      <c r="E969" t="s">
        <v>1099</v>
      </c>
      <c r="F969" t="s">
        <v>3</v>
      </c>
      <c r="G969" t="s">
        <v>1206</v>
      </c>
      <c r="H969" t="s">
        <v>200</v>
      </c>
      <c r="I969" t="s">
        <v>22</v>
      </c>
      <c r="J969" t="s">
        <v>22</v>
      </c>
      <c r="K969" t="s">
        <v>7</v>
      </c>
      <c r="L969" t="s">
        <v>97</v>
      </c>
      <c r="M969">
        <v>17</v>
      </c>
      <c r="N969">
        <v>1</v>
      </c>
      <c r="O969">
        <v>0</v>
      </c>
      <c r="P969">
        <v>7.26</v>
      </c>
      <c r="Q969">
        <v>1.06</v>
      </c>
      <c r="R969" t="s">
        <v>9</v>
      </c>
      <c r="S969">
        <f>Sheet1[[#This Row],[Ship_date]]-Sheet1[[#This Row],[Order_date]]</f>
        <v>6</v>
      </c>
      <c r="T969">
        <f>Sheet1[[#This Row],[Quantity]]*Sheet1[[#This Row],[Sales]]</f>
        <v>17</v>
      </c>
      <c r="U969">
        <f>Sheet1[[#This Row],[Total Sales]]*Sheet1[[#This Row],[Discount]]</f>
        <v>0</v>
      </c>
      <c r="V969" s="4">
        <f>Sheet1[[#This Row],[Total Sales]]-Sheet1[[#This Row],[Total Sales]]*Sheet1[[#This Row],[Discount]]</f>
        <v>17</v>
      </c>
      <c r="W969" s="4">
        <f>Sheet1[[#This Row],[Quantity]]*Sheet1[[#This Row],[Profit]]</f>
        <v>7.26</v>
      </c>
      <c r="X969" s="5">
        <f>Sheet1[[#This Row],[Total Profit]]/Sheet1[[#This Row],[Sales After Discount]]</f>
        <v>0.42705882352941177</v>
      </c>
      <c r="Y969" s="4">
        <f>Sheet1[[#This Row],[Shipping_cost]]*Sheet1[[#This Row],[Quantity]]</f>
        <v>1.06</v>
      </c>
      <c r="Z969" s="4">
        <f>Sheet1[[#This Row],[Total Profit]]-Sheet1[[#This Row],[Total Shipping Cost]]</f>
        <v>6.1999999999999993</v>
      </c>
      <c r="AA969" s="4" t="str">
        <f>IF(Sheet1[[#This Row],[Net Profit]]&gt;0,"Profit","Loss")</f>
        <v>Profit</v>
      </c>
    </row>
    <row r="970" spans="1:27" x14ac:dyDescent="0.25">
      <c r="A970" t="s">
        <v>1218</v>
      </c>
      <c r="B970" s="1">
        <v>40611</v>
      </c>
      <c r="C970" s="1">
        <v>40614</v>
      </c>
      <c r="D970" t="s">
        <v>142</v>
      </c>
      <c r="E970" t="s">
        <v>1219</v>
      </c>
      <c r="F970" t="s">
        <v>3</v>
      </c>
      <c r="G970" t="s">
        <v>737</v>
      </c>
      <c r="H970" t="s">
        <v>259</v>
      </c>
      <c r="I970" t="s">
        <v>6</v>
      </c>
      <c r="J970" t="s">
        <v>6</v>
      </c>
      <c r="K970" t="s">
        <v>7</v>
      </c>
      <c r="L970" t="s">
        <v>91</v>
      </c>
      <c r="M970">
        <v>51</v>
      </c>
      <c r="N970">
        <v>1</v>
      </c>
      <c r="O970">
        <v>0</v>
      </c>
      <c r="P970">
        <v>6.6</v>
      </c>
      <c r="Q970">
        <v>17.690000000000001</v>
      </c>
      <c r="R970" t="s">
        <v>23</v>
      </c>
      <c r="S970">
        <f>Sheet1[[#This Row],[Ship_date]]-Sheet1[[#This Row],[Order_date]]</f>
        <v>3</v>
      </c>
      <c r="T970">
        <f>Sheet1[[#This Row],[Quantity]]*Sheet1[[#This Row],[Sales]]</f>
        <v>51</v>
      </c>
      <c r="U970">
        <f>Sheet1[[#This Row],[Total Sales]]*Sheet1[[#This Row],[Discount]]</f>
        <v>0</v>
      </c>
      <c r="V970" s="4">
        <f>Sheet1[[#This Row],[Total Sales]]-Sheet1[[#This Row],[Total Sales]]*Sheet1[[#This Row],[Discount]]</f>
        <v>51</v>
      </c>
      <c r="W970" s="4">
        <f>Sheet1[[#This Row],[Quantity]]*Sheet1[[#This Row],[Profit]]</f>
        <v>6.6</v>
      </c>
      <c r="X970" s="5">
        <f>Sheet1[[#This Row],[Total Profit]]/Sheet1[[#This Row],[Sales After Discount]]</f>
        <v>0.12941176470588234</v>
      </c>
      <c r="Y970" s="4">
        <f>Sheet1[[#This Row],[Shipping_cost]]*Sheet1[[#This Row],[Quantity]]</f>
        <v>17.690000000000001</v>
      </c>
      <c r="Z970" s="4">
        <f>Sheet1[[#This Row],[Total Profit]]-Sheet1[[#This Row],[Total Shipping Cost]]</f>
        <v>-11.090000000000002</v>
      </c>
      <c r="AA970" s="4" t="str">
        <f>IF(Sheet1[[#This Row],[Net Profit]]&gt;0,"Profit","Loss")</f>
        <v>Loss</v>
      </c>
    </row>
    <row r="971" spans="1:27" x14ac:dyDescent="0.25">
      <c r="A971" t="s">
        <v>1218</v>
      </c>
      <c r="B971" s="1">
        <v>40611</v>
      </c>
      <c r="C971" s="1">
        <v>40614</v>
      </c>
      <c r="D971" t="s">
        <v>142</v>
      </c>
      <c r="E971" t="s">
        <v>1219</v>
      </c>
      <c r="F971" t="s">
        <v>3</v>
      </c>
      <c r="G971" t="s">
        <v>737</v>
      </c>
      <c r="H971" t="s">
        <v>259</v>
      </c>
      <c r="I971" t="s">
        <v>6</v>
      </c>
      <c r="J971" t="s">
        <v>6</v>
      </c>
      <c r="K971" t="s">
        <v>7</v>
      </c>
      <c r="L971" t="s">
        <v>137</v>
      </c>
      <c r="M971">
        <v>50</v>
      </c>
      <c r="N971">
        <v>1</v>
      </c>
      <c r="O971">
        <v>0</v>
      </c>
      <c r="P971">
        <v>0.99</v>
      </c>
      <c r="Q971">
        <v>14.53</v>
      </c>
      <c r="R971" t="s">
        <v>23</v>
      </c>
      <c r="S971">
        <f>Sheet1[[#This Row],[Ship_date]]-Sheet1[[#This Row],[Order_date]]</f>
        <v>3</v>
      </c>
      <c r="T971">
        <f>Sheet1[[#This Row],[Quantity]]*Sheet1[[#This Row],[Sales]]</f>
        <v>50</v>
      </c>
      <c r="U971">
        <f>Sheet1[[#This Row],[Total Sales]]*Sheet1[[#This Row],[Discount]]</f>
        <v>0</v>
      </c>
      <c r="V971" s="4">
        <f>Sheet1[[#This Row],[Total Sales]]-Sheet1[[#This Row],[Total Sales]]*Sheet1[[#This Row],[Discount]]</f>
        <v>50</v>
      </c>
      <c r="W971" s="4">
        <f>Sheet1[[#This Row],[Quantity]]*Sheet1[[#This Row],[Profit]]</f>
        <v>0.99</v>
      </c>
      <c r="X971" s="5">
        <f>Sheet1[[#This Row],[Total Profit]]/Sheet1[[#This Row],[Sales After Discount]]</f>
        <v>1.9799999999999998E-2</v>
      </c>
      <c r="Y971" s="4">
        <f>Sheet1[[#This Row],[Shipping_cost]]*Sheet1[[#This Row],[Quantity]]</f>
        <v>14.53</v>
      </c>
      <c r="Z971" s="4">
        <f>Sheet1[[#This Row],[Total Profit]]-Sheet1[[#This Row],[Total Shipping Cost]]</f>
        <v>-13.54</v>
      </c>
      <c r="AA971" s="4" t="str">
        <f>IF(Sheet1[[#This Row],[Net Profit]]&gt;0,"Profit","Loss")</f>
        <v>Loss</v>
      </c>
    </row>
    <row r="972" spans="1:27" x14ac:dyDescent="0.25">
      <c r="A972" t="s">
        <v>1220</v>
      </c>
      <c r="B972" s="1">
        <v>40611</v>
      </c>
      <c r="C972" s="1">
        <v>40615</v>
      </c>
      <c r="D972" t="s">
        <v>1</v>
      </c>
      <c r="E972" t="s">
        <v>1221</v>
      </c>
      <c r="F972" t="s">
        <v>43</v>
      </c>
      <c r="G972" t="s">
        <v>12</v>
      </c>
      <c r="H972" t="s">
        <v>13</v>
      </c>
      <c r="I972" t="s">
        <v>14</v>
      </c>
      <c r="J972" t="s">
        <v>15</v>
      </c>
      <c r="K972" t="s">
        <v>32</v>
      </c>
      <c r="L972" t="s">
        <v>33</v>
      </c>
      <c r="M972">
        <v>103</v>
      </c>
      <c r="N972">
        <v>6</v>
      </c>
      <c r="O972">
        <v>0.1</v>
      </c>
      <c r="P972">
        <v>-1.3140000000000001</v>
      </c>
      <c r="Q972">
        <v>9.1199999999999992</v>
      </c>
      <c r="R972" t="s">
        <v>23</v>
      </c>
      <c r="S972">
        <f>Sheet1[[#This Row],[Ship_date]]-Sheet1[[#This Row],[Order_date]]</f>
        <v>4</v>
      </c>
      <c r="T972">
        <f>Sheet1[[#This Row],[Quantity]]*Sheet1[[#This Row],[Sales]]</f>
        <v>618</v>
      </c>
      <c r="U972">
        <f>Sheet1[[#This Row],[Total Sales]]*Sheet1[[#This Row],[Discount]]</f>
        <v>61.800000000000004</v>
      </c>
      <c r="V972" s="4">
        <f>Sheet1[[#This Row],[Total Sales]]-Sheet1[[#This Row],[Total Sales]]*Sheet1[[#This Row],[Discount]]</f>
        <v>556.20000000000005</v>
      </c>
      <c r="W972" s="4">
        <f>Sheet1[[#This Row],[Quantity]]*Sheet1[[#This Row],[Profit]]</f>
        <v>-7.8840000000000003</v>
      </c>
      <c r="X972" s="5">
        <f>Sheet1[[#This Row],[Total Profit]]/Sheet1[[#This Row],[Sales After Discount]]</f>
        <v>-1.4174757281553398E-2</v>
      </c>
      <c r="Y972" s="4">
        <f>Sheet1[[#This Row],[Shipping_cost]]*Sheet1[[#This Row],[Quantity]]</f>
        <v>54.72</v>
      </c>
      <c r="Z972" s="4">
        <f>Sheet1[[#This Row],[Total Profit]]-Sheet1[[#This Row],[Total Shipping Cost]]</f>
        <v>-62.603999999999999</v>
      </c>
      <c r="AA972" s="4" t="str">
        <f>IF(Sheet1[[#This Row],[Net Profit]]&gt;0,"Profit","Loss")</f>
        <v>Loss</v>
      </c>
    </row>
    <row r="973" spans="1:27" x14ac:dyDescent="0.25">
      <c r="A973" t="s">
        <v>1222</v>
      </c>
      <c r="B973" s="1">
        <v>40611</v>
      </c>
      <c r="C973" s="1">
        <v>40614</v>
      </c>
      <c r="D973" t="s">
        <v>142</v>
      </c>
      <c r="E973" t="s">
        <v>1223</v>
      </c>
      <c r="F973" t="s">
        <v>3</v>
      </c>
      <c r="G973" t="s">
        <v>605</v>
      </c>
      <c r="H973" t="s">
        <v>276</v>
      </c>
      <c r="I973" t="s">
        <v>29</v>
      </c>
      <c r="J973" t="s">
        <v>102</v>
      </c>
      <c r="K973" t="s">
        <v>7</v>
      </c>
      <c r="L973" t="s">
        <v>96</v>
      </c>
      <c r="M973">
        <v>94</v>
      </c>
      <c r="N973">
        <v>2</v>
      </c>
      <c r="O973">
        <v>0</v>
      </c>
      <c r="P973">
        <v>20.64</v>
      </c>
      <c r="Q973">
        <v>7.7</v>
      </c>
      <c r="R973" t="s">
        <v>9</v>
      </c>
      <c r="S973">
        <f>Sheet1[[#This Row],[Ship_date]]-Sheet1[[#This Row],[Order_date]]</f>
        <v>3</v>
      </c>
      <c r="T973">
        <f>Sheet1[[#This Row],[Quantity]]*Sheet1[[#This Row],[Sales]]</f>
        <v>188</v>
      </c>
      <c r="U973">
        <f>Sheet1[[#This Row],[Total Sales]]*Sheet1[[#This Row],[Discount]]</f>
        <v>0</v>
      </c>
      <c r="V973" s="4">
        <f>Sheet1[[#This Row],[Total Sales]]-Sheet1[[#This Row],[Total Sales]]*Sheet1[[#This Row],[Discount]]</f>
        <v>188</v>
      </c>
      <c r="W973" s="4">
        <f>Sheet1[[#This Row],[Quantity]]*Sheet1[[#This Row],[Profit]]</f>
        <v>41.28</v>
      </c>
      <c r="X973" s="5">
        <f>Sheet1[[#This Row],[Total Profit]]/Sheet1[[#This Row],[Sales After Discount]]</f>
        <v>0.21957446808510639</v>
      </c>
      <c r="Y973" s="4">
        <f>Sheet1[[#This Row],[Shipping_cost]]*Sheet1[[#This Row],[Quantity]]</f>
        <v>15.4</v>
      </c>
      <c r="Z973" s="4">
        <f>Sheet1[[#This Row],[Total Profit]]-Sheet1[[#This Row],[Total Shipping Cost]]</f>
        <v>25.880000000000003</v>
      </c>
      <c r="AA973" s="4" t="str">
        <f>IF(Sheet1[[#This Row],[Net Profit]]&gt;0,"Profit","Loss")</f>
        <v>Profit</v>
      </c>
    </row>
    <row r="974" spans="1:27" x14ac:dyDescent="0.25">
      <c r="A974" t="s">
        <v>1218</v>
      </c>
      <c r="B974" s="1">
        <v>40611</v>
      </c>
      <c r="C974" s="1">
        <v>40614</v>
      </c>
      <c r="D974" t="s">
        <v>142</v>
      </c>
      <c r="E974" t="s">
        <v>1219</v>
      </c>
      <c r="F974" t="s">
        <v>3</v>
      </c>
      <c r="G974" t="s">
        <v>737</v>
      </c>
      <c r="H974" t="s">
        <v>259</v>
      </c>
      <c r="I974" t="s">
        <v>6</v>
      </c>
      <c r="J974" t="s">
        <v>6</v>
      </c>
      <c r="K974" t="s">
        <v>7</v>
      </c>
      <c r="L974" t="s">
        <v>87</v>
      </c>
      <c r="M974">
        <v>41</v>
      </c>
      <c r="N974">
        <v>4</v>
      </c>
      <c r="O974">
        <v>0</v>
      </c>
      <c r="P974">
        <v>19.32</v>
      </c>
      <c r="Q974">
        <v>5.88</v>
      </c>
      <c r="R974" t="s">
        <v>23</v>
      </c>
      <c r="S974">
        <f>Sheet1[[#This Row],[Ship_date]]-Sheet1[[#This Row],[Order_date]]</f>
        <v>3</v>
      </c>
      <c r="T974">
        <f>Sheet1[[#This Row],[Quantity]]*Sheet1[[#This Row],[Sales]]</f>
        <v>164</v>
      </c>
      <c r="U974">
        <f>Sheet1[[#This Row],[Total Sales]]*Sheet1[[#This Row],[Discount]]</f>
        <v>0</v>
      </c>
      <c r="V974" s="4">
        <f>Sheet1[[#This Row],[Total Sales]]-Sheet1[[#This Row],[Total Sales]]*Sheet1[[#This Row],[Discount]]</f>
        <v>164</v>
      </c>
      <c r="W974" s="4">
        <f>Sheet1[[#This Row],[Quantity]]*Sheet1[[#This Row],[Profit]]</f>
        <v>77.28</v>
      </c>
      <c r="X974" s="5">
        <f>Sheet1[[#This Row],[Total Profit]]/Sheet1[[#This Row],[Sales After Discount]]</f>
        <v>0.47121951219512198</v>
      </c>
      <c r="Y974" s="4">
        <f>Sheet1[[#This Row],[Shipping_cost]]*Sheet1[[#This Row],[Quantity]]</f>
        <v>23.52</v>
      </c>
      <c r="Z974" s="4">
        <f>Sheet1[[#This Row],[Total Profit]]-Sheet1[[#This Row],[Total Shipping Cost]]</f>
        <v>53.760000000000005</v>
      </c>
      <c r="AA974" s="4" t="str">
        <f>IF(Sheet1[[#This Row],[Net Profit]]&gt;0,"Profit","Loss")</f>
        <v>Profit</v>
      </c>
    </row>
    <row r="975" spans="1:27" x14ac:dyDescent="0.25">
      <c r="A975" t="s">
        <v>1222</v>
      </c>
      <c r="B975" s="1">
        <v>40611</v>
      </c>
      <c r="C975" s="1">
        <v>40614</v>
      </c>
      <c r="D975" t="s">
        <v>142</v>
      </c>
      <c r="E975" t="s">
        <v>1223</v>
      </c>
      <c r="F975" t="s">
        <v>3</v>
      </c>
      <c r="G975" t="s">
        <v>605</v>
      </c>
      <c r="H975" t="s">
        <v>276</v>
      </c>
      <c r="I975" t="s">
        <v>29</v>
      </c>
      <c r="J975" t="s">
        <v>102</v>
      </c>
      <c r="K975" t="s">
        <v>7</v>
      </c>
      <c r="L975" t="s">
        <v>91</v>
      </c>
      <c r="M975">
        <v>97</v>
      </c>
      <c r="N975">
        <v>3</v>
      </c>
      <c r="O975">
        <v>0</v>
      </c>
      <c r="P975">
        <v>36.630000000000003</v>
      </c>
      <c r="Q975">
        <v>5.83</v>
      </c>
      <c r="R975" t="s">
        <v>9</v>
      </c>
      <c r="S975">
        <f>Sheet1[[#This Row],[Ship_date]]-Sheet1[[#This Row],[Order_date]]</f>
        <v>3</v>
      </c>
      <c r="T975">
        <f>Sheet1[[#This Row],[Quantity]]*Sheet1[[#This Row],[Sales]]</f>
        <v>291</v>
      </c>
      <c r="U975">
        <f>Sheet1[[#This Row],[Total Sales]]*Sheet1[[#This Row],[Discount]]</f>
        <v>0</v>
      </c>
      <c r="V975" s="4">
        <f>Sheet1[[#This Row],[Total Sales]]-Sheet1[[#This Row],[Total Sales]]*Sheet1[[#This Row],[Discount]]</f>
        <v>291</v>
      </c>
      <c r="W975" s="4">
        <f>Sheet1[[#This Row],[Quantity]]*Sheet1[[#This Row],[Profit]]</f>
        <v>109.89000000000001</v>
      </c>
      <c r="X975" s="5">
        <f>Sheet1[[#This Row],[Total Profit]]/Sheet1[[#This Row],[Sales After Discount]]</f>
        <v>0.3776288659793815</v>
      </c>
      <c r="Y975" s="4">
        <f>Sheet1[[#This Row],[Shipping_cost]]*Sheet1[[#This Row],[Quantity]]</f>
        <v>17.490000000000002</v>
      </c>
      <c r="Z975" s="4">
        <f>Sheet1[[#This Row],[Total Profit]]-Sheet1[[#This Row],[Total Shipping Cost]]</f>
        <v>92.4</v>
      </c>
      <c r="AA975" s="4" t="str">
        <f>IF(Sheet1[[#This Row],[Net Profit]]&gt;0,"Profit","Loss")</f>
        <v>Profit</v>
      </c>
    </row>
    <row r="976" spans="1:27" x14ac:dyDescent="0.25">
      <c r="A976" t="s">
        <v>1222</v>
      </c>
      <c r="B976" s="1">
        <v>40611</v>
      </c>
      <c r="C976" s="1">
        <v>40614</v>
      </c>
      <c r="D976" t="s">
        <v>142</v>
      </c>
      <c r="E976" t="s">
        <v>1223</v>
      </c>
      <c r="F976" t="s">
        <v>3</v>
      </c>
      <c r="G976" t="s">
        <v>605</v>
      </c>
      <c r="H976" t="s">
        <v>276</v>
      </c>
      <c r="I976" t="s">
        <v>29</v>
      </c>
      <c r="J976" t="s">
        <v>102</v>
      </c>
      <c r="K976" t="s">
        <v>38</v>
      </c>
      <c r="L976" t="s">
        <v>50</v>
      </c>
      <c r="M976">
        <v>126</v>
      </c>
      <c r="N976">
        <v>1</v>
      </c>
      <c r="O976">
        <v>0</v>
      </c>
      <c r="P976">
        <v>59.13</v>
      </c>
      <c r="Q976">
        <v>4.0999999999999996</v>
      </c>
      <c r="R976" t="s">
        <v>9</v>
      </c>
      <c r="S976">
        <f>Sheet1[[#This Row],[Ship_date]]-Sheet1[[#This Row],[Order_date]]</f>
        <v>3</v>
      </c>
      <c r="T976">
        <f>Sheet1[[#This Row],[Quantity]]*Sheet1[[#This Row],[Sales]]</f>
        <v>126</v>
      </c>
      <c r="U976">
        <f>Sheet1[[#This Row],[Total Sales]]*Sheet1[[#This Row],[Discount]]</f>
        <v>0</v>
      </c>
      <c r="V976" s="4">
        <f>Sheet1[[#This Row],[Total Sales]]-Sheet1[[#This Row],[Total Sales]]*Sheet1[[#This Row],[Discount]]</f>
        <v>126</v>
      </c>
      <c r="W976" s="4">
        <f>Sheet1[[#This Row],[Quantity]]*Sheet1[[#This Row],[Profit]]</f>
        <v>59.13</v>
      </c>
      <c r="X976" s="5">
        <f>Sheet1[[#This Row],[Total Profit]]/Sheet1[[#This Row],[Sales After Discount]]</f>
        <v>0.46928571428571431</v>
      </c>
      <c r="Y976" s="4">
        <f>Sheet1[[#This Row],[Shipping_cost]]*Sheet1[[#This Row],[Quantity]]</f>
        <v>4.0999999999999996</v>
      </c>
      <c r="Z976" s="4">
        <f>Sheet1[[#This Row],[Total Profit]]-Sheet1[[#This Row],[Total Shipping Cost]]</f>
        <v>55.03</v>
      </c>
      <c r="AA976" s="4" t="str">
        <f>IF(Sheet1[[#This Row],[Net Profit]]&gt;0,"Profit","Loss")</f>
        <v>Profit</v>
      </c>
    </row>
    <row r="977" spans="1:27" x14ac:dyDescent="0.25">
      <c r="A977" t="s">
        <v>1218</v>
      </c>
      <c r="B977" s="1">
        <v>40611</v>
      </c>
      <c r="C977" s="1">
        <v>40614</v>
      </c>
      <c r="D977" t="s">
        <v>142</v>
      </c>
      <c r="E977" t="s">
        <v>1219</v>
      </c>
      <c r="F977" t="s">
        <v>3</v>
      </c>
      <c r="G977" t="s">
        <v>737</v>
      </c>
      <c r="H977" t="s">
        <v>259</v>
      </c>
      <c r="I977" t="s">
        <v>6</v>
      </c>
      <c r="J977" t="s">
        <v>6</v>
      </c>
      <c r="K977" t="s">
        <v>7</v>
      </c>
      <c r="L977" t="s">
        <v>91</v>
      </c>
      <c r="M977">
        <v>17</v>
      </c>
      <c r="N977">
        <v>1</v>
      </c>
      <c r="O977">
        <v>0</v>
      </c>
      <c r="P977">
        <v>6.06</v>
      </c>
      <c r="Q977">
        <v>2.83</v>
      </c>
      <c r="R977" t="s">
        <v>23</v>
      </c>
      <c r="S977">
        <f>Sheet1[[#This Row],[Ship_date]]-Sheet1[[#This Row],[Order_date]]</f>
        <v>3</v>
      </c>
      <c r="T977">
        <f>Sheet1[[#This Row],[Quantity]]*Sheet1[[#This Row],[Sales]]</f>
        <v>17</v>
      </c>
      <c r="U977">
        <f>Sheet1[[#This Row],[Total Sales]]*Sheet1[[#This Row],[Discount]]</f>
        <v>0</v>
      </c>
      <c r="V977" s="4">
        <f>Sheet1[[#This Row],[Total Sales]]-Sheet1[[#This Row],[Total Sales]]*Sheet1[[#This Row],[Discount]]</f>
        <v>17</v>
      </c>
      <c r="W977" s="4">
        <f>Sheet1[[#This Row],[Quantity]]*Sheet1[[#This Row],[Profit]]</f>
        <v>6.06</v>
      </c>
      <c r="X977" s="5">
        <f>Sheet1[[#This Row],[Total Profit]]/Sheet1[[#This Row],[Sales After Discount]]</f>
        <v>0.35647058823529409</v>
      </c>
      <c r="Y977" s="4">
        <f>Sheet1[[#This Row],[Shipping_cost]]*Sheet1[[#This Row],[Quantity]]</f>
        <v>2.83</v>
      </c>
      <c r="Z977" s="4">
        <f>Sheet1[[#This Row],[Total Profit]]-Sheet1[[#This Row],[Total Shipping Cost]]</f>
        <v>3.2299999999999995</v>
      </c>
      <c r="AA977" s="4" t="str">
        <f>IF(Sheet1[[#This Row],[Net Profit]]&gt;0,"Profit","Loss")</f>
        <v>Profit</v>
      </c>
    </row>
    <row r="978" spans="1:27" x14ac:dyDescent="0.25">
      <c r="A978" t="s">
        <v>1218</v>
      </c>
      <c r="B978" s="1">
        <v>40611</v>
      </c>
      <c r="C978" s="1">
        <v>40614</v>
      </c>
      <c r="D978" t="s">
        <v>142</v>
      </c>
      <c r="E978" t="s">
        <v>1219</v>
      </c>
      <c r="F978" t="s">
        <v>3</v>
      </c>
      <c r="G978" t="s">
        <v>737</v>
      </c>
      <c r="H978" t="s">
        <v>259</v>
      </c>
      <c r="I978" t="s">
        <v>6</v>
      </c>
      <c r="J978" t="s">
        <v>6</v>
      </c>
      <c r="K978" t="s">
        <v>7</v>
      </c>
      <c r="L978" t="s">
        <v>87</v>
      </c>
      <c r="M978">
        <v>11</v>
      </c>
      <c r="N978">
        <v>1</v>
      </c>
      <c r="O978">
        <v>0</v>
      </c>
      <c r="P978">
        <v>4.83</v>
      </c>
      <c r="Q978">
        <v>2.64</v>
      </c>
      <c r="R978" t="s">
        <v>23</v>
      </c>
      <c r="S978">
        <f>Sheet1[[#This Row],[Ship_date]]-Sheet1[[#This Row],[Order_date]]</f>
        <v>3</v>
      </c>
      <c r="T978">
        <f>Sheet1[[#This Row],[Quantity]]*Sheet1[[#This Row],[Sales]]</f>
        <v>11</v>
      </c>
      <c r="U978">
        <f>Sheet1[[#This Row],[Total Sales]]*Sheet1[[#This Row],[Discount]]</f>
        <v>0</v>
      </c>
      <c r="V978" s="4">
        <f>Sheet1[[#This Row],[Total Sales]]-Sheet1[[#This Row],[Total Sales]]*Sheet1[[#This Row],[Discount]]</f>
        <v>11</v>
      </c>
      <c r="W978" s="4">
        <f>Sheet1[[#This Row],[Quantity]]*Sheet1[[#This Row],[Profit]]</f>
        <v>4.83</v>
      </c>
      <c r="X978" s="5">
        <f>Sheet1[[#This Row],[Total Profit]]/Sheet1[[#This Row],[Sales After Discount]]</f>
        <v>0.43909090909090909</v>
      </c>
      <c r="Y978" s="4">
        <f>Sheet1[[#This Row],[Shipping_cost]]*Sheet1[[#This Row],[Quantity]]</f>
        <v>2.64</v>
      </c>
      <c r="Z978" s="4">
        <f>Sheet1[[#This Row],[Total Profit]]-Sheet1[[#This Row],[Total Shipping Cost]]</f>
        <v>2.19</v>
      </c>
      <c r="AA978" s="4" t="str">
        <f>IF(Sheet1[[#This Row],[Net Profit]]&gt;0,"Profit","Loss")</f>
        <v>Profit</v>
      </c>
    </row>
    <row r="979" spans="1:27" x14ac:dyDescent="0.25">
      <c r="A979" t="s">
        <v>1222</v>
      </c>
      <c r="B979" s="1">
        <v>40611</v>
      </c>
      <c r="C979" s="1">
        <v>40614</v>
      </c>
      <c r="D979" t="s">
        <v>142</v>
      </c>
      <c r="E979" t="s">
        <v>1223</v>
      </c>
      <c r="F979" t="s">
        <v>3</v>
      </c>
      <c r="G979" t="s">
        <v>605</v>
      </c>
      <c r="H979" t="s">
        <v>276</v>
      </c>
      <c r="I979" t="s">
        <v>29</v>
      </c>
      <c r="J979" t="s">
        <v>102</v>
      </c>
      <c r="K979" t="s">
        <v>7</v>
      </c>
      <c r="L979" t="s">
        <v>8</v>
      </c>
      <c r="M979">
        <v>104</v>
      </c>
      <c r="N979">
        <v>5</v>
      </c>
      <c r="O979">
        <v>0.1</v>
      </c>
      <c r="P979">
        <v>26.64</v>
      </c>
      <c r="Q979">
        <v>0.8</v>
      </c>
      <c r="R979" t="s">
        <v>9</v>
      </c>
      <c r="S979">
        <f>Sheet1[[#This Row],[Ship_date]]-Sheet1[[#This Row],[Order_date]]</f>
        <v>3</v>
      </c>
      <c r="T979">
        <f>Sheet1[[#This Row],[Quantity]]*Sheet1[[#This Row],[Sales]]</f>
        <v>520</v>
      </c>
      <c r="U979">
        <f>Sheet1[[#This Row],[Total Sales]]*Sheet1[[#This Row],[Discount]]</f>
        <v>52</v>
      </c>
      <c r="V979" s="4">
        <f>Sheet1[[#This Row],[Total Sales]]-Sheet1[[#This Row],[Total Sales]]*Sheet1[[#This Row],[Discount]]</f>
        <v>468</v>
      </c>
      <c r="W979" s="4">
        <f>Sheet1[[#This Row],[Quantity]]*Sheet1[[#This Row],[Profit]]</f>
        <v>133.19999999999999</v>
      </c>
      <c r="X979" s="5">
        <f>Sheet1[[#This Row],[Total Profit]]/Sheet1[[#This Row],[Sales After Discount]]</f>
        <v>0.2846153846153846</v>
      </c>
      <c r="Y979" s="4">
        <f>Sheet1[[#This Row],[Shipping_cost]]*Sheet1[[#This Row],[Quantity]]</f>
        <v>4</v>
      </c>
      <c r="Z979" s="4">
        <f>Sheet1[[#This Row],[Total Profit]]-Sheet1[[#This Row],[Total Shipping Cost]]</f>
        <v>129.19999999999999</v>
      </c>
      <c r="AA979" s="4" t="str">
        <f>IF(Sheet1[[#This Row],[Net Profit]]&gt;0,"Profit","Loss")</f>
        <v>Profit</v>
      </c>
    </row>
    <row r="980" spans="1:27" x14ac:dyDescent="0.25">
      <c r="A980" t="s">
        <v>1218</v>
      </c>
      <c r="B980" s="1">
        <v>40611</v>
      </c>
      <c r="C980" s="1">
        <v>40614</v>
      </c>
      <c r="D980" t="s">
        <v>142</v>
      </c>
      <c r="E980" t="s">
        <v>1219</v>
      </c>
      <c r="F980" t="s">
        <v>3</v>
      </c>
      <c r="G980" t="s">
        <v>737</v>
      </c>
      <c r="H980" t="s">
        <v>259</v>
      </c>
      <c r="I980" t="s">
        <v>6</v>
      </c>
      <c r="J980" t="s">
        <v>6</v>
      </c>
      <c r="K980" t="s">
        <v>7</v>
      </c>
      <c r="L980" t="s">
        <v>97</v>
      </c>
      <c r="M980">
        <v>29</v>
      </c>
      <c r="N980">
        <v>2</v>
      </c>
      <c r="O980">
        <v>0</v>
      </c>
      <c r="P980">
        <v>7.56</v>
      </c>
      <c r="Q980">
        <v>0.5</v>
      </c>
      <c r="R980" t="s">
        <v>23</v>
      </c>
      <c r="S980">
        <f>Sheet1[[#This Row],[Ship_date]]-Sheet1[[#This Row],[Order_date]]</f>
        <v>3</v>
      </c>
      <c r="T980">
        <f>Sheet1[[#This Row],[Quantity]]*Sheet1[[#This Row],[Sales]]</f>
        <v>58</v>
      </c>
      <c r="U980">
        <f>Sheet1[[#This Row],[Total Sales]]*Sheet1[[#This Row],[Discount]]</f>
        <v>0</v>
      </c>
      <c r="V980" s="4">
        <f>Sheet1[[#This Row],[Total Sales]]-Sheet1[[#This Row],[Total Sales]]*Sheet1[[#This Row],[Discount]]</f>
        <v>58</v>
      </c>
      <c r="W980" s="4">
        <f>Sheet1[[#This Row],[Quantity]]*Sheet1[[#This Row],[Profit]]</f>
        <v>15.12</v>
      </c>
      <c r="X980" s="5">
        <f>Sheet1[[#This Row],[Total Profit]]/Sheet1[[#This Row],[Sales After Discount]]</f>
        <v>0.26068965517241377</v>
      </c>
      <c r="Y980" s="4">
        <f>Sheet1[[#This Row],[Shipping_cost]]*Sheet1[[#This Row],[Quantity]]</f>
        <v>1</v>
      </c>
      <c r="Z980" s="4">
        <f>Sheet1[[#This Row],[Total Profit]]-Sheet1[[#This Row],[Total Shipping Cost]]</f>
        <v>14.12</v>
      </c>
      <c r="AA980" s="4" t="str">
        <f>IF(Sheet1[[#This Row],[Net Profit]]&gt;0,"Profit","Loss")</f>
        <v>Profit</v>
      </c>
    </row>
    <row r="981" spans="1:27" x14ac:dyDescent="0.25">
      <c r="A981" t="s">
        <v>1224</v>
      </c>
      <c r="B981" s="1">
        <v>40612</v>
      </c>
      <c r="C981" s="1">
        <v>40614</v>
      </c>
      <c r="D981" t="s">
        <v>142</v>
      </c>
      <c r="E981" t="s">
        <v>1225</v>
      </c>
      <c r="F981" t="s">
        <v>3</v>
      </c>
      <c r="G981" t="s">
        <v>758</v>
      </c>
      <c r="H981" t="s">
        <v>169</v>
      </c>
      <c r="I981" t="s">
        <v>14</v>
      </c>
      <c r="J981" t="s">
        <v>132</v>
      </c>
      <c r="K981" t="s">
        <v>38</v>
      </c>
      <c r="L981" t="s">
        <v>50</v>
      </c>
      <c r="M981">
        <v>1274</v>
      </c>
      <c r="N981">
        <v>4</v>
      </c>
      <c r="O981">
        <v>0</v>
      </c>
      <c r="P981">
        <v>382.2</v>
      </c>
      <c r="Q981">
        <v>248.59</v>
      </c>
      <c r="R981" t="s">
        <v>45</v>
      </c>
      <c r="S981">
        <f>Sheet1[[#This Row],[Ship_date]]-Sheet1[[#This Row],[Order_date]]</f>
        <v>2</v>
      </c>
      <c r="T981">
        <f>Sheet1[[#This Row],[Quantity]]*Sheet1[[#This Row],[Sales]]</f>
        <v>5096</v>
      </c>
      <c r="U981">
        <f>Sheet1[[#This Row],[Total Sales]]*Sheet1[[#This Row],[Discount]]</f>
        <v>0</v>
      </c>
      <c r="V981" s="4">
        <f>Sheet1[[#This Row],[Total Sales]]-Sheet1[[#This Row],[Total Sales]]*Sheet1[[#This Row],[Discount]]</f>
        <v>5096</v>
      </c>
      <c r="W981" s="4">
        <f>Sheet1[[#This Row],[Quantity]]*Sheet1[[#This Row],[Profit]]</f>
        <v>1528.8</v>
      </c>
      <c r="X981" s="5">
        <f>Sheet1[[#This Row],[Total Profit]]/Sheet1[[#This Row],[Sales After Discount]]</f>
        <v>0.3</v>
      </c>
      <c r="Y981" s="4">
        <f>Sheet1[[#This Row],[Shipping_cost]]*Sheet1[[#This Row],[Quantity]]</f>
        <v>994.36</v>
      </c>
      <c r="Z981" s="4">
        <f>Sheet1[[#This Row],[Total Profit]]-Sheet1[[#This Row],[Total Shipping Cost]]</f>
        <v>534.43999999999994</v>
      </c>
      <c r="AA981" s="4" t="str">
        <f>IF(Sheet1[[#This Row],[Net Profit]]&gt;0,"Profit","Loss")</f>
        <v>Profit</v>
      </c>
    </row>
    <row r="982" spans="1:27" x14ac:dyDescent="0.25">
      <c r="A982" t="s">
        <v>1226</v>
      </c>
      <c r="B982" s="1">
        <v>40612</v>
      </c>
      <c r="C982" s="1">
        <v>40612</v>
      </c>
      <c r="D982" t="s">
        <v>41</v>
      </c>
      <c r="E982" t="s">
        <v>1227</v>
      </c>
      <c r="F982" t="s">
        <v>26</v>
      </c>
      <c r="G982" t="s">
        <v>1204</v>
      </c>
      <c r="H982" t="s">
        <v>305</v>
      </c>
      <c r="I982" t="s">
        <v>29</v>
      </c>
      <c r="J982" t="s">
        <v>76</v>
      </c>
      <c r="K982" t="s">
        <v>38</v>
      </c>
      <c r="L982" t="s">
        <v>77</v>
      </c>
      <c r="M982">
        <v>520</v>
      </c>
      <c r="N982">
        <v>3</v>
      </c>
      <c r="O982">
        <v>0</v>
      </c>
      <c r="P982">
        <v>202.77</v>
      </c>
      <c r="Q982">
        <v>89.92</v>
      </c>
      <c r="R982" t="s">
        <v>9</v>
      </c>
      <c r="S982">
        <f>Sheet1[[#This Row],[Ship_date]]-Sheet1[[#This Row],[Order_date]]</f>
        <v>0</v>
      </c>
      <c r="T982">
        <f>Sheet1[[#This Row],[Quantity]]*Sheet1[[#This Row],[Sales]]</f>
        <v>1560</v>
      </c>
      <c r="U982">
        <f>Sheet1[[#This Row],[Total Sales]]*Sheet1[[#This Row],[Discount]]</f>
        <v>0</v>
      </c>
      <c r="V982" s="4">
        <f>Sheet1[[#This Row],[Total Sales]]-Sheet1[[#This Row],[Total Sales]]*Sheet1[[#This Row],[Discount]]</f>
        <v>1560</v>
      </c>
      <c r="W982" s="4">
        <f>Sheet1[[#This Row],[Quantity]]*Sheet1[[#This Row],[Profit]]</f>
        <v>608.31000000000006</v>
      </c>
      <c r="X982" s="5">
        <f>Sheet1[[#This Row],[Total Profit]]/Sheet1[[#This Row],[Sales After Discount]]</f>
        <v>0.38994230769230775</v>
      </c>
      <c r="Y982" s="4">
        <f>Sheet1[[#This Row],[Shipping_cost]]*Sheet1[[#This Row],[Quantity]]</f>
        <v>269.76</v>
      </c>
      <c r="Z982" s="4">
        <f>Sheet1[[#This Row],[Total Profit]]-Sheet1[[#This Row],[Total Shipping Cost]]</f>
        <v>338.55000000000007</v>
      </c>
      <c r="AA982" s="4" t="str">
        <f>IF(Sheet1[[#This Row],[Net Profit]]&gt;0,"Profit","Loss")</f>
        <v>Profit</v>
      </c>
    </row>
    <row r="983" spans="1:27" x14ac:dyDescent="0.25">
      <c r="A983" t="s">
        <v>1228</v>
      </c>
      <c r="B983" s="1">
        <v>40612</v>
      </c>
      <c r="C983" s="1">
        <v>40619</v>
      </c>
      <c r="D983" t="s">
        <v>1</v>
      </c>
      <c r="E983" t="s">
        <v>1229</v>
      </c>
      <c r="F983" t="s">
        <v>3</v>
      </c>
      <c r="G983" t="s">
        <v>1230</v>
      </c>
      <c r="H983" t="s">
        <v>126</v>
      </c>
      <c r="I983" t="s">
        <v>127</v>
      </c>
      <c r="J983" t="s">
        <v>192</v>
      </c>
      <c r="K983" t="s">
        <v>7</v>
      </c>
      <c r="L983" t="s">
        <v>8</v>
      </c>
      <c r="M983">
        <v>636</v>
      </c>
      <c r="N983">
        <v>3</v>
      </c>
      <c r="O983">
        <v>0.2</v>
      </c>
      <c r="P983">
        <v>-15.9102</v>
      </c>
      <c r="Q983">
        <v>80.790000000000006</v>
      </c>
      <c r="R983" t="s">
        <v>51</v>
      </c>
      <c r="S983">
        <f>Sheet1[[#This Row],[Ship_date]]-Sheet1[[#This Row],[Order_date]]</f>
        <v>7</v>
      </c>
      <c r="T983">
        <f>Sheet1[[#This Row],[Quantity]]*Sheet1[[#This Row],[Sales]]</f>
        <v>1908</v>
      </c>
      <c r="U983">
        <f>Sheet1[[#This Row],[Total Sales]]*Sheet1[[#This Row],[Discount]]</f>
        <v>381.6</v>
      </c>
      <c r="V983" s="4">
        <f>Sheet1[[#This Row],[Total Sales]]-Sheet1[[#This Row],[Total Sales]]*Sheet1[[#This Row],[Discount]]</f>
        <v>1526.4</v>
      </c>
      <c r="W983" s="4">
        <f>Sheet1[[#This Row],[Quantity]]*Sheet1[[#This Row],[Profit]]</f>
        <v>-47.730599999999995</v>
      </c>
      <c r="X983" s="5">
        <f>Sheet1[[#This Row],[Total Profit]]/Sheet1[[#This Row],[Sales After Discount]]</f>
        <v>-3.1270047169811313E-2</v>
      </c>
      <c r="Y983" s="4">
        <f>Sheet1[[#This Row],[Shipping_cost]]*Sheet1[[#This Row],[Quantity]]</f>
        <v>242.37</v>
      </c>
      <c r="Z983" s="4">
        <f>Sheet1[[#This Row],[Total Profit]]-Sheet1[[#This Row],[Total Shipping Cost]]</f>
        <v>-290.10059999999999</v>
      </c>
      <c r="AA983" s="4" t="str">
        <f>IF(Sheet1[[#This Row],[Net Profit]]&gt;0,"Profit","Loss")</f>
        <v>Loss</v>
      </c>
    </row>
    <row r="984" spans="1:27" x14ac:dyDescent="0.25">
      <c r="A984" t="s">
        <v>1231</v>
      </c>
      <c r="B984" s="1">
        <v>40612</v>
      </c>
      <c r="C984" s="1">
        <v>40618</v>
      </c>
      <c r="D984" t="s">
        <v>1</v>
      </c>
      <c r="E984" t="s">
        <v>205</v>
      </c>
      <c r="F984" t="s">
        <v>3</v>
      </c>
      <c r="G984" t="s">
        <v>698</v>
      </c>
      <c r="H984" t="s">
        <v>169</v>
      </c>
      <c r="I984" t="s">
        <v>14</v>
      </c>
      <c r="J984" t="s">
        <v>132</v>
      </c>
      <c r="K984" t="s">
        <v>32</v>
      </c>
      <c r="L984" t="s">
        <v>56</v>
      </c>
      <c r="M984">
        <v>1097</v>
      </c>
      <c r="N984">
        <v>8</v>
      </c>
      <c r="O984">
        <v>0</v>
      </c>
      <c r="P984">
        <v>252.24</v>
      </c>
      <c r="Q984">
        <v>56.33</v>
      </c>
      <c r="R984" t="s">
        <v>9</v>
      </c>
      <c r="S984">
        <f>Sheet1[[#This Row],[Ship_date]]-Sheet1[[#This Row],[Order_date]]</f>
        <v>6</v>
      </c>
      <c r="T984">
        <f>Sheet1[[#This Row],[Quantity]]*Sheet1[[#This Row],[Sales]]</f>
        <v>8776</v>
      </c>
      <c r="U984">
        <f>Sheet1[[#This Row],[Total Sales]]*Sheet1[[#This Row],[Discount]]</f>
        <v>0</v>
      </c>
      <c r="V984" s="4">
        <f>Sheet1[[#This Row],[Total Sales]]-Sheet1[[#This Row],[Total Sales]]*Sheet1[[#This Row],[Discount]]</f>
        <v>8776</v>
      </c>
      <c r="W984" s="4">
        <f>Sheet1[[#This Row],[Quantity]]*Sheet1[[#This Row],[Profit]]</f>
        <v>2017.92</v>
      </c>
      <c r="X984" s="5">
        <f>Sheet1[[#This Row],[Total Profit]]/Sheet1[[#This Row],[Sales After Discount]]</f>
        <v>0.2299361896080219</v>
      </c>
      <c r="Y984" s="4">
        <f>Sheet1[[#This Row],[Shipping_cost]]*Sheet1[[#This Row],[Quantity]]</f>
        <v>450.64</v>
      </c>
      <c r="Z984" s="4">
        <f>Sheet1[[#This Row],[Total Profit]]-Sheet1[[#This Row],[Total Shipping Cost]]</f>
        <v>1567.2800000000002</v>
      </c>
      <c r="AA984" s="4" t="str">
        <f>IF(Sheet1[[#This Row],[Net Profit]]&gt;0,"Profit","Loss")</f>
        <v>Profit</v>
      </c>
    </row>
    <row r="985" spans="1:27" x14ac:dyDescent="0.25">
      <c r="A985" t="s">
        <v>1228</v>
      </c>
      <c r="B985" s="1">
        <v>40612</v>
      </c>
      <c r="C985" s="1">
        <v>40619</v>
      </c>
      <c r="D985" t="s">
        <v>1</v>
      </c>
      <c r="E985" t="s">
        <v>1229</v>
      </c>
      <c r="F985" t="s">
        <v>3</v>
      </c>
      <c r="G985" t="s">
        <v>1230</v>
      </c>
      <c r="H985" t="s">
        <v>126</v>
      </c>
      <c r="I985" t="s">
        <v>127</v>
      </c>
      <c r="J985" t="s">
        <v>192</v>
      </c>
      <c r="K985" t="s">
        <v>7</v>
      </c>
      <c r="L985" t="s">
        <v>91</v>
      </c>
      <c r="M985">
        <v>83</v>
      </c>
      <c r="N985">
        <v>4</v>
      </c>
      <c r="O985">
        <v>0.2</v>
      </c>
      <c r="P985">
        <v>9.3564000000000007</v>
      </c>
      <c r="Q985">
        <v>15.56</v>
      </c>
      <c r="R985" t="s">
        <v>51</v>
      </c>
      <c r="S985">
        <f>Sheet1[[#This Row],[Ship_date]]-Sheet1[[#This Row],[Order_date]]</f>
        <v>7</v>
      </c>
      <c r="T985">
        <f>Sheet1[[#This Row],[Quantity]]*Sheet1[[#This Row],[Sales]]</f>
        <v>332</v>
      </c>
      <c r="U985">
        <f>Sheet1[[#This Row],[Total Sales]]*Sheet1[[#This Row],[Discount]]</f>
        <v>66.400000000000006</v>
      </c>
      <c r="V985" s="4">
        <f>Sheet1[[#This Row],[Total Sales]]-Sheet1[[#This Row],[Total Sales]]*Sheet1[[#This Row],[Discount]]</f>
        <v>265.60000000000002</v>
      </c>
      <c r="W985" s="4">
        <f>Sheet1[[#This Row],[Quantity]]*Sheet1[[#This Row],[Profit]]</f>
        <v>37.425600000000003</v>
      </c>
      <c r="X985" s="5">
        <f>Sheet1[[#This Row],[Total Profit]]/Sheet1[[#This Row],[Sales After Discount]]</f>
        <v>0.14090963855421687</v>
      </c>
      <c r="Y985" s="4">
        <f>Sheet1[[#This Row],[Shipping_cost]]*Sheet1[[#This Row],[Quantity]]</f>
        <v>62.24</v>
      </c>
      <c r="Z985" s="4">
        <f>Sheet1[[#This Row],[Total Profit]]-Sheet1[[#This Row],[Total Shipping Cost]]</f>
        <v>-24.814399999999999</v>
      </c>
      <c r="AA985" s="4" t="str">
        <f>IF(Sheet1[[#This Row],[Net Profit]]&gt;0,"Profit","Loss")</f>
        <v>Loss</v>
      </c>
    </row>
    <row r="986" spans="1:27" x14ac:dyDescent="0.25">
      <c r="A986" t="s">
        <v>1232</v>
      </c>
      <c r="B986" s="1">
        <v>40612</v>
      </c>
      <c r="C986" s="1">
        <v>40616</v>
      </c>
      <c r="D986" t="s">
        <v>1</v>
      </c>
      <c r="E986" t="s">
        <v>1233</v>
      </c>
      <c r="F986" t="s">
        <v>3</v>
      </c>
      <c r="G986" t="s">
        <v>1014</v>
      </c>
      <c r="H986" t="s">
        <v>101</v>
      </c>
      <c r="I986" t="s">
        <v>75</v>
      </c>
      <c r="J986" t="s">
        <v>102</v>
      </c>
      <c r="K986" t="s">
        <v>32</v>
      </c>
      <c r="L986" t="s">
        <v>56</v>
      </c>
      <c r="M986">
        <v>201</v>
      </c>
      <c r="N986">
        <v>3</v>
      </c>
      <c r="O986">
        <v>0</v>
      </c>
      <c r="P986">
        <v>7.98</v>
      </c>
      <c r="Q986">
        <v>13.13</v>
      </c>
      <c r="R986" t="s">
        <v>9</v>
      </c>
      <c r="S986">
        <f>Sheet1[[#This Row],[Ship_date]]-Sheet1[[#This Row],[Order_date]]</f>
        <v>4</v>
      </c>
      <c r="T986">
        <f>Sheet1[[#This Row],[Quantity]]*Sheet1[[#This Row],[Sales]]</f>
        <v>603</v>
      </c>
      <c r="U986">
        <f>Sheet1[[#This Row],[Total Sales]]*Sheet1[[#This Row],[Discount]]</f>
        <v>0</v>
      </c>
      <c r="V986" s="4">
        <f>Sheet1[[#This Row],[Total Sales]]-Sheet1[[#This Row],[Total Sales]]*Sheet1[[#This Row],[Discount]]</f>
        <v>603</v>
      </c>
      <c r="W986" s="4">
        <f>Sheet1[[#This Row],[Quantity]]*Sheet1[[#This Row],[Profit]]</f>
        <v>23.94</v>
      </c>
      <c r="X986" s="5">
        <f>Sheet1[[#This Row],[Total Profit]]/Sheet1[[#This Row],[Sales After Discount]]</f>
        <v>3.9701492537313435E-2</v>
      </c>
      <c r="Y986" s="4">
        <f>Sheet1[[#This Row],[Shipping_cost]]*Sheet1[[#This Row],[Quantity]]</f>
        <v>39.39</v>
      </c>
      <c r="Z986" s="4">
        <f>Sheet1[[#This Row],[Total Profit]]-Sheet1[[#This Row],[Total Shipping Cost]]</f>
        <v>-15.45</v>
      </c>
      <c r="AA986" s="4" t="str">
        <f>IF(Sheet1[[#This Row],[Net Profit]]&gt;0,"Profit","Loss")</f>
        <v>Loss</v>
      </c>
    </row>
    <row r="987" spans="1:27" x14ac:dyDescent="0.25">
      <c r="A987" t="s">
        <v>1234</v>
      </c>
      <c r="B987" s="1">
        <v>40612</v>
      </c>
      <c r="C987" s="1">
        <v>40616</v>
      </c>
      <c r="D987" t="s">
        <v>1</v>
      </c>
      <c r="E987" t="s">
        <v>1219</v>
      </c>
      <c r="F987" t="s">
        <v>3</v>
      </c>
      <c r="G987" t="s">
        <v>65</v>
      </c>
      <c r="H987" t="s">
        <v>66</v>
      </c>
      <c r="I987" t="s">
        <v>29</v>
      </c>
      <c r="J987" t="s">
        <v>30</v>
      </c>
      <c r="K987" t="s">
        <v>32</v>
      </c>
      <c r="L987" t="s">
        <v>56</v>
      </c>
      <c r="M987">
        <v>74</v>
      </c>
      <c r="N987">
        <v>2</v>
      </c>
      <c r="O987">
        <v>0.5</v>
      </c>
      <c r="P987">
        <v>-17.91</v>
      </c>
      <c r="Q987">
        <v>9.1199999999999992</v>
      </c>
      <c r="R987" t="s">
        <v>23</v>
      </c>
      <c r="S987">
        <f>Sheet1[[#This Row],[Ship_date]]-Sheet1[[#This Row],[Order_date]]</f>
        <v>4</v>
      </c>
      <c r="T987">
        <f>Sheet1[[#This Row],[Quantity]]*Sheet1[[#This Row],[Sales]]</f>
        <v>148</v>
      </c>
      <c r="U987">
        <f>Sheet1[[#This Row],[Total Sales]]*Sheet1[[#This Row],[Discount]]</f>
        <v>74</v>
      </c>
      <c r="V987" s="4">
        <f>Sheet1[[#This Row],[Total Sales]]-Sheet1[[#This Row],[Total Sales]]*Sheet1[[#This Row],[Discount]]</f>
        <v>74</v>
      </c>
      <c r="W987" s="4">
        <f>Sheet1[[#This Row],[Quantity]]*Sheet1[[#This Row],[Profit]]</f>
        <v>-35.82</v>
      </c>
      <c r="X987" s="5">
        <f>Sheet1[[#This Row],[Total Profit]]/Sheet1[[#This Row],[Sales After Discount]]</f>
        <v>-0.48405405405405405</v>
      </c>
      <c r="Y987" s="4">
        <f>Sheet1[[#This Row],[Shipping_cost]]*Sheet1[[#This Row],[Quantity]]</f>
        <v>18.239999999999998</v>
      </c>
      <c r="Z987" s="4">
        <f>Sheet1[[#This Row],[Total Profit]]-Sheet1[[#This Row],[Total Shipping Cost]]</f>
        <v>-54.06</v>
      </c>
      <c r="AA987" s="4" t="str">
        <f>IF(Sheet1[[#This Row],[Net Profit]]&gt;0,"Profit","Loss")</f>
        <v>Loss</v>
      </c>
    </row>
    <row r="988" spans="1:27" x14ac:dyDescent="0.25">
      <c r="A988" t="s">
        <v>1235</v>
      </c>
      <c r="B988" s="1">
        <v>40612</v>
      </c>
      <c r="C988" s="1">
        <v>40617</v>
      </c>
      <c r="D988" t="s">
        <v>1</v>
      </c>
      <c r="E988" t="s">
        <v>287</v>
      </c>
      <c r="F988" t="s">
        <v>26</v>
      </c>
      <c r="G988" t="s">
        <v>1236</v>
      </c>
      <c r="H988" t="s">
        <v>101</v>
      </c>
      <c r="I988" t="s">
        <v>75</v>
      </c>
      <c r="J988" t="s">
        <v>102</v>
      </c>
      <c r="K988" t="s">
        <v>7</v>
      </c>
      <c r="L988" t="s">
        <v>8</v>
      </c>
      <c r="M988">
        <v>63</v>
      </c>
      <c r="N988">
        <v>4</v>
      </c>
      <c r="O988">
        <v>0</v>
      </c>
      <c r="P988">
        <v>1.2</v>
      </c>
      <c r="Q988">
        <v>5.25</v>
      </c>
      <c r="R988" t="s">
        <v>9</v>
      </c>
      <c r="S988">
        <f>Sheet1[[#This Row],[Ship_date]]-Sheet1[[#This Row],[Order_date]]</f>
        <v>5</v>
      </c>
      <c r="T988">
        <f>Sheet1[[#This Row],[Quantity]]*Sheet1[[#This Row],[Sales]]</f>
        <v>252</v>
      </c>
      <c r="U988">
        <f>Sheet1[[#This Row],[Total Sales]]*Sheet1[[#This Row],[Discount]]</f>
        <v>0</v>
      </c>
      <c r="V988" s="4">
        <f>Sheet1[[#This Row],[Total Sales]]-Sheet1[[#This Row],[Total Sales]]*Sheet1[[#This Row],[Discount]]</f>
        <v>252</v>
      </c>
      <c r="W988" s="4">
        <f>Sheet1[[#This Row],[Quantity]]*Sheet1[[#This Row],[Profit]]</f>
        <v>4.8</v>
      </c>
      <c r="X988" s="5">
        <f>Sheet1[[#This Row],[Total Profit]]/Sheet1[[#This Row],[Sales After Discount]]</f>
        <v>1.9047619047619046E-2</v>
      </c>
      <c r="Y988" s="4">
        <f>Sheet1[[#This Row],[Shipping_cost]]*Sheet1[[#This Row],[Quantity]]</f>
        <v>21</v>
      </c>
      <c r="Z988" s="4">
        <f>Sheet1[[#This Row],[Total Profit]]-Sheet1[[#This Row],[Total Shipping Cost]]</f>
        <v>-16.2</v>
      </c>
      <c r="AA988" s="4" t="str">
        <f>IF(Sheet1[[#This Row],[Net Profit]]&gt;0,"Profit","Loss")</f>
        <v>Loss</v>
      </c>
    </row>
    <row r="989" spans="1:27" x14ac:dyDescent="0.25">
      <c r="A989" t="s">
        <v>1237</v>
      </c>
      <c r="B989" s="1">
        <v>40612</v>
      </c>
      <c r="C989" s="1">
        <v>40618</v>
      </c>
      <c r="D989" t="s">
        <v>1</v>
      </c>
      <c r="E989" t="s">
        <v>1238</v>
      </c>
      <c r="F989" t="s">
        <v>26</v>
      </c>
      <c r="G989" t="s">
        <v>1239</v>
      </c>
      <c r="H989" t="s">
        <v>285</v>
      </c>
      <c r="I989" t="s">
        <v>22</v>
      </c>
      <c r="J989" t="s">
        <v>22</v>
      </c>
      <c r="K989" t="s">
        <v>38</v>
      </c>
      <c r="L989" t="s">
        <v>77</v>
      </c>
      <c r="M989">
        <v>52</v>
      </c>
      <c r="N989">
        <v>1</v>
      </c>
      <c r="O989">
        <v>0.6</v>
      </c>
      <c r="P989">
        <v>-64.242000000000004</v>
      </c>
      <c r="Q989">
        <v>5.0199999999999996</v>
      </c>
      <c r="R989" t="s">
        <v>9</v>
      </c>
      <c r="S989">
        <f>Sheet1[[#This Row],[Ship_date]]-Sheet1[[#This Row],[Order_date]]</f>
        <v>6</v>
      </c>
      <c r="T989">
        <f>Sheet1[[#This Row],[Quantity]]*Sheet1[[#This Row],[Sales]]</f>
        <v>52</v>
      </c>
      <c r="U989">
        <f>Sheet1[[#This Row],[Total Sales]]*Sheet1[[#This Row],[Discount]]</f>
        <v>31.2</v>
      </c>
      <c r="V989" s="4">
        <f>Sheet1[[#This Row],[Total Sales]]-Sheet1[[#This Row],[Total Sales]]*Sheet1[[#This Row],[Discount]]</f>
        <v>20.8</v>
      </c>
      <c r="W989" s="4">
        <f>Sheet1[[#This Row],[Quantity]]*Sheet1[[#This Row],[Profit]]</f>
        <v>-64.242000000000004</v>
      </c>
      <c r="X989" s="5">
        <f>Sheet1[[#This Row],[Total Profit]]/Sheet1[[#This Row],[Sales After Discount]]</f>
        <v>-3.0885576923076923</v>
      </c>
      <c r="Y989" s="4">
        <f>Sheet1[[#This Row],[Shipping_cost]]*Sheet1[[#This Row],[Quantity]]</f>
        <v>5.0199999999999996</v>
      </c>
      <c r="Z989" s="4">
        <f>Sheet1[[#This Row],[Total Profit]]-Sheet1[[#This Row],[Total Shipping Cost]]</f>
        <v>-69.262</v>
      </c>
      <c r="AA989" s="4" t="str">
        <f>IF(Sheet1[[#This Row],[Net Profit]]&gt;0,"Profit","Loss")</f>
        <v>Loss</v>
      </c>
    </row>
    <row r="990" spans="1:27" x14ac:dyDescent="0.25">
      <c r="A990" t="s">
        <v>1237</v>
      </c>
      <c r="B990" s="1">
        <v>40612</v>
      </c>
      <c r="C990" s="1">
        <v>40618</v>
      </c>
      <c r="D990" t="s">
        <v>1</v>
      </c>
      <c r="E990" t="s">
        <v>1238</v>
      </c>
      <c r="F990" t="s">
        <v>26</v>
      </c>
      <c r="G990" t="s">
        <v>1239</v>
      </c>
      <c r="H990" t="s">
        <v>285</v>
      </c>
      <c r="I990" t="s">
        <v>22</v>
      </c>
      <c r="J990" t="s">
        <v>22</v>
      </c>
      <c r="K990" t="s">
        <v>7</v>
      </c>
      <c r="L990" t="s">
        <v>91</v>
      </c>
      <c r="M990">
        <v>38</v>
      </c>
      <c r="N990">
        <v>4</v>
      </c>
      <c r="O990">
        <v>0.6</v>
      </c>
      <c r="P990">
        <v>-54.648000000000003</v>
      </c>
      <c r="Q990">
        <v>2.92</v>
      </c>
      <c r="R990" t="s">
        <v>9</v>
      </c>
      <c r="S990">
        <f>Sheet1[[#This Row],[Ship_date]]-Sheet1[[#This Row],[Order_date]]</f>
        <v>6</v>
      </c>
      <c r="T990">
        <f>Sheet1[[#This Row],[Quantity]]*Sheet1[[#This Row],[Sales]]</f>
        <v>152</v>
      </c>
      <c r="U990">
        <f>Sheet1[[#This Row],[Total Sales]]*Sheet1[[#This Row],[Discount]]</f>
        <v>91.2</v>
      </c>
      <c r="V990" s="4">
        <f>Sheet1[[#This Row],[Total Sales]]-Sheet1[[#This Row],[Total Sales]]*Sheet1[[#This Row],[Discount]]</f>
        <v>60.8</v>
      </c>
      <c r="W990" s="4">
        <f>Sheet1[[#This Row],[Quantity]]*Sheet1[[#This Row],[Profit]]</f>
        <v>-218.59200000000001</v>
      </c>
      <c r="X990" s="5">
        <f>Sheet1[[#This Row],[Total Profit]]/Sheet1[[#This Row],[Sales After Discount]]</f>
        <v>-3.5952631578947374</v>
      </c>
      <c r="Y990" s="4">
        <f>Sheet1[[#This Row],[Shipping_cost]]*Sheet1[[#This Row],[Quantity]]</f>
        <v>11.68</v>
      </c>
      <c r="Z990" s="4">
        <f>Sheet1[[#This Row],[Total Profit]]-Sheet1[[#This Row],[Total Shipping Cost]]</f>
        <v>-230.27200000000002</v>
      </c>
      <c r="AA990" s="4" t="str">
        <f>IF(Sheet1[[#This Row],[Net Profit]]&gt;0,"Profit","Loss")</f>
        <v>Loss</v>
      </c>
    </row>
    <row r="991" spans="1:27" x14ac:dyDescent="0.25">
      <c r="A991" t="s">
        <v>1240</v>
      </c>
      <c r="B991" s="1">
        <v>40612</v>
      </c>
      <c r="C991" s="1">
        <v>40619</v>
      </c>
      <c r="D991" t="s">
        <v>1</v>
      </c>
      <c r="E991" t="s">
        <v>1241</v>
      </c>
      <c r="F991" t="s">
        <v>43</v>
      </c>
      <c r="G991" t="s">
        <v>65</v>
      </c>
      <c r="H991" t="s">
        <v>66</v>
      </c>
      <c r="I991" t="s">
        <v>29</v>
      </c>
      <c r="J991" t="s">
        <v>30</v>
      </c>
      <c r="K991" t="s">
        <v>7</v>
      </c>
      <c r="L991" t="s">
        <v>97</v>
      </c>
      <c r="M991">
        <v>28</v>
      </c>
      <c r="N991">
        <v>2</v>
      </c>
      <c r="O991">
        <v>0</v>
      </c>
      <c r="P991">
        <v>10.38</v>
      </c>
      <c r="Q991">
        <v>1.64</v>
      </c>
      <c r="R991" t="s">
        <v>9</v>
      </c>
      <c r="S991">
        <f>Sheet1[[#This Row],[Ship_date]]-Sheet1[[#This Row],[Order_date]]</f>
        <v>7</v>
      </c>
      <c r="T991">
        <f>Sheet1[[#This Row],[Quantity]]*Sheet1[[#This Row],[Sales]]</f>
        <v>56</v>
      </c>
      <c r="U991">
        <f>Sheet1[[#This Row],[Total Sales]]*Sheet1[[#This Row],[Discount]]</f>
        <v>0</v>
      </c>
      <c r="V991" s="4">
        <f>Sheet1[[#This Row],[Total Sales]]-Sheet1[[#This Row],[Total Sales]]*Sheet1[[#This Row],[Discount]]</f>
        <v>56</v>
      </c>
      <c r="W991" s="4">
        <f>Sheet1[[#This Row],[Quantity]]*Sheet1[[#This Row],[Profit]]</f>
        <v>20.76</v>
      </c>
      <c r="X991" s="5">
        <f>Sheet1[[#This Row],[Total Profit]]/Sheet1[[#This Row],[Sales After Discount]]</f>
        <v>0.37071428571428572</v>
      </c>
      <c r="Y991" s="4">
        <f>Sheet1[[#This Row],[Shipping_cost]]*Sheet1[[#This Row],[Quantity]]</f>
        <v>3.28</v>
      </c>
      <c r="Z991" s="4">
        <f>Sheet1[[#This Row],[Total Profit]]-Sheet1[[#This Row],[Total Shipping Cost]]</f>
        <v>17.48</v>
      </c>
      <c r="AA991" s="4" t="str">
        <f>IF(Sheet1[[#This Row],[Net Profit]]&gt;0,"Profit","Loss")</f>
        <v>Profit</v>
      </c>
    </row>
    <row r="992" spans="1:27" x14ac:dyDescent="0.25">
      <c r="A992" t="s">
        <v>1242</v>
      </c>
      <c r="B992" s="1">
        <v>40612</v>
      </c>
      <c r="C992" s="1">
        <v>40616</v>
      </c>
      <c r="D992" t="s">
        <v>1</v>
      </c>
      <c r="E992" t="s">
        <v>764</v>
      </c>
      <c r="F992" t="s">
        <v>3</v>
      </c>
      <c r="G992" t="s">
        <v>468</v>
      </c>
      <c r="H992" t="s">
        <v>126</v>
      </c>
      <c r="I992" t="s">
        <v>127</v>
      </c>
      <c r="J992" t="s">
        <v>76</v>
      </c>
      <c r="K992" t="s">
        <v>7</v>
      </c>
      <c r="L992" t="s">
        <v>31</v>
      </c>
      <c r="M992">
        <v>22</v>
      </c>
      <c r="N992">
        <v>2</v>
      </c>
      <c r="O992">
        <v>0</v>
      </c>
      <c r="P992">
        <v>10.7424</v>
      </c>
      <c r="Q992">
        <v>1.48</v>
      </c>
      <c r="R992" t="s">
        <v>9</v>
      </c>
      <c r="S992">
        <f>Sheet1[[#This Row],[Ship_date]]-Sheet1[[#This Row],[Order_date]]</f>
        <v>4</v>
      </c>
      <c r="T992">
        <f>Sheet1[[#This Row],[Quantity]]*Sheet1[[#This Row],[Sales]]</f>
        <v>44</v>
      </c>
      <c r="U992">
        <f>Sheet1[[#This Row],[Total Sales]]*Sheet1[[#This Row],[Discount]]</f>
        <v>0</v>
      </c>
      <c r="V992" s="4">
        <f>Sheet1[[#This Row],[Total Sales]]-Sheet1[[#This Row],[Total Sales]]*Sheet1[[#This Row],[Discount]]</f>
        <v>44</v>
      </c>
      <c r="W992" s="4">
        <f>Sheet1[[#This Row],[Quantity]]*Sheet1[[#This Row],[Profit]]</f>
        <v>21.4848</v>
      </c>
      <c r="X992" s="5">
        <f>Sheet1[[#This Row],[Total Profit]]/Sheet1[[#This Row],[Sales After Discount]]</f>
        <v>0.48829090909090911</v>
      </c>
      <c r="Y992" s="4">
        <f>Sheet1[[#This Row],[Shipping_cost]]*Sheet1[[#This Row],[Quantity]]</f>
        <v>2.96</v>
      </c>
      <c r="Z992" s="4">
        <f>Sheet1[[#This Row],[Total Profit]]-Sheet1[[#This Row],[Total Shipping Cost]]</f>
        <v>18.524799999999999</v>
      </c>
      <c r="AA992" s="4" t="str">
        <f>IF(Sheet1[[#This Row],[Net Profit]]&gt;0,"Profit","Loss")</f>
        <v>Profit</v>
      </c>
    </row>
    <row r="993" spans="1:27" x14ac:dyDescent="0.25">
      <c r="A993" t="s">
        <v>1237</v>
      </c>
      <c r="B993" s="1">
        <v>40612</v>
      </c>
      <c r="C993" s="1">
        <v>40618</v>
      </c>
      <c r="D993" t="s">
        <v>1</v>
      </c>
      <c r="E993" t="s">
        <v>1238</v>
      </c>
      <c r="F993" t="s">
        <v>26</v>
      </c>
      <c r="G993" t="s">
        <v>1239</v>
      </c>
      <c r="H993" t="s">
        <v>285</v>
      </c>
      <c r="I993" t="s">
        <v>22</v>
      </c>
      <c r="J993" t="s">
        <v>22</v>
      </c>
      <c r="K993" t="s">
        <v>38</v>
      </c>
      <c r="L993" t="s">
        <v>39</v>
      </c>
      <c r="M993">
        <v>20</v>
      </c>
      <c r="N993">
        <v>1</v>
      </c>
      <c r="O993">
        <v>0.6</v>
      </c>
      <c r="P993">
        <v>-10.247999999999999</v>
      </c>
      <c r="Q993">
        <v>1.36</v>
      </c>
      <c r="R993" t="s">
        <v>9</v>
      </c>
      <c r="S993">
        <f>Sheet1[[#This Row],[Ship_date]]-Sheet1[[#This Row],[Order_date]]</f>
        <v>6</v>
      </c>
      <c r="T993">
        <f>Sheet1[[#This Row],[Quantity]]*Sheet1[[#This Row],[Sales]]</f>
        <v>20</v>
      </c>
      <c r="U993">
        <f>Sheet1[[#This Row],[Total Sales]]*Sheet1[[#This Row],[Discount]]</f>
        <v>12</v>
      </c>
      <c r="V993" s="4">
        <f>Sheet1[[#This Row],[Total Sales]]-Sheet1[[#This Row],[Total Sales]]*Sheet1[[#This Row],[Discount]]</f>
        <v>8</v>
      </c>
      <c r="W993" s="4">
        <f>Sheet1[[#This Row],[Quantity]]*Sheet1[[#This Row],[Profit]]</f>
        <v>-10.247999999999999</v>
      </c>
      <c r="X993" s="5">
        <f>Sheet1[[#This Row],[Total Profit]]/Sheet1[[#This Row],[Sales After Discount]]</f>
        <v>-1.2809999999999999</v>
      </c>
      <c r="Y993" s="4">
        <f>Sheet1[[#This Row],[Shipping_cost]]*Sheet1[[#This Row],[Quantity]]</f>
        <v>1.36</v>
      </c>
      <c r="Z993" s="4">
        <f>Sheet1[[#This Row],[Total Profit]]-Sheet1[[#This Row],[Total Shipping Cost]]</f>
        <v>-11.607999999999999</v>
      </c>
      <c r="AA993" s="4" t="str">
        <f>IF(Sheet1[[#This Row],[Net Profit]]&gt;0,"Profit","Loss")</f>
        <v>Loss</v>
      </c>
    </row>
    <row r="994" spans="1:27" x14ac:dyDescent="0.25">
      <c r="A994" t="s">
        <v>1243</v>
      </c>
      <c r="B994" s="1">
        <v>40613</v>
      </c>
      <c r="C994" s="1">
        <v>40615</v>
      </c>
      <c r="D994" t="s">
        <v>18</v>
      </c>
      <c r="E994" t="s">
        <v>1244</v>
      </c>
      <c r="F994" t="s">
        <v>26</v>
      </c>
      <c r="G994" t="s">
        <v>975</v>
      </c>
      <c r="H994" t="s">
        <v>81</v>
      </c>
      <c r="I994" t="s">
        <v>22</v>
      </c>
      <c r="J994" t="s">
        <v>22</v>
      </c>
      <c r="K994" t="s">
        <v>38</v>
      </c>
      <c r="L994" t="s">
        <v>77</v>
      </c>
      <c r="M994">
        <v>643</v>
      </c>
      <c r="N994">
        <v>1</v>
      </c>
      <c r="O994">
        <v>0</v>
      </c>
      <c r="P994">
        <v>244.2</v>
      </c>
      <c r="Q994">
        <v>285.83</v>
      </c>
      <c r="R994" t="s">
        <v>45</v>
      </c>
      <c r="S994">
        <f>Sheet1[[#This Row],[Ship_date]]-Sheet1[[#This Row],[Order_date]]</f>
        <v>2</v>
      </c>
      <c r="T994">
        <f>Sheet1[[#This Row],[Quantity]]*Sheet1[[#This Row],[Sales]]</f>
        <v>643</v>
      </c>
      <c r="U994">
        <f>Sheet1[[#This Row],[Total Sales]]*Sheet1[[#This Row],[Discount]]</f>
        <v>0</v>
      </c>
      <c r="V994" s="4">
        <f>Sheet1[[#This Row],[Total Sales]]-Sheet1[[#This Row],[Total Sales]]*Sheet1[[#This Row],[Discount]]</f>
        <v>643</v>
      </c>
      <c r="W994" s="4">
        <f>Sheet1[[#This Row],[Quantity]]*Sheet1[[#This Row],[Profit]]</f>
        <v>244.2</v>
      </c>
      <c r="X994" s="5">
        <f>Sheet1[[#This Row],[Total Profit]]/Sheet1[[#This Row],[Sales After Discount]]</f>
        <v>0.37978227060653186</v>
      </c>
      <c r="Y994" s="4">
        <f>Sheet1[[#This Row],[Shipping_cost]]*Sheet1[[#This Row],[Quantity]]</f>
        <v>285.83</v>
      </c>
      <c r="Z994" s="4">
        <f>Sheet1[[#This Row],[Total Profit]]-Sheet1[[#This Row],[Total Shipping Cost]]</f>
        <v>-41.629999999999995</v>
      </c>
      <c r="AA994" s="4" t="str">
        <f>IF(Sheet1[[#This Row],[Net Profit]]&gt;0,"Profit","Loss")</f>
        <v>Loss</v>
      </c>
    </row>
    <row r="995" spans="1:27" x14ac:dyDescent="0.25">
      <c r="A995" t="s">
        <v>1245</v>
      </c>
      <c r="B995" s="1">
        <v>40613</v>
      </c>
      <c r="C995" s="1">
        <v>40615</v>
      </c>
      <c r="D995" t="s">
        <v>18</v>
      </c>
      <c r="E995" t="s">
        <v>557</v>
      </c>
      <c r="F995" t="s">
        <v>43</v>
      </c>
      <c r="G995" t="s">
        <v>176</v>
      </c>
      <c r="H995" t="s">
        <v>126</v>
      </c>
      <c r="I995" t="s">
        <v>127</v>
      </c>
      <c r="J995" t="s">
        <v>102</v>
      </c>
      <c r="K995" t="s">
        <v>38</v>
      </c>
      <c r="L995" t="s">
        <v>77</v>
      </c>
      <c r="M995">
        <v>588</v>
      </c>
      <c r="N995">
        <v>3</v>
      </c>
      <c r="O995">
        <v>0</v>
      </c>
      <c r="P995">
        <v>164.63159999999999</v>
      </c>
      <c r="Q995">
        <v>95</v>
      </c>
      <c r="R995" t="s">
        <v>23</v>
      </c>
      <c r="S995">
        <f>Sheet1[[#This Row],[Ship_date]]-Sheet1[[#This Row],[Order_date]]</f>
        <v>2</v>
      </c>
      <c r="T995">
        <f>Sheet1[[#This Row],[Quantity]]*Sheet1[[#This Row],[Sales]]</f>
        <v>1764</v>
      </c>
      <c r="U995">
        <f>Sheet1[[#This Row],[Total Sales]]*Sheet1[[#This Row],[Discount]]</f>
        <v>0</v>
      </c>
      <c r="V995" s="4">
        <f>Sheet1[[#This Row],[Total Sales]]-Sheet1[[#This Row],[Total Sales]]*Sheet1[[#This Row],[Discount]]</f>
        <v>1764</v>
      </c>
      <c r="W995" s="4">
        <f>Sheet1[[#This Row],[Quantity]]*Sheet1[[#This Row],[Profit]]</f>
        <v>493.89479999999998</v>
      </c>
      <c r="X995" s="5">
        <f>Sheet1[[#This Row],[Total Profit]]/Sheet1[[#This Row],[Sales After Discount]]</f>
        <v>0.27998571428571428</v>
      </c>
      <c r="Y995" s="4">
        <f>Sheet1[[#This Row],[Shipping_cost]]*Sheet1[[#This Row],[Quantity]]</f>
        <v>285</v>
      </c>
      <c r="Z995" s="4">
        <f>Sheet1[[#This Row],[Total Profit]]-Sheet1[[#This Row],[Total Shipping Cost]]</f>
        <v>208.89479999999998</v>
      </c>
      <c r="AA995" s="4" t="str">
        <f>IF(Sheet1[[#This Row],[Net Profit]]&gt;0,"Profit","Loss")</f>
        <v>Profit</v>
      </c>
    </row>
    <row r="996" spans="1:27" x14ac:dyDescent="0.25">
      <c r="A996" t="s">
        <v>1246</v>
      </c>
      <c r="B996" s="1">
        <v>40613</v>
      </c>
      <c r="C996" s="1">
        <v>40616</v>
      </c>
      <c r="D996" t="s">
        <v>142</v>
      </c>
      <c r="E996" t="s">
        <v>1247</v>
      </c>
      <c r="F996" t="s">
        <v>43</v>
      </c>
      <c r="G996" t="s">
        <v>1070</v>
      </c>
      <c r="H996" t="s">
        <v>305</v>
      </c>
      <c r="I996" t="s">
        <v>29</v>
      </c>
      <c r="J996" t="s">
        <v>76</v>
      </c>
      <c r="K996" t="s">
        <v>7</v>
      </c>
      <c r="L996" t="s">
        <v>137</v>
      </c>
      <c r="M996">
        <v>229</v>
      </c>
      <c r="N996">
        <v>9</v>
      </c>
      <c r="O996">
        <v>0.1</v>
      </c>
      <c r="P996">
        <v>27.756</v>
      </c>
      <c r="Q996">
        <v>38.799999999999997</v>
      </c>
      <c r="R996" t="s">
        <v>9</v>
      </c>
      <c r="S996">
        <f>Sheet1[[#This Row],[Ship_date]]-Sheet1[[#This Row],[Order_date]]</f>
        <v>3</v>
      </c>
      <c r="T996">
        <f>Sheet1[[#This Row],[Quantity]]*Sheet1[[#This Row],[Sales]]</f>
        <v>2061</v>
      </c>
      <c r="U996">
        <f>Sheet1[[#This Row],[Total Sales]]*Sheet1[[#This Row],[Discount]]</f>
        <v>206.10000000000002</v>
      </c>
      <c r="V996" s="4">
        <f>Sheet1[[#This Row],[Total Sales]]-Sheet1[[#This Row],[Total Sales]]*Sheet1[[#This Row],[Discount]]</f>
        <v>1854.9</v>
      </c>
      <c r="W996" s="4">
        <f>Sheet1[[#This Row],[Quantity]]*Sheet1[[#This Row],[Profit]]</f>
        <v>249.804</v>
      </c>
      <c r="X996" s="5">
        <f>Sheet1[[#This Row],[Total Profit]]/Sheet1[[#This Row],[Sales After Discount]]</f>
        <v>0.13467248908296942</v>
      </c>
      <c r="Y996" s="4">
        <f>Sheet1[[#This Row],[Shipping_cost]]*Sheet1[[#This Row],[Quantity]]</f>
        <v>349.2</v>
      </c>
      <c r="Z996" s="4">
        <f>Sheet1[[#This Row],[Total Profit]]-Sheet1[[#This Row],[Total Shipping Cost]]</f>
        <v>-99.395999999999987</v>
      </c>
      <c r="AA996" s="4" t="str">
        <f>IF(Sheet1[[#This Row],[Net Profit]]&gt;0,"Profit","Loss")</f>
        <v>Loss</v>
      </c>
    </row>
    <row r="997" spans="1:27" x14ac:dyDescent="0.25">
      <c r="A997" t="s">
        <v>1248</v>
      </c>
      <c r="B997" s="1">
        <v>40613</v>
      </c>
      <c r="C997" s="1">
        <v>40617</v>
      </c>
      <c r="D997" t="s">
        <v>1</v>
      </c>
      <c r="E997" t="s">
        <v>543</v>
      </c>
      <c r="F997" t="s">
        <v>3</v>
      </c>
      <c r="G997" t="s">
        <v>235</v>
      </c>
      <c r="H997" t="s">
        <v>13</v>
      </c>
      <c r="I997" t="s">
        <v>14</v>
      </c>
      <c r="J997" t="s">
        <v>15</v>
      </c>
      <c r="K997" t="s">
        <v>38</v>
      </c>
      <c r="L997" t="s">
        <v>82</v>
      </c>
      <c r="M997">
        <v>259</v>
      </c>
      <c r="N997">
        <v>9</v>
      </c>
      <c r="O997">
        <v>0.1</v>
      </c>
      <c r="P997">
        <v>63.261000000000003</v>
      </c>
      <c r="Q997">
        <v>27.22</v>
      </c>
      <c r="R997" t="s">
        <v>9</v>
      </c>
      <c r="S997">
        <f>Sheet1[[#This Row],[Ship_date]]-Sheet1[[#This Row],[Order_date]]</f>
        <v>4</v>
      </c>
      <c r="T997">
        <f>Sheet1[[#This Row],[Quantity]]*Sheet1[[#This Row],[Sales]]</f>
        <v>2331</v>
      </c>
      <c r="U997">
        <f>Sheet1[[#This Row],[Total Sales]]*Sheet1[[#This Row],[Discount]]</f>
        <v>233.10000000000002</v>
      </c>
      <c r="V997" s="4">
        <f>Sheet1[[#This Row],[Total Sales]]-Sheet1[[#This Row],[Total Sales]]*Sheet1[[#This Row],[Discount]]</f>
        <v>2097.9</v>
      </c>
      <c r="W997" s="4">
        <f>Sheet1[[#This Row],[Quantity]]*Sheet1[[#This Row],[Profit]]</f>
        <v>569.34900000000005</v>
      </c>
      <c r="X997" s="5">
        <f>Sheet1[[#This Row],[Total Profit]]/Sheet1[[#This Row],[Sales After Discount]]</f>
        <v>0.27138996138996141</v>
      </c>
      <c r="Y997" s="4">
        <f>Sheet1[[#This Row],[Shipping_cost]]*Sheet1[[#This Row],[Quantity]]</f>
        <v>244.98</v>
      </c>
      <c r="Z997" s="4">
        <f>Sheet1[[#This Row],[Total Profit]]-Sheet1[[#This Row],[Total Shipping Cost]]</f>
        <v>324.36900000000003</v>
      </c>
      <c r="AA997" s="4" t="str">
        <f>IF(Sheet1[[#This Row],[Net Profit]]&gt;0,"Profit","Loss")</f>
        <v>Profit</v>
      </c>
    </row>
    <row r="998" spans="1:27" x14ac:dyDescent="0.25">
      <c r="A998" t="s">
        <v>1249</v>
      </c>
      <c r="B998" s="1">
        <v>40613</v>
      </c>
      <c r="C998" s="1">
        <v>40618</v>
      </c>
      <c r="D998" t="s">
        <v>1</v>
      </c>
      <c r="E998" t="s">
        <v>1250</v>
      </c>
      <c r="F998" t="s">
        <v>43</v>
      </c>
      <c r="G998" t="s">
        <v>74</v>
      </c>
      <c r="H998" t="s">
        <v>74</v>
      </c>
      <c r="I998" t="s">
        <v>75</v>
      </c>
      <c r="J998" t="s">
        <v>76</v>
      </c>
      <c r="K998" t="s">
        <v>38</v>
      </c>
      <c r="L998" t="s">
        <v>50</v>
      </c>
      <c r="M998">
        <v>324</v>
      </c>
      <c r="N998">
        <v>2</v>
      </c>
      <c r="O998">
        <v>2E-3</v>
      </c>
      <c r="P998">
        <v>5.8311200000000003</v>
      </c>
      <c r="Q998">
        <v>24.1</v>
      </c>
      <c r="R998" t="s">
        <v>9</v>
      </c>
      <c r="S998">
        <f>Sheet1[[#This Row],[Ship_date]]-Sheet1[[#This Row],[Order_date]]</f>
        <v>5</v>
      </c>
      <c r="T998">
        <f>Sheet1[[#This Row],[Quantity]]*Sheet1[[#This Row],[Sales]]</f>
        <v>648</v>
      </c>
      <c r="U998">
        <f>Sheet1[[#This Row],[Total Sales]]*Sheet1[[#This Row],[Discount]]</f>
        <v>1.296</v>
      </c>
      <c r="V998" s="4">
        <f>Sheet1[[#This Row],[Total Sales]]-Sheet1[[#This Row],[Total Sales]]*Sheet1[[#This Row],[Discount]]</f>
        <v>646.70399999999995</v>
      </c>
      <c r="W998" s="4">
        <f>Sheet1[[#This Row],[Quantity]]*Sheet1[[#This Row],[Profit]]</f>
        <v>11.662240000000001</v>
      </c>
      <c r="X998" s="5">
        <f>Sheet1[[#This Row],[Total Profit]]/Sheet1[[#This Row],[Sales After Discount]]</f>
        <v>1.8033350651921128E-2</v>
      </c>
      <c r="Y998" s="4">
        <f>Sheet1[[#This Row],[Shipping_cost]]*Sheet1[[#This Row],[Quantity]]</f>
        <v>48.2</v>
      </c>
      <c r="Z998" s="4">
        <f>Sheet1[[#This Row],[Total Profit]]-Sheet1[[#This Row],[Total Shipping Cost]]</f>
        <v>-36.537760000000006</v>
      </c>
      <c r="AA998" s="4" t="str">
        <f>IF(Sheet1[[#This Row],[Net Profit]]&gt;0,"Profit","Loss")</f>
        <v>Loss</v>
      </c>
    </row>
    <row r="999" spans="1:27" x14ac:dyDescent="0.25">
      <c r="A999" t="s">
        <v>1251</v>
      </c>
      <c r="B999" s="1">
        <v>40613</v>
      </c>
      <c r="C999" s="1">
        <v>40616</v>
      </c>
      <c r="D999" t="s">
        <v>18</v>
      </c>
      <c r="E999" t="s">
        <v>1252</v>
      </c>
      <c r="F999" t="s">
        <v>3</v>
      </c>
      <c r="G999" t="s">
        <v>649</v>
      </c>
      <c r="H999" t="s">
        <v>126</v>
      </c>
      <c r="I999" t="s">
        <v>127</v>
      </c>
      <c r="J999" t="s">
        <v>173</v>
      </c>
      <c r="K999" t="s">
        <v>7</v>
      </c>
      <c r="L999" t="s">
        <v>31</v>
      </c>
      <c r="M999">
        <v>109</v>
      </c>
      <c r="N999">
        <v>14</v>
      </c>
      <c r="O999">
        <v>0</v>
      </c>
      <c r="P999">
        <v>49.014000000000003</v>
      </c>
      <c r="Q999">
        <v>12.24</v>
      </c>
      <c r="R999" t="s">
        <v>23</v>
      </c>
      <c r="S999">
        <f>Sheet1[[#This Row],[Ship_date]]-Sheet1[[#This Row],[Order_date]]</f>
        <v>3</v>
      </c>
      <c r="T999">
        <f>Sheet1[[#This Row],[Quantity]]*Sheet1[[#This Row],[Sales]]</f>
        <v>1526</v>
      </c>
      <c r="U999">
        <f>Sheet1[[#This Row],[Total Sales]]*Sheet1[[#This Row],[Discount]]</f>
        <v>0</v>
      </c>
      <c r="V999" s="4">
        <f>Sheet1[[#This Row],[Total Sales]]-Sheet1[[#This Row],[Total Sales]]*Sheet1[[#This Row],[Discount]]</f>
        <v>1526</v>
      </c>
      <c r="W999" s="4">
        <f>Sheet1[[#This Row],[Quantity]]*Sheet1[[#This Row],[Profit]]</f>
        <v>686.19600000000003</v>
      </c>
      <c r="X999" s="5">
        <f>Sheet1[[#This Row],[Total Profit]]/Sheet1[[#This Row],[Sales After Discount]]</f>
        <v>0.44966972477064221</v>
      </c>
      <c r="Y999" s="4">
        <f>Sheet1[[#This Row],[Shipping_cost]]*Sheet1[[#This Row],[Quantity]]</f>
        <v>171.36</v>
      </c>
      <c r="Z999" s="4">
        <f>Sheet1[[#This Row],[Total Profit]]-Sheet1[[#This Row],[Total Shipping Cost]]</f>
        <v>514.83600000000001</v>
      </c>
      <c r="AA999" s="4" t="str">
        <f>IF(Sheet1[[#This Row],[Net Profit]]&gt;0,"Profit","Loss")</f>
        <v>Profit</v>
      </c>
    </row>
    <row r="1000" spans="1:27" x14ac:dyDescent="0.25">
      <c r="A1000" t="s">
        <v>1245</v>
      </c>
      <c r="B1000" s="1">
        <v>40613</v>
      </c>
      <c r="C1000" s="1">
        <v>40615</v>
      </c>
      <c r="D1000" t="s">
        <v>18</v>
      </c>
      <c r="E1000" t="s">
        <v>557</v>
      </c>
      <c r="F1000" t="s">
        <v>43</v>
      </c>
      <c r="G1000" t="s">
        <v>176</v>
      </c>
      <c r="H1000" t="s">
        <v>126</v>
      </c>
      <c r="I1000" t="s">
        <v>127</v>
      </c>
      <c r="J1000" t="s">
        <v>102</v>
      </c>
      <c r="K1000" t="s">
        <v>7</v>
      </c>
      <c r="L1000" t="s">
        <v>44</v>
      </c>
      <c r="M1000">
        <v>147</v>
      </c>
      <c r="N1000">
        <v>3</v>
      </c>
      <c r="O1000">
        <v>0</v>
      </c>
      <c r="P1000">
        <v>38.157600000000002</v>
      </c>
      <c r="Q1000">
        <v>7</v>
      </c>
      <c r="R1000" t="s">
        <v>23</v>
      </c>
      <c r="S1000">
        <f>Sheet1[[#This Row],[Ship_date]]-Sheet1[[#This Row],[Order_date]]</f>
        <v>2</v>
      </c>
      <c r="T1000">
        <f>Sheet1[[#This Row],[Quantity]]*Sheet1[[#This Row],[Sales]]</f>
        <v>441</v>
      </c>
      <c r="U1000">
        <f>Sheet1[[#This Row],[Total Sales]]*Sheet1[[#This Row],[Discount]]</f>
        <v>0</v>
      </c>
      <c r="V1000" s="4">
        <f>Sheet1[[#This Row],[Total Sales]]-Sheet1[[#This Row],[Total Sales]]*Sheet1[[#This Row],[Discount]]</f>
        <v>441</v>
      </c>
      <c r="W1000" s="4">
        <f>Sheet1[[#This Row],[Quantity]]*Sheet1[[#This Row],[Profit]]</f>
        <v>114.47280000000001</v>
      </c>
      <c r="X1000" s="5">
        <f>Sheet1[[#This Row],[Total Profit]]/Sheet1[[#This Row],[Sales After Discount]]</f>
        <v>0.25957551020408165</v>
      </c>
      <c r="Y1000" s="4">
        <f>Sheet1[[#This Row],[Shipping_cost]]*Sheet1[[#This Row],[Quantity]]</f>
        <v>21</v>
      </c>
      <c r="Z1000" s="4">
        <f>Sheet1[[#This Row],[Total Profit]]-Sheet1[[#This Row],[Total Shipping Cost]]</f>
        <v>93.472800000000007</v>
      </c>
      <c r="AA1000" s="4" t="str">
        <f>IF(Sheet1[[#This Row],[Net Profit]]&gt;0,"Profit","Loss")</f>
        <v>Profit</v>
      </c>
    </row>
    <row r="1001" spans="1:27" x14ac:dyDescent="0.25">
      <c r="A1001" t="s">
        <v>1253</v>
      </c>
      <c r="B1001" s="1">
        <v>40613</v>
      </c>
      <c r="C1001" s="1">
        <v>40618</v>
      </c>
      <c r="D1001" t="s">
        <v>1</v>
      </c>
      <c r="E1001" t="s">
        <v>1254</v>
      </c>
      <c r="F1001" t="s">
        <v>3</v>
      </c>
      <c r="G1001" t="s">
        <v>1032</v>
      </c>
      <c r="H1001" t="s">
        <v>110</v>
      </c>
      <c r="I1001" t="s">
        <v>75</v>
      </c>
      <c r="J1001" t="s">
        <v>111</v>
      </c>
      <c r="K1001" t="s">
        <v>32</v>
      </c>
      <c r="L1001" t="s">
        <v>33</v>
      </c>
      <c r="M1001">
        <v>155</v>
      </c>
      <c r="N1001">
        <v>2</v>
      </c>
      <c r="O1001">
        <v>0</v>
      </c>
      <c r="P1001">
        <v>43.4</v>
      </c>
      <c r="Q1001">
        <v>6.49</v>
      </c>
      <c r="R1001" t="s">
        <v>9</v>
      </c>
      <c r="S1001">
        <f>Sheet1[[#This Row],[Ship_date]]-Sheet1[[#This Row],[Order_date]]</f>
        <v>5</v>
      </c>
      <c r="T1001">
        <f>Sheet1[[#This Row],[Quantity]]*Sheet1[[#This Row],[Sales]]</f>
        <v>310</v>
      </c>
      <c r="U1001">
        <f>Sheet1[[#This Row],[Total Sales]]*Sheet1[[#This Row],[Discount]]</f>
        <v>0</v>
      </c>
      <c r="V1001" s="4">
        <f>Sheet1[[#This Row],[Total Sales]]-Sheet1[[#This Row],[Total Sales]]*Sheet1[[#This Row],[Discount]]</f>
        <v>310</v>
      </c>
      <c r="W1001" s="4">
        <f>Sheet1[[#This Row],[Quantity]]*Sheet1[[#This Row],[Profit]]</f>
        <v>86.8</v>
      </c>
      <c r="X1001" s="5">
        <f>Sheet1[[#This Row],[Total Profit]]/Sheet1[[#This Row],[Sales After Discount]]</f>
        <v>0.27999999999999997</v>
      </c>
      <c r="Y1001" s="4">
        <f>Sheet1[[#This Row],[Shipping_cost]]*Sheet1[[#This Row],[Quantity]]</f>
        <v>12.98</v>
      </c>
      <c r="Z1001" s="4">
        <f>Sheet1[[#This Row],[Total Profit]]-Sheet1[[#This Row],[Total Shipping Cost]]</f>
        <v>73.819999999999993</v>
      </c>
      <c r="AA1001" s="4" t="str">
        <f>IF(Sheet1[[#This Row],[Net Profit]]&gt;0,"Profit","Loss")</f>
        <v>Profit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168A-E38F-4E0D-9076-BBC2D872CA18}">
  <dimension ref="A1:R1001"/>
  <sheetViews>
    <sheetView topLeftCell="G1" workbookViewId="0">
      <selection activeCell="F8" sqref="F8"/>
    </sheetView>
  </sheetViews>
  <sheetFormatPr defaultRowHeight="15" x14ac:dyDescent="0.25"/>
  <cols>
    <col min="1" max="1" width="16.7109375" customWidth="1"/>
    <col min="2" max="2" width="15.140625" customWidth="1"/>
    <col min="3" max="3" width="13.85546875" customWidth="1"/>
    <col min="4" max="4" width="17" customWidth="1"/>
    <col min="5" max="5" width="18.7109375" customWidth="1"/>
    <col min="6" max="6" width="13.85546875" customWidth="1"/>
    <col min="7" max="7" width="20.140625" customWidth="1"/>
    <col min="8" max="8" width="14.85546875" customWidth="1"/>
    <col min="11" max="11" width="16.5703125" customWidth="1"/>
    <col min="12" max="12" width="16.7109375" customWidth="1"/>
    <col min="17" max="17" width="14.140625" customWidth="1"/>
    <col min="18" max="18" width="15.85546875" customWidth="1"/>
  </cols>
  <sheetData>
    <row r="1" spans="1:18" x14ac:dyDescent="0.25">
      <c r="A1" s="3" t="s">
        <v>1255</v>
      </c>
      <c r="B1" s="3" t="s">
        <v>1256</v>
      </c>
      <c r="C1" s="3" t="s">
        <v>1257</v>
      </c>
      <c r="D1" s="3" t="s">
        <v>1258</v>
      </c>
      <c r="E1" s="3" t="s">
        <v>1260</v>
      </c>
      <c r="F1" s="3" t="s">
        <v>1259</v>
      </c>
      <c r="G1" s="3" t="s">
        <v>1261</v>
      </c>
      <c r="H1" s="3" t="s">
        <v>1262</v>
      </c>
      <c r="I1" s="3" t="s">
        <v>1263</v>
      </c>
      <c r="J1" s="3" t="s">
        <v>1264</v>
      </c>
      <c r="K1" s="3" t="s">
        <v>1265</v>
      </c>
      <c r="L1" s="3" t="s">
        <v>1266</v>
      </c>
      <c r="M1" s="3" t="s">
        <v>1267</v>
      </c>
      <c r="N1" s="3" t="s">
        <v>1268</v>
      </c>
      <c r="O1" s="3" t="s">
        <v>1269</v>
      </c>
      <c r="P1" s="3" t="s">
        <v>1270</v>
      </c>
      <c r="Q1" s="3" t="s">
        <v>1271</v>
      </c>
      <c r="R1" s="3" t="s">
        <v>1272</v>
      </c>
    </row>
    <row r="2" spans="1:18" x14ac:dyDescent="0.25">
      <c r="A2" t="s">
        <v>0</v>
      </c>
      <c r="B2" s="1">
        <v>40544</v>
      </c>
      <c r="C2" s="1">
        <v>40549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6</v>
      </c>
      <c r="K2" t="s">
        <v>7</v>
      </c>
      <c r="L2" t="s">
        <v>8</v>
      </c>
      <c r="M2">
        <v>408</v>
      </c>
      <c r="N2">
        <v>2</v>
      </c>
      <c r="O2">
        <v>0</v>
      </c>
      <c r="P2">
        <v>106.14</v>
      </c>
      <c r="Q2">
        <v>35.46</v>
      </c>
      <c r="R2" t="s">
        <v>9</v>
      </c>
    </row>
    <row r="3" spans="1:18" x14ac:dyDescent="0.25">
      <c r="A3" t="s">
        <v>10</v>
      </c>
      <c r="B3" s="1">
        <v>40544</v>
      </c>
      <c r="C3" s="1">
        <v>40551</v>
      </c>
      <c r="D3" t="s">
        <v>1</v>
      </c>
      <c r="E3" t="s">
        <v>11</v>
      </c>
      <c r="F3" t="s">
        <v>3</v>
      </c>
      <c r="G3" t="s">
        <v>12</v>
      </c>
      <c r="H3" t="s">
        <v>13</v>
      </c>
      <c r="I3" t="s">
        <v>14</v>
      </c>
      <c r="J3" t="s">
        <v>15</v>
      </c>
      <c r="K3" t="s">
        <v>7</v>
      </c>
      <c r="L3" t="s">
        <v>16</v>
      </c>
      <c r="M3">
        <v>120</v>
      </c>
      <c r="N3">
        <v>3</v>
      </c>
      <c r="O3">
        <v>0.1</v>
      </c>
      <c r="P3">
        <v>36.036000000000001</v>
      </c>
      <c r="Q3">
        <v>9.7200000000000006</v>
      </c>
      <c r="R3" t="s">
        <v>9</v>
      </c>
    </row>
    <row r="4" spans="1:18" x14ac:dyDescent="0.25">
      <c r="A4" t="s">
        <v>17</v>
      </c>
      <c r="B4" s="1">
        <v>40544</v>
      </c>
      <c r="C4" s="1">
        <v>40548</v>
      </c>
      <c r="D4" t="s">
        <v>18</v>
      </c>
      <c r="E4" t="s">
        <v>19</v>
      </c>
      <c r="F4" t="s">
        <v>3</v>
      </c>
      <c r="G4" t="s">
        <v>20</v>
      </c>
      <c r="H4" t="s">
        <v>21</v>
      </c>
      <c r="I4" t="s">
        <v>22</v>
      </c>
      <c r="J4" t="s">
        <v>22</v>
      </c>
      <c r="K4" t="s">
        <v>7</v>
      </c>
      <c r="L4" t="s">
        <v>8</v>
      </c>
      <c r="M4">
        <v>66</v>
      </c>
      <c r="N4">
        <v>4</v>
      </c>
      <c r="O4">
        <v>0</v>
      </c>
      <c r="P4">
        <v>29.64</v>
      </c>
      <c r="Q4">
        <v>8.17</v>
      </c>
      <c r="R4" t="s">
        <v>23</v>
      </c>
    </row>
    <row r="5" spans="1:18" x14ac:dyDescent="0.25">
      <c r="A5" t="s">
        <v>24</v>
      </c>
      <c r="B5" s="1">
        <v>40544</v>
      </c>
      <c r="C5" s="1">
        <v>40548</v>
      </c>
      <c r="D5" t="s">
        <v>18</v>
      </c>
      <c r="E5" t="s">
        <v>25</v>
      </c>
      <c r="F5" t="s">
        <v>26</v>
      </c>
      <c r="G5" t="s">
        <v>27</v>
      </c>
      <c r="H5" t="s">
        <v>28</v>
      </c>
      <c r="I5" t="s">
        <v>29</v>
      </c>
      <c r="J5" t="s">
        <v>30</v>
      </c>
      <c r="K5" t="s">
        <v>7</v>
      </c>
      <c r="L5" t="s">
        <v>31</v>
      </c>
      <c r="M5">
        <v>45</v>
      </c>
      <c r="N5">
        <v>3</v>
      </c>
      <c r="O5">
        <v>0.5</v>
      </c>
      <c r="P5">
        <v>-26.055</v>
      </c>
      <c r="Q5">
        <v>4.82</v>
      </c>
      <c r="R5" t="s">
        <v>23</v>
      </c>
    </row>
    <row r="6" spans="1:18" x14ac:dyDescent="0.25">
      <c r="A6" t="s">
        <v>10</v>
      </c>
      <c r="B6" s="1">
        <v>40544</v>
      </c>
      <c r="C6" s="1">
        <v>40551</v>
      </c>
      <c r="D6" t="s">
        <v>1</v>
      </c>
      <c r="E6" t="s">
        <v>11</v>
      </c>
      <c r="F6" t="s">
        <v>3</v>
      </c>
      <c r="G6" t="s">
        <v>12</v>
      </c>
      <c r="H6" t="s">
        <v>13</v>
      </c>
      <c r="I6" t="s">
        <v>14</v>
      </c>
      <c r="J6" t="s">
        <v>15</v>
      </c>
      <c r="K6" t="s">
        <v>32</v>
      </c>
      <c r="L6" t="s">
        <v>33</v>
      </c>
      <c r="M6">
        <v>114</v>
      </c>
      <c r="N6">
        <v>5</v>
      </c>
      <c r="O6">
        <v>0.1</v>
      </c>
      <c r="P6">
        <v>37.770000000000003</v>
      </c>
      <c r="Q6">
        <v>4.7</v>
      </c>
      <c r="R6" t="s">
        <v>9</v>
      </c>
    </row>
    <row r="7" spans="1:18" x14ac:dyDescent="0.25">
      <c r="A7" t="s">
        <v>10</v>
      </c>
      <c r="B7" s="1">
        <v>40544</v>
      </c>
      <c r="C7" s="1">
        <v>40551</v>
      </c>
      <c r="D7" t="s">
        <v>1</v>
      </c>
      <c r="E7" t="s">
        <v>11</v>
      </c>
      <c r="F7" t="s">
        <v>3</v>
      </c>
      <c r="G7" t="s">
        <v>12</v>
      </c>
      <c r="H7" t="s">
        <v>13</v>
      </c>
      <c r="I7" t="s">
        <v>14</v>
      </c>
      <c r="J7" t="s">
        <v>15</v>
      </c>
      <c r="K7" t="s">
        <v>7</v>
      </c>
      <c r="L7" t="s">
        <v>31</v>
      </c>
      <c r="M7">
        <v>55</v>
      </c>
      <c r="N7">
        <v>2</v>
      </c>
      <c r="O7">
        <v>0.1</v>
      </c>
      <c r="P7">
        <v>15.342000000000001</v>
      </c>
      <c r="Q7">
        <v>1.8</v>
      </c>
      <c r="R7" t="s">
        <v>9</v>
      </c>
    </row>
    <row r="8" spans="1:18" x14ac:dyDescent="0.25">
      <c r="A8" t="s">
        <v>34</v>
      </c>
      <c r="B8" s="1">
        <v>40545</v>
      </c>
      <c r="C8" s="1">
        <v>40549</v>
      </c>
      <c r="D8" t="s">
        <v>1</v>
      </c>
      <c r="E8" t="s">
        <v>35</v>
      </c>
      <c r="F8" t="s">
        <v>3</v>
      </c>
      <c r="G8" t="s">
        <v>36</v>
      </c>
      <c r="H8" t="s">
        <v>37</v>
      </c>
      <c r="I8" t="s">
        <v>37</v>
      </c>
      <c r="J8" t="s">
        <v>37</v>
      </c>
      <c r="K8" t="s">
        <v>38</v>
      </c>
      <c r="L8" t="s">
        <v>39</v>
      </c>
      <c r="M8">
        <v>314</v>
      </c>
      <c r="N8">
        <v>1</v>
      </c>
      <c r="O8">
        <v>0</v>
      </c>
      <c r="P8">
        <v>3.12</v>
      </c>
      <c r="Q8">
        <v>24.1</v>
      </c>
      <c r="R8" t="s">
        <v>9</v>
      </c>
    </row>
    <row r="9" spans="1:18" x14ac:dyDescent="0.25">
      <c r="A9" t="s">
        <v>40</v>
      </c>
      <c r="B9" s="1">
        <v>40546</v>
      </c>
      <c r="C9" s="1">
        <v>40546</v>
      </c>
      <c r="D9" t="s">
        <v>41</v>
      </c>
      <c r="E9" t="s">
        <v>42</v>
      </c>
      <c r="F9" t="s">
        <v>43</v>
      </c>
      <c r="G9" t="s">
        <v>12</v>
      </c>
      <c r="H9" t="s">
        <v>13</v>
      </c>
      <c r="I9" t="s">
        <v>14</v>
      </c>
      <c r="J9" t="s">
        <v>15</v>
      </c>
      <c r="K9" t="s">
        <v>7</v>
      </c>
      <c r="L9" t="s">
        <v>44</v>
      </c>
      <c r="M9">
        <v>276</v>
      </c>
      <c r="N9">
        <v>1</v>
      </c>
      <c r="O9">
        <v>0.1</v>
      </c>
      <c r="P9">
        <v>110.41200000000001</v>
      </c>
      <c r="Q9">
        <v>125.32</v>
      </c>
      <c r="R9" t="s">
        <v>45</v>
      </c>
    </row>
    <row r="10" spans="1:18" x14ac:dyDescent="0.25">
      <c r="A10" t="s">
        <v>46</v>
      </c>
      <c r="B10" s="1">
        <v>40546</v>
      </c>
      <c r="C10" s="1">
        <v>40552</v>
      </c>
      <c r="D10" t="s">
        <v>1</v>
      </c>
      <c r="E10" t="s">
        <v>47</v>
      </c>
      <c r="F10" t="s">
        <v>3</v>
      </c>
      <c r="G10" t="s">
        <v>48</v>
      </c>
      <c r="H10" t="s">
        <v>49</v>
      </c>
      <c r="I10" t="s">
        <v>14</v>
      </c>
      <c r="J10" t="s">
        <v>15</v>
      </c>
      <c r="K10" t="s">
        <v>38</v>
      </c>
      <c r="L10" t="s">
        <v>50</v>
      </c>
      <c r="M10">
        <v>912</v>
      </c>
      <c r="N10">
        <v>4</v>
      </c>
      <c r="O10">
        <v>0.4</v>
      </c>
      <c r="P10">
        <v>-319.464</v>
      </c>
      <c r="Q10">
        <v>107.1</v>
      </c>
      <c r="R10" t="s">
        <v>51</v>
      </c>
    </row>
    <row r="11" spans="1:18" x14ac:dyDescent="0.25">
      <c r="A11" t="s">
        <v>52</v>
      </c>
      <c r="B11" s="1">
        <v>40546</v>
      </c>
      <c r="C11" s="1">
        <v>40550</v>
      </c>
      <c r="D11" t="s">
        <v>1</v>
      </c>
      <c r="E11" t="s">
        <v>53</v>
      </c>
      <c r="F11" t="s">
        <v>43</v>
      </c>
      <c r="G11" t="s">
        <v>54</v>
      </c>
      <c r="H11" t="s">
        <v>55</v>
      </c>
      <c r="I11" t="s">
        <v>22</v>
      </c>
      <c r="J11" t="s">
        <v>22</v>
      </c>
      <c r="K11" t="s">
        <v>32</v>
      </c>
      <c r="L11" t="s">
        <v>56</v>
      </c>
      <c r="M11">
        <v>667</v>
      </c>
      <c r="N11">
        <v>4</v>
      </c>
      <c r="O11">
        <v>0</v>
      </c>
      <c r="P11">
        <v>253.32</v>
      </c>
      <c r="Q11">
        <v>81.260000000000005</v>
      </c>
      <c r="R11" t="s">
        <v>23</v>
      </c>
    </row>
    <row r="12" spans="1:18" x14ac:dyDescent="0.25">
      <c r="A12" t="s">
        <v>57</v>
      </c>
      <c r="B12" s="1">
        <v>40546</v>
      </c>
      <c r="C12" s="1">
        <v>40550</v>
      </c>
      <c r="D12" t="s">
        <v>18</v>
      </c>
      <c r="E12" t="s">
        <v>58</v>
      </c>
      <c r="F12" t="s">
        <v>3</v>
      </c>
      <c r="G12" t="s">
        <v>59</v>
      </c>
      <c r="H12" t="s">
        <v>60</v>
      </c>
      <c r="I12" t="s">
        <v>14</v>
      </c>
      <c r="J12" t="s">
        <v>61</v>
      </c>
      <c r="K12" t="s">
        <v>7</v>
      </c>
      <c r="L12" t="s">
        <v>8</v>
      </c>
      <c r="M12">
        <v>338</v>
      </c>
      <c r="N12">
        <v>3</v>
      </c>
      <c r="O12">
        <v>0.45</v>
      </c>
      <c r="P12">
        <v>-122.8005</v>
      </c>
      <c r="Q12">
        <v>33.75</v>
      </c>
      <c r="R12" t="s">
        <v>23</v>
      </c>
    </row>
    <row r="13" spans="1:18" x14ac:dyDescent="0.25">
      <c r="A13" t="s">
        <v>57</v>
      </c>
      <c r="B13" s="1">
        <v>40546</v>
      </c>
      <c r="C13" s="1">
        <v>40550</v>
      </c>
      <c r="D13" t="s">
        <v>18</v>
      </c>
      <c r="E13" t="s">
        <v>58</v>
      </c>
      <c r="F13" t="s">
        <v>3</v>
      </c>
      <c r="G13" t="s">
        <v>59</v>
      </c>
      <c r="H13" t="s">
        <v>60</v>
      </c>
      <c r="I13" t="s">
        <v>14</v>
      </c>
      <c r="J13" t="s">
        <v>61</v>
      </c>
      <c r="K13" t="s">
        <v>32</v>
      </c>
      <c r="L13" t="s">
        <v>62</v>
      </c>
      <c r="M13">
        <v>211</v>
      </c>
      <c r="N13">
        <v>1</v>
      </c>
      <c r="O13">
        <v>0.55000000000000004</v>
      </c>
      <c r="P13">
        <v>-70.399500000000003</v>
      </c>
      <c r="Q13">
        <v>21.32</v>
      </c>
      <c r="R13" t="s">
        <v>23</v>
      </c>
    </row>
    <row r="14" spans="1:18" x14ac:dyDescent="0.25">
      <c r="A14" t="s">
        <v>63</v>
      </c>
      <c r="B14" s="1">
        <v>40546</v>
      </c>
      <c r="C14" s="1">
        <v>40550</v>
      </c>
      <c r="D14" t="s">
        <v>1</v>
      </c>
      <c r="E14" t="s">
        <v>64</v>
      </c>
      <c r="F14" t="s">
        <v>3</v>
      </c>
      <c r="G14" t="s">
        <v>65</v>
      </c>
      <c r="H14" t="s">
        <v>66</v>
      </c>
      <c r="I14" t="s">
        <v>29</v>
      </c>
      <c r="J14" t="s">
        <v>30</v>
      </c>
      <c r="K14" t="s">
        <v>32</v>
      </c>
      <c r="L14" t="s">
        <v>67</v>
      </c>
      <c r="M14">
        <v>854</v>
      </c>
      <c r="N14">
        <v>7</v>
      </c>
      <c r="O14">
        <v>0</v>
      </c>
      <c r="P14">
        <v>290.43</v>
      </c>
      <c r="Q14">
        <v>12.56</v>
      </c>
      <c r="R14" t="s">
        <v>9</v>
      </c>
    </row>
    <row r="15" spans="1:18" x14ac:dyDescent="0.25">
      <c r="A15" t="s">
        <v>68</v>
      </c>
      <c r="B15" s="1">
        <v>40546</v>
      </c>
      <c r="C15" s="1">
        <v>40552</v>
      </c>
      <c r="D15" t="s">
        <v>1</v>
      </c>
      <c r="E15" t="s">
        <v>69</v>
      </c>
      <c r="F15" t="s">
        <v>26</v>
      </c>
      <c r="G15" t="s">
        <v>70</v>
      </c>
      <c r="H15" t="s">
        <v>71</v>
      </c>
      <c r="I15" t="s">
        <v>14</v>
      </c>
      <c r="J15" t="s">
        <v>61</v>
      </c>
      <c r="K15" t="s">
        <v>38</v>
      </c>
      <c r="L15" t="s">
        <v>50</v>
      </c>
      <c r="M15">
        <v>193</v>
      </c>
      <c r="N15">
        <v>1</v>
      </c>
      <c r="O15">
        <v>0</v>
      </c>
      <c r="P15">
        <v>50.13</v>
      </c>
      <c r="Q15">
        <v>10.4</v>
      </c>
      <c r="R15" t="s">
        <v>9</v>
      </c>
    </row>
    <row r="16" spans="1:18" x14ac:dyDescent="0.25">
      <c r="A16" t="s">
        <v>46</v>
      </c>
      <c r="B16" s="1">
        <v>40546</v>
      </c>
      <c r="C16" s="1">
        <v>40552</v>
      </c>
      <c r="D16" t="s">
        <v>1</v>
      </c>
      <c r="E16" t="s">
        <v>47</v>
      </c>
      <c r="F16" t="s">
        <v>3</v>
      </c>
      <c r="G16" t="s">
        <v>48</v>
      </c>
      <c r="H16" t="s">
        <v>49</v>
      </c>
      <c r="I16" t="s">
        <v>14</v>
      </c>
      <c r="J16" t="s">
        <v>15</v>
      </c>
      <c r="K16" t="s">
        <v>32</v>
      </c>
      <c r="L16" t="s">
        <v>56</v>
      </c>
      <c r="M16">
        <v>159</v>
      </c>
      <c r="N16">
        <v>2</v>
      </c>
      <c r="O16">
        <v>0.4</v>
      </c>
      <c r="P16">
        <v>-95.676000000000002</v>
      </c>
      <c r="Q16">
        <v>10.07</v>
      </c>
      <c r="R16" t="s">
        <v>51</v>
      </c>
    </row>
    <row r="17" spans="1:18" x14ac:dyDescent="0.25">
      <c r="A17" t="s">
        <v>72</v>
      </c>
      <c r="B17" s="1">
        <v>40546</v>
      </c>
      <c r="C17" s="1">
        <v>40550</v>
      </c>
      <c r="D17" t="s">
        <v>1</v>
      </c>
      <c r="E17" t="s">
        <v>73</v>
      </c>
      <c r="F17" t="s">
        <v>3</v>
      </c>
      <c r="G17" t="s">
        <v>74</v>
      </c>
      <c r="H17" t="s">
        <v>74</v>
      </c>
      <c r="I17" t="s">
        <v>75</v>
      </c>
      <c r="J17" t="s">
        <v>76</v>
      </c>
      <c r="K17" t="s">
        <v>38</v>
      </c>
      <c r="L17" t="s">
        <v>77</v>
      </c>
      <c r="M17">
        <v>195</v>
      </c>
      <c r="N17">
        <v>4</v>
      </c>
      <c r="O17">
        <v>0</v>
      </c>
      <c r="P17">
        <v>44.88</v>
      </c>
      <c r="Q17">
        <v>8.43</v>
      </c>
      <c r="R17" t="s">
        <v>9</v>
      </c>
    </row>
    <row r="18" spans="1:18" x14ac:dyDescent="0.25">
      <c r="A18" t="s">
        <v>78</v>
      </c>
      <c r="B18" s="1">
        <v>40546</v>
      </c>
      <c r="C18" s="1">
        <v>40550</v>
      </c>
      <c r="D18" t="s">
        <v>1</v>
      </c>
      <c r="E18" t="s">
        <v>79</v>
      </c>
      <c r="F18" t="s">
        <v>3</v>
      </c>
      <c r="G18" t="s">
        <v>80</v>
      </c>
      <c r="H18" t="s">
        <v>81</v>
      </c>
      <c r="I18" t="s">
        <v>22</v>
      </c>
      <c r="J18" t="s">
        <v>22</v>
      </c>
      <c r="K18" t="s">
        <v>7</v>
      </c>
      <c r="L18" t="s">
        <v>44</v>
      </c>
      <c r="M18">
        <v>123</v>
      </c>
      <c r="N18">
        <v>2</v>
      </c>
      <c r="O18">
        <v>0</v>
      </c>
      <c r="P18">
        <v>42.9</v>
      </c>
      <c r="Q18">
        <v>8.41</v>
      </c>
      <c r="R18" t="s">
        <v>9</v>
      </c>
    </row>
    <row r="19" spans="1:18" x14ac:dyDescent="0.25">
      <c r="A19" t="s">
        <v>46</v>
      </c>
      <c r="B19" s="1">
        <v>40546</v>
      </c>
      <c r="C19" s="1">
        <v>40552</v>
      </c>
      <c r="D19" t="s">
        <v>1</v>
      </c>
      <c r="E19" t="s">
        <v>47</v>
      </c>
      <c r="F19" t="s">
        <v>3</v>
      </c>
      <c r="G19" t="s">
        <v>48</v>
      </c>
      <c r="H19" t="s">
        <v>49</v>
      </c>
      <c r="I19" t="s">
        <v>14</v>
      </c>
      <c r="J19" t="s">
        <v>15</v>
      </c>
      <c r="K19" t="s">
        <v>38</v>
      </c>
      <c r="L19" t="s">
        <v>82</v>
      </c>
      <c r="M19">
        <v>69</v>
      </c>
      <c r="N19">
        <v>2</v>
      </c>
      <c r="O19">
        <v>0.4</v>
      </c>
      <c r="P19">
        <v>3.42</v>
      </c>
      <c r="Q19">
        <v>8.34</v>
      </c>
      <c r="R19" t="s">
        <v>51</v>
      </c>
    </row>
    <row r="20" spans="1:18" x14ac:dyDescent="0.25">
      <c r="A20" t="s">
        <v>46</v>
      </c>
      <c r="B20" s="1">
        <v>40546</v>
      </c>
      <c r="C20" s="1">
        <v>40552</v>
      </c>
      <c r="D20" t="s">
        <v>1</v>
      </c>
      <c r="E20" t="s">
        <v>47</v>
      </c>
      <c r="F20" t="s">
        <v>3</v>
      </c>
      <c r="G20" t="s">
        <v>48</v>
      </c>
      <c r="H20" t="s">
        <v>49</v>
      </c>
      <c r="I20" t="s">
        <v>14</v>
      </c>
      <c r="J20" t="s">
        <v>15</v>
      </c>
      <c r="K20" t="s">
        <v>32</v>
      </c>
      <c r="L20" t="s">
        <v>56</v>
      </c>
      <c r="M20">
        <v>69</v>
      </c>
      <c r="N20">
        <v>2</v>
      </c>
      <c r="O20">
        <v>0.4</v>
      </c>
      <c r="P20">
        <v>-26.411999999999999</v>
      </c>
      <c r="Q20">
        <v>8.17</v>
      </c>
      <c r="R20" t="s">
        <v>51</v>
      </c>
    </row>
    <row r="21" spans="1:18" x14ac:dyDescent="0.25">
      <c r="A21" t="s">
        <v>83</v>
      </c>
      <c r="B21" s="1">
        <v>40546</v>
      </c>
      <c r="C21" s="1">
        <v>40551</v>
      </c>
      <c r="D21" t="s">
        <v>1</v>
      </c>
      <c r="E21" t="s">
        <v>84</v>
      </c>
      <c r="F21" t="s">
        <v>3</v>
      </c>
      <c r="G21" t="s">
        <v>85</v>
      </c>
      <c r="H21" t="s">
        <v>86</v>
      </c>
      <c r="I21" t="s">
        <v>14</v>
      </c>
      <c r="J21" t="s">
        <v>61</v>
      </c>
      <c r="K21" t="s">
        <v>7</v>
      </c>
      <c r="L21" t="s">
        <v>8</v>
      </c>
      <c r="M21">
        <v>135</v>
      </c>
      <c r="N21">
        <v>2</v>
      </c>
      <c r="O21">
        <v>0.47</v>
      </c>
      <c r="P21">
        <v>-45.901800000000001</v>
      </c>
      <c r="Q21">
        <v>7.74</v>
      </c>
      <c r="R21" t="s">
        <v>9</v>
      </c>
    </row>
    <row r="22" spans="1:18" x14ac:dyDescent="0.25">
      <c r="A22" t="s">
        <v>40</v>
      </c>
      <c r="B22" s="1">
        <v>40546</v>
      </c>
      <c r="C22" s="1">
        <v>40546</v>
      </c>
      <c r="D22" t="s">
        <v>41</v>
      </c>
      <c r="E22" t="s">
        <v>42</v>
      </c>
      <c r="F22" t="s">
        <v>43</v>
      </c>
      <c r="G22" t="s">
        <v>12</v>
      </c>
      <c r="H22" t="s">
        <v>13</v>
      </c>
      <c r="I22" t="s">
        <v>14</v>
      </c>
      <c r="J22" t="s">
        <v>15</v>
      </c>
      <c r="K22" t="s">
        <v>7</v>
      </c>
      <c r="L22" t="s">
        <v>87</v>
      </c>
      <c r="M22">
        <v>36</v>
      </c>
      <c r="N22">
        <v>3</v>
      </c>
      <c r="O22">
        <v>0.1</v>
      </c>
      <c r="P22">
        <v>4.7430000000000003</v>
      </c>
      <c r="Q22">
        <v>7.46</v>
      </c>
      <c r="R22" t="s">
        <v>45</v>
      </c>
    </row>
    <row r="23" spans="1:18" x14ac:dyDescent="0.25">
      <c r="A23" t="s">
        <v>88</v>
      </c>
      <c r="B23" s="1">
        <v>40546</v>
      </c>
      <c r="C23" s="1">
        <v>40551</v>
      </c>
      <c r="D23" t="s">
        <v>18</v>
      </c>
      <c r="E23" t="s">
        <v>89</v>
      </c>
      <c r="F23" t="s">
        <v>43</v>
      </c>
      <c r="G23" t="s">
        <v>90</v>
      </c>
      <c r="H23" t="s">
        <v>81</v>
      </c>
      <c r="I23" t="s">
        <v>22</v>
      </c>
      <c r="J23" t="s">
        <v>22</v>
      </c>
      <c r="K23" t="s">
        <v>7</v>
      </c>
      <c r="L23" t="s">
        <v>91</v>
      </c>
      <c r="M23">
        <v>52</v>
      </c>
      <c r="N23">
        <v>1</v>
      </c>
      <c r="O23">
        <v>0</v>
      </c>
      <c r="P23">
        <v>7.77</v>
      </c>
      <c r="Q23">
        <v>5.91</v>
      </c>
      <c r="R23" t="s">
        <v>23</v>
      </c>
    </row>
    <row r="24" spans="1:18" x14ac:dyDescent="0.25">
      <c r="A24" t="s">
        <v>78</v>
      </c>
      <c r="B24" s="1">
        <v>40546</v>
      </c>
      <c r="C24" s="1">
        <v>40550</v>
      </c>
      <c r="D24" t="s">
        <v>1</v>
      </c>
      <c r="E24" t="s">
        <v>79</v>
      </c>
      <c r="F24" t="s">
        <v>3</v>
      </c>
      <c r="G24" t="s">
        <v>80</v>
      </c>
      <c r="H24" t="s">
        <v>81</v>
      </c>
      <c r="I24" t="s">
        <v>22</v>
      </c>
      <c r="J24" t="s">
        <v>22</v>
      </c>
      <c r="K24" t="s">
        <v>7</v>
      </c>
      <c r="L24" t="s">
        <v>8</v>
      </c>
      <c r="M24">
        <v>62</v>
      </c>
      <c r="N24">
        <v>2</v>
      </c>
      <c r="O24">
        <v>0</v>
      </c>
      <c r="P24">
        <v>8.6999999999999993</v>
      </c>
      <c r="Q24">
        <v>5.16</v>
      </c>
      <c r="R24" t="s">
        <v>9</v>
      </c>
    </row>
    <row r="25" spans="1:18" x14ac:dyDescent="0.25">
      <c r="A25" t="s">
        <v>92</v>
      </c>
      <c r="B25" s="1">
        <v>40546</v>
      </c>
      <c r="C25" s="1">
        <v>40551</v>
      </c>
      <c r="D25" t="s">
        <v>1</v>
      </c>
      <c r="E25" t="s">
        <v>93</v>
      </c>
      <c r="F25" t="s">
        <v>3</v>
      </c>
      <c r="G25" t="s">
        <v>94</v>
      </c>
      <c r="H25" t="s">
        <v>95</v>
      </c>
      <c r="I25" t="s">
        <v>6</v>
      </c>
      <c r="J25" t="s">
        <v>6</v>
      </c>
      <c r="K25" t="s">
        <v>7</v>
      </c>
      <c r="L25" t="s">
        <v>16</v>
      </c>
      <c r="M25">
        <v>81</v>
      </c>
      <c r="N25">
        <v>4</v>
      </c>
      <c r="O25">
        <v>0</v>
      </c>
      <c r="P25">
        <v>26.76</v>
      </c>
      <c r="Q25">
        <v>5.1100000000000003</v>
      </c>
      <c r="R25" t="s">
        <v>9</v>
      </c>
    </row>
    <row r="26" spans="1:18" x14ac:dyDescent="0.25">
      <c r="A26" t="s">
        <v>52</v>
      </c>
      <c r="B26" s="1">
        <v>40546</v>
      </c>
      <c r="C26" s="1">
        <v>40550</v>
      </c>
      <c r="D26" t="s">
        <v>1</v>
      </c>
      <c r="E26" t="s">
        <v>53</v>
      </c>
      <c r="F26" t="s">
        <v>43</v>
      </c>
      <c r="G26" t="s">
        <v>54</v>
      </c>
      <c r="H26" t="s">
        <v>55</v>
      </c>
      <c r="I26" t="s">
        <v>22</v>
      </c>
      <c r="J26" t="s">
        <v>22</v>
      </c>
      <c r="K26" t="s">
        <v>7</v>
      </c>
      <c r="L26" t="s">
        <v>96</v>
      </c>
      <c r="M26">
        <v>47</v>
      </c>
      <c r="N26">
        <v>1</v>
      </c>
      <c r="O26">
        <v>0</v>
      </c>
      <c r="P26">
        <v>17.07</v>
      </c>
      <c r="Q26">
        <v>3.57</v>
      </c>
      <c r="R26" t="s">
        <v>23</v>
      </c>
    </row>
    <row r="27" spans="1:18" x14ac:dyDescent="0.25">
      <c r="A27" t="s">
        <v>57</v>
      </c>
      <c r="B27" s="1">
        <v>40546</v>
      </c>
      <c r="C27" s="1">
        <v>40550</v>
      </c>
      <c r="D27" t="s">
        <v>18</v>
      </c>
      <c r="E27" t="s">
        <v>58</v>
      </c>
      <c r="F27" t="s">
        <v>3</v>
      </c>
      <c r="G27" t="s">
        <v>59</v>
      </c>
      <c r="H27" t="s">
        <v>60</v>
      </c>
      <c r="I27" t="s">
        <v>14</v>
      </c>
      <c r="J27" t="s">
        <v>61</v>
      </c>
      <c r="K27" t="s">
        <v>7</v>
      </c>
      <c r="L27" t="s">
        <v>97</v>
      </c>
      <c r="M27">
        <v>6</v>
      </c>
      <c r="N27">
        <v>1</v>
      </c>
      <c r="O27">
        <v>0.45</v>
      </c>
      <c r="P27">
        <v>0.54600000000000004</v>
      </c>
      <c r="Q27">
        <v>0.8</v>
      </c>
      <c r="R27" t="s">
        <v>23</v>
      </c>
    </row>
    <row r="28" spans="1:18" x14ac:dyDescent="0.25">
      <c r="A28" t="s">
        <v>78</v>
      </c>
      <c r="B28" s="1">
        <v>40546</v>
      </c>
      <c r="C28" s="1">
        <v>40550</v>
      </c>
      <c r="D28" t="s">
        <v>1</v>
      </c>
      <c r="E28" t="s">
        <v>79</v>
      </c>
      <c r="F28" t="s">
        <v>3</v>
      </c>
      <c r="G28" t="s">
        <v>80</v>
      </c>
      <c r="H28" t="s">
        <v>81</v>
      </c>
      <c r="I28" t="s">
        <v>22</v>
      </c>
      <c r="J28" t="s">
        <v>22</v>
      </c>
      <c r="K28" t="s">
        <v>7</v>
      </c>
      <c r="L28" t="s">
        <v>97</v>
      </c>
      <c r="M28">
        <v>17</v>
      </c>
      <c r="N28">
        <v>1</v>
      </c>
      <c r="O28">
        <v>0</v>
      </c>
      <c r="P28">
        <v>4.17</v>
      </c>
      <c r="Q28">
        <v>0.54</v>
      </c>
      <c r="R28" t="s">
        <v>9</v>
      </c>
    </row>
    <row r="29" spans="1:18" x14ac:dyDescent="0.25">
      <c r="A29" t="s">
        <v>98</v>
      </c>
      <c r="B29" s="1">
        <v>40547</v>
      </c>
      <c r="C29" s="1">
        <v>40552</v>
      </c>
      <c r="D29" t="s">
        <v>18</v>
      </c>
      <c r="E29" t="s">
        <v>99</v>
      </c>
      <c r="F29" t="s">
        <v>3</v>
      </c>
      <c r="G29" t="s">
        <v>100</v>
      </c>
      <c r="H29" t="s">
        <v>101</v>
      </c>
      <c r="I29" t="s">
        <v>75</v>
      </c>
      <c r="J29" t="s">
        <v>102</v>
      </c>
      <c r="K29" t="s">
        <v>32</v>
      </c>
      <c r="L29" t="s">
        <v>67</v>
      </c>
      <c r="M29" s="2">
        <v>1648</v>
      </c>
      <c r="N29">
        <v>6</v>
      </c>
      <c r="O29">
        <v>0</v>
      </c>
      <c r="P29">
        <v>609.84</v>
      </c>
      <c r="Q29">
        <v>109.13</v>
      </c>
      <c r="R29" t="s">
        <v>9</v>
      </c>
    </row>
    <row r="30" spans="1:18" x14ac:dyDescent="0.25">
      <c r="A30" t="s">
        <v>103</v>
      </c>
      <c r="B30" s="1">
        <v>40547</v>
      </c>
      <c r="C30" s="1">
        <v>40552</v>
      </c>
      <c r="D30" t="s">
        <v>1</v>
      </c>
      <c r="E30" t="s">
        <v>104</v>
      </c>
      <c r="F30" t="s">
        <v>43</v>
      </c>
      <c r="G30" t="s">
        <v>105</v>
      </c>
      <c r="H30" t="s">
        <v>106</v>
      </c>
      <c r="I30" t="s">
        <v>75</v>
      </c>
      <c r="J30" t="s">
        <v>30</v>
      </c>
      <c r="K30" t="s">
        <v>38</v>
      </c>
      <c r="L30" t="s">
        <v>82</v>
      </c>
      <c r="M30">
        <v>223</v>
      </c>
      <c r="N30">
        <v>4</v>
      </c>
      <c r="O30">
        <v>0</v>
      </c>
      <c r="P30">
        <v>13.28</v>
      </c>
      <c r="Q30">
        <v>42.28</v>
      </c>
      <c r="R30" t="s">
        <v>23</v>
      </c>
    </row>
    <row r="31" spans="1:18" x14ac:dyDescent="0.25">
      <c r="A31" t="s">
        <v>107</v>
      </c>
      <c r="B31" s="1">
        <v>40547</v>
      </c>
      <c r="C31" s="1">
        <v>40554</v>
      </c>
      <c r="D31" t="s">
        <v>1</v>
      </c>
      <c r="E31" t="s">
        <v>108</v>
      </c>
      <c r="F31" t="s">
        <v>26</v>
      </c>
      <c r="G31" t="s">
        <v>109</v>
      </c>
      <c r="H31" t="s">
        <v>110</v>
      </c>
      <c r="I31" t="s">
        <v>75</v>
      </c>
      <c r="J31" t="s">
        <v>111</v>
      </c>
      <c r="K31" t="s">
        <v>7</v>
      </c>
      <c r="L31" t="s">
        <v>96</v>
      </c>
      <c r="M31">
        <v>186</v>
      </c>
      <c r="N31">
        <v>6</v>
      </c>
      <c r="O31">
        <v>0</v>
      </c>
      <c r="P31">
        <v>3.6</v>
      </c>
      <c r="Q31">
        <v>16.39</v>
      </c>
      <c r="R31" t="s">
        <v>9</v>
      </c>
    </row>
    <row r="32" spans="1:18" x14ac:dyDescent="0.25">
      <c r="A32" t="s">
        <v>112</v>
      </c>
      <c r="B32" s="1">
        <v>40547</v>
      </c>
      <c r="C32" s="1">
        <v>40551</v>
      </c>
      <c r="D32" t="s">
        <v>1</v>
      </c>
      <c r="E32" t="s">
        <v>113</v>
      </c>
      <c r="F32" t="s">
        <v>3</v>
      </c>
      <c r="G32" t="s">
        <v>114</v>
      </c>
      <c r="H32" t="s">
        <v>115</v>
      </c>
      <c r="I32" t="s">
        <v>29</v>
      </c>
      <c r="J32" t="s">
        <v>76</v>
      </c>
      <c r="K32" t="s">
        <v>7</v>
      </c>
      <c r="L32" t="s">
        <v>91</v>
      </c>
      <c r="M32">
        <v>140</v>
      </c>
      <c r="N32">
        <v>3</v>
      </c>
      <c r="O32">
        <v>0</v>
      </c>
      <c r="P32">
        <v>20.88</v>
      </c>
      <c r="Q32">
        <v>10.78</v>
      </c>
      <c r="R32" t="s">
        <v>9</v>
      </c>
    </row>
    <row r="33" spans="1:18" x14ac:dyDescent="0.25">
      <c r="A33" t="s">
        <v>98</v>
      </c>
      <c r="B33" s="1">
        <v>40547</v>
      </c>
      <c r="C33" s="1">
        <v>40552</v>
      </c>
      <c r="D33" t="s">
        <v>18</v>
      </c>
      <c r="E33" t="s">
        <v>99</v>
      </c>
      <c r="F33" t="s">
        <v>3</v>
      </c>
      <c r="G33" t="s">
        <v>100</v>
      </c>
      <c r="H33" t="s">
        <v>101</v>
      </c>
      <c r="I33" t="s">
        <v>75</v>
      </c>
      <c r="J33" t="s">
        <v>102</v>
      </c>
      <c r="K33" t="s">
        <v>7</v>
      </c>
      <c r="L33" t="s">
        <v>16</v>
      </c>
      <c r="M33">
        <v>149</v>
      </c>
      <c r="N33">
        <v>8</v>
      </c>
      <c r="O33">
        <v>0</v>
      </c>
      <c r="P33">
        <v>28.16</v>
      </c>
      <c r="Q33">
        <v>10.38</v>
      </c>
      <c r="R33" t="s">
        <v>9</v>
      </c>
    </row>
    <row r="34" spans="1:18" x14ac:dyDescent="0.25">
      <c r="A34" t="s">
        <v>103</v>
      </c>
      <c r="B34" s="1">
        <v>40547</v>
      </c>
      <c r="C34" s="1">
        <v>40552</v>
      </c>
      <c r="D34" t="s">
        <v>1</v>
      </c>
      <c r="E34" t="s">
        <v>104</v>
      </c>
      <c r="F34" t="s">
        <v>43</v>
      </c>
      <c r="G34" t="s">
        <v>105</v>
      </c>
      <c r="H34" t="s">
        <v>106</v>
      </c>
      <c r="I34" t="s">
        <v>75</v>
      </c>
      <c r="J34" t="s">
        <v>30</v>
      </c>
      <c r="K34" t="s">
        <v>38</v>
      </c>
      <c r="L34" t="s">
        <v>50</v>
      </c>
      <c r="M34">
        <v>166</v>
      </c>
      <c r="N34">
        <v>2</v>
      </c>
      <c r="O34">
        <v>2E-3</v>
      </c>
      <c r="P34">
        <v>49.428240000000002</v>
      </c>
      <c r="Q34">
        <v>9.5399999999999991</v>
      </c>
      <c r="R34" t="s">
        <v>23</v>
      </c>
    </row>
    <row r="35" spans="1:18" x14ac:dyDescent="0.25">
      <c r="A35" t="s">
        <v>116</v>
      </c>
      <c r="B35" s="1">
        <v>40547</v>
      </c>
      <c r="C35" s="1">
        <v>40554</v>
      </c>
      <c r="D35" t="s">
        <v>1</v>
      </c>
      <c r="E35" t="s">
        <v>108</v>
      </c>
      <c r="F35" t="s">
        <v>26</v>
      </c>
      <c r="G35" t="s">
        <v>117</v>
      </c>
      <c r="H35" t="s">
        <v>101</v>
      </c>
      <c r="I35" t="s">
        <v>75</v>
      </c>
      <c r="J35" t="s">
        <v>102</v>
      </c>
      <c r="K35" t="s">
        <v>7</v>
      </c>
      <c r="L35" t="s">
        <v>96</v>
      </c>
      <c r="M35">
        <v>74</v>
      </c>
      <c r="N35">
        <v>6</v>
      </c>
      <c r="O35">
        <v>0.6</v>
      </c>
      <c r="P35">
        <v>-107.85599999999999</v>
      </c>
      <c r="Q35">
        <v>7.04</v>
      </c>
      <c r="R35" t="s">
        <v>9</v>
      </c>
    </row>
    <row r="36" spans="1:18" x14ac:dyDescent="0.25">
      <c r="A36" t="s">
        <v>118</v>
      </c>
      <c r="B36" s="1">
        <v>40547</v>
      </c>
      <c r="C36" s="1">
        <v>40551</v>
      </c>
      <c r="D36" t="s">
        <v>1</v>
      </c>
      <c r="E36" t="s">
        <v>119</v>
      </c>
      <c r="F36" t="s">
        <v>26</v>
      </c>
      <c r="G36" t="s">
        <v>120</v>
      </c>
      <c r="H36" t="s">
        <v>110</v>
      </c>
      <c r="I36" t="s">
        <v>75</v>
      </c>
      <c r="J36" t="s">
        <v>111</v>
      </c>
      <c r="K36" t="s">
        <v>32</v>
      </c>
      <c r="L36" t="s">
        <v>56</v>
      </c>
      <c r="M36">
        <v>38</v>
      </c>
      <c r="N36">
        <v>1</v>
      </c>
      <c r="O36">
        <v>0</v>
      </c>
      <c r="P36">
        <v>6.88</v>
      </c>
      <c r="Q36">
        <v>4.25</v>
      </c>
      <c r="R36" t="s">
        <v>9</v>
      </c>
    </row>
    <row r="37" spans="1:18" x14ac:dyDescent="0.25">
      <c r="A37" t="s">
        <v>118</v>
      </c>
      <c r="B37" s="1">
        <v>40547</v>
      </c>
      <c r="C37" s="1">
        <v>40551</v>
      </c>
      <c r="D37" t="s">
        <v>1</v>
      </c>
      <c r="E37" t="s">
        <v>119</v>
      </c>
      <c r="F37" t="s">
        <v>26</v>
      </c>
      <c r="G37" t="s">
        <v>120</v>
      </c>
      <c r="H37" t="s">
        <v>110</v>
      </c>
      <c r="I37" t="s">
        <v>75</v>
      </c>
      <c r="J37" t="s">
        <v>111</v>
      </c>
      <c r="K37" t="s">
        <v>38</v>
      </c>
      <c r="L37" t="s">
        <v>82</v>
      </c>
      <c r="M37">
        <v>38</v>
      </c>
      <c r="N37">
        <v>2</v>
      </c>
      <c r="O37">
        <v>0</v>
      </c>
      <c r="P37">
        <v>2.2400000000000002</v>
      </c>
      <c r="Q37">
        <v>3.94</v>
      </c>
      <c r="R37" t="s">
        <v>9</v>
      </c>
    </row>
    <row r="38" spans="1:18" x14ac:dyDescent="0.25">
      <c r="A38" t="s">
        <v>118</v>
      </c>
      <c r="B38" s="1">
        <v>40547</v>
      </c>
      <c r="C38" s="1">
        <v>40551</v>
      </c>
      <c r="D38" t="s">
        <v>1</v>
      </c>
      <c r="E38" t="s">
        <v>119</v>
      </c>
      <c r="F38" t="s">
        <v>26</v>
      </c>
      <c r="G38" t="s">
        <v>120</v>
      </c>
      <c r="H38" t="s">
        <v>110</v>
      </c>
      <c r="I38" t="s">
        <v>75</v>
      </c>
      <c r="J38" t="s">
        <v>111</v>
      </c>
      <c r="K38" t="s">
        <v>7</v>
      </c>
      <c r="L38" t="s">
        <v>96</v>
      </c>
      <c r="M38">
        <v>39</v>
      </c>
      <c r="N38">
        <v>3</v>
      </c>
      <c r="O38">
        <v>0</v>
      </c>
      <c r="P38">
        <v>7.68</v>
      </c>
      <c r="Q38">
        <v>3.51</v>
      </c>
      <c r="R38" t="s">
        <v>9</v>
      </c>
    </row>
    <row r="39" spans="1:18" x14ac:dyDescent="0.25">
      <c r="A39" t="s">
        <v>121</v>
      </c>
      <c r="B39" s="1">
        <v>40547</v>
      </c>
      <c r="C39" s="1">
        <v>40552</v>
      </c>
      <c r="D39" t="s">
        <v>1</v>
      </c>
      <c r="E39" t="s">
        <v>122</v>
      </c>
      <c r="F39" t="s">
        <v>43</v>
      </c>
      <c r="G39" t="s">
        <v>65</v>
      </c>
      <c r="H39" t="s">
        <v>66</v>
      </c>
      <c r="I39" t="s">
        <v>29</v>
      </c>
      <c r="J39" t="s">
        <v>30</v>
      </c>
      <c r="K39" t="s">
        <v>7</v>
      </c>
      <c r="L39" t="s">
        <v>91</v>
      </c>
      <c r="M39">
        <v>27</v>
      </c>
      <c r="N39">
        <v>2</v>
      </c>
      <c r="O39">
        <v>0.5</v>
      </c>
      <c r="P39">
        <v>-21.9</v>
      </c>
      <c r="Q39">
        <v>2.11</v>
      </c>
      <c r="R39" t="s">
        <v>9</v>
      </c>
    </row>
    <row r="40" spans="1:18" x14ac:dyDescent="0.25">
      <c r="A40" t="s">
        <v>123</v>
      </c>
      <c r="B40" s="1">
        <v>40547</v>
      </c>
      <c r="C40" s="1">
        <v>40551</v>
      </c>
      <c r="D40" t="s">
        <v>1</v>
      </c>
      <c r="E40" t="s">
        <v>124</v>
      </c>
      <c r="F40" t="s">
        <v>3</v>
      </c>
      <c r="G40" t="s">
        <v>125</v>
      </c>
      <c r="H40" t="s">
        <v>126</v>
      </c>
      <c r="I40" t="s">
        <v>127</v>
      </c>
      <c r="J40" t="s">
        <v>76</v>
      </c>
      <c r="K40" t="s">
        <v>7</v>
      </c>
      <c r="L40" t="s">
        <v>31</v>
      </c>
      <c r="M40">
        <v>16</v>
      </c>
      <c r="N40">
        <v>2</v>
      </c>
      <c r="O40">
        <v>0.2</v>
      </c>
      <c r="P40">
        <v>5.5511999999999997</v>
      </c>
      <c r="Q40">
        <v>1.82</v>
      </c>
      <c r="R40" t="s">
        <v>23</v>
      </c>
    </row>
    <row r="41" spans="1:18" x14ac:dyDescent="0.25">
      <c r="A41" t="s">
        <v>128</v>
      </c>
      <c r="B41" s="1">
        <v>40547</v>
      </c>
      <c r="C41" s="1">
        <v>40551</v>
      </c>
      <c r="D41" t="s">
        <v>1</v>
      </c>
      <c r="E41" t="s">
        <v>129</v>
      </c>
      <c r="F41" t="s">
        <v>3</v>
      </c>
      <c r="G41" t="s">
        <v>130</v>
      </c>
      <c r="H41" t="s">
        <v>131</v>
      </c>
      <c r="I41" t="s">
        <v>14</v>
      </c>
      <c r="J41" t="s">
        <v>132</v>
      </c>
      <c r="K41" t="s">
        <v>7</v>
      </c>
      <c r="L41" t="s">
        <v>87</v>
      </c>
      <c r="M41">
        <v>27</v>
      </c>
      <c r="N41">
        <v>3</v>
      </c>
      <c r="O41">
        <v>0</v>
      </c>
      <c r="P41">
        <v>13.68</v>
      </c>
      <c r="Q41">
        <v>1.54</v>
      </c>
      <c r="R41" t="s">
        <v>9</v>
      </c>
    </row>
    <row r="42" spans="1:18" x14ac:dyDescent="0.25">
      <c r="A42" t="s">
        <v>121</v>
      </c>
      <c r="B42" s="1">
        <v>40547</v>
      </c>
      <c r="C42" s="1">
        <v>40552</v>
      </c>
      <c r="D42" t="s">
        <v>1</v>
      </c>
      <c r="E42" t="s">
        <v>122</v>
      </c>
      <c r="F42" t="s">
        <v>43</v>
      </c>
      <c r="G42" t="s">
        <v>65</v>
      </c>
      <c r="H42" t="s">
        <v>66</v>
      </c>
      <c r="I42" t="s">
        <v>29</v>
      </c>
      <c r="J42" t="s">
        <v>30</v>
      </c>
      <c r="K42" t="s">
        <v>7</v>
      </c>
      <c r="L42" t="s">
        <v>8</v>
      </c>
      <c r="M42">
        <v>17</v>
      </c>
      <c r="N42">
        <v>2</v>
      </c>
      <c r="O42">
        <v>0.5</v>
      </c>
      <c r="P42">
        <v>-1.05</v>
      </c>
      <c r="Q42">
        <v>0.9</v>
      </c>
      <c r="R42" t="s">
        <v>9</v>
      </c>
    </row>
    <row r="43" spans="1:18" x14ac:dyDescent="0.25">
      <c r="A43" t="s">
        <v>133</v>
      </c>
      <c r="B43" s="1">
        <v>40547</v>
      </c>
      <c r="C43" s="1">
        <v>40551</v>
      </c>
      <c r="D43" t="s">
        <v>1</v>
      </c>
      <c r="E43" t="s">
        <v>134</v>
      </c>
      <c r="F43" t="s">
        <v>3</v>
      </c>
      <c r="G43" t="s">
        <v>135</v>
      </c>
      <c r="H43" t="s">
        <v>136</v>
      </c>
      <c r="I43" t="s">
        <v>6</v>
      </c>
      <c r="J43" t="s">
        <v>6</v>
      </c>
      <c r="K43" t="s">
        <v>7</v>
      </c>
      <c r="L43" t="s">
        <v>91</v>
      </c>
      <c r="M43">
        <v>15</v>
      </c>
      <c r="N43">
        <v>1</v>
      </c>
      <c r="O43">
        <v>0</v>
      </c>
      <c r="P43">
        <v>2.61</v>
      </c>
      <c r="Q43">
        <v>0.82</v>
      </c>
      <c r="R43" t="s">
        <v>9</v>
      </c>
    </row>
    <row r="44" spans="1:18" x14ac:dyDescent="0.25">
      <c r="A44" t="s">
        <v>133</v>
      </c>
      <c r="B44" s="1">
        <v>40547</v>
      </c>
      <c r="C44" s="1">
        <v>40551</v>
      </c>
      <c r="D44" t="s">
        <v>1</v>
      </c>
      <c r="E44" t="s">
        <v>134</v>
      </c>
      <c r="F44" t="s">
        <v>3</v>
      </c>
      <c r="G44" t="s">
        <v>135</v>
      </c>
      <c r="H44" t="s">
        <v>136</v>
      </c>
      <c r="I44" t="s">
        <v>6</v>
      </c>
      <c r="J44" t="s">
        <v>6</v>
      </c>
      <c r="K44" t="s">
        <v>7</v>
      </c>
      <c r="L44" t="s">
        <v>137</v>
      </c>
      <c r="M44">
        <v>6</v>
      </c>
      <c r="N44">
        <v>1</v>
      </c>
      <c r="O44">
        <v>0</v>
      </c>
      <c r="P44">
        <v>2.1</v>
      </c>
      <c r="Q44">
        <v>0.51</v>
      </c>
      <c r="R44" t="s">
        <v>9</v>
      </c>
    </row>
    <row r="45" spans="1:18" x14ac:dyDescent="0.25">
      <c r="A45" t="s">
        <v>138</v>
      </c>
      <c r="B45" s="1">
        <v>40548</v>
      </c>
      <c r="C45" s="1">
        <v>40552</v>
      </c>
      <c r="D45" t="s">
        <v>1</v>
      </c>
      <c r="E45" t="s">
        <v>139</v>
      </c>
      <c r="F45" t="s">
        <v>3</v>
      </c>
      <c r="G45" t="s">
        <v>140</v>
      </c>
      <c r="H45" t="s">
        <v>106</v>
      </c>
      <c r="I45" t="s">
        <v>75</v>
      </c>
      <c r="J45" t="s">
        <v>30</v>
      </c>
      <c r="K45" t="s">
        <v>7</v>
      </c>
      <c r="L45" t="s">
        <v>44</v>
      </c>
      <c r="M45" s="2">
        <v>3029</v>
      </c>
      <c r="N45">
        <v>8</v>
      </c>
      <c r="O45">
        <v>0</v>
      </c>
      <c r="P45">
        <v>999.36</v>
      </c>
      <c r="Q45">
        <v>191.2</v>
      </c>
      <c r="R45" t="s">
        <v>9</v>
      </c>
    </row>
    <row r="46" spans="1:18" x14ac:dyDescent="0.25">
      <c r="A46" t="s">
        <v>141</v>
      </c>
      <c r="B46" s="1">
        <v>40548</v>
      </c>
      <c r="C46" s="1">
        <v>40550</v>
      </c>
      <c r="D46" t="s">
        <v>142</v>
      </c>
      <c r="E46" t="s">
        <v>143</v>
      </c>
      <c r="F46" t="s">
        <v>26</v>
      </c>
      <c r="G46" t="s">
        <v>114</v>
      </c>
      <c r="H46" t="s">
        <v>115</v>
      </c>
      <c r="I46" t="s">
        <v>29</v>
      </c>
      <c r="J46" t="s">
        <v>76</v>
      </c>
      <c r="K46" t="s">
        <v>7</v>
      </c>
      <c r="L46" t="s">
        <v>91</v>
      </c>
      <c r="M46">
        <v>207</v>
      </c>
      <c r="N46">
        <v>4</v>
      </c>
      <c r="O46">
        <v>0</v>
      </c>
      <c r="P46">
        <v>76.56</v>
      </c>
      <c r="Q46">
        <v>20.64</v>
      </c>
      <c r="R46" t="s">
        <v>9</v>
      </c>
    </row>
    <row r="47" spans="1:18" x14ac:dyDescent="0.25">
      <c r="A47" t="s">
        <v>141</v>
      </c>
      <c r="B47" s="1">
        <v>40548</v>
      </c>
      <c r="C47" s="1">
        <v>40550</v>
      </c>
      <c r="D47" t="s">
        <v>142</v>
      </c>
      <c r="E47" t="s">
        <v>143</v>
      </c>
      <c r="F47" t="s">
        <v>26</v>
      </c>
      <c r="G47" t="s">
        <v>114</v>
      </c>
      <c r="H47" t="s">
        <v>115</v>
      </c>
      <c r="I47" t="s">
        <v>29</v>
      </c>
      <c r="J47" t="s">
        <v>76</v>
      </c>
      <c r="K47" t="s">
        <v>7</v>
      </c>
      <c r="L47" t="s">
        <v>91</v>
      </c>
      <c r="M47">
        <v>90</v>
      </c>
      <c r="N47">
        <v>3</v>
      </c>
      <c r="O47">
        <v>0</v>
      </c>
      <c r="P47">
        <v>20.52</v>
      </c>
      <c r="Q47">
        <v>15.27</v>
      </c>
      <c r="R47" t="s">
        <v>9</v>
      </c>
    </row>
    <row r="48" spans="1:18" x14ac:dyDescent="0.25">
      <c r="A48" t="s">
        <v>144</v>
      </c>
      <c r="B48" s="1">
        <v>40548</v>
      </c>
      <c r="C48" s="1">
        <v>40552</v>
      </c>
      <c r="D48" t="s">
        <v>1</v>
      </c>
      <c r="E48" t="s">
        <v>145</v>
      </c>
      <c r="F48" t="s">
        <v>26</v>
      </c>
      <c r="G48" t="s">
        <v>146</v>
      </c>
      <c r="H48" t="s">
        <v>126</v>
      </c>
      <c r="I48" t="s">
        <v>127</v>
      </c>
      <c r="J48" t="s">
        <v>76</v>
      </c>
      <c r="K48" t="s">
        <v>7</v>
      </c>
      <c r="L48" t="s">
        <v>8</v>
      </c>
      <c r="M48">
        <v>273</v>
      </c>
      <c r="N48">
        <v>3</v>
      </c>
      <c r="O48">
        <v>0.2</v>
      </c>
      <c r="P48">
        <v>-64.774799999999999</v>
      </c>
      <c r="Q48">
        <v>13.59</v>
      </c>
      <c r="R48" t="s">
        <v>23</v>
      </c>
    </row>
    <row r="49" spans="1:18" x14ac:dyDescent="0.25">
      <c r="A49" t="s">
        <v>147</v>
      </c>
      <c r="B49" s="1">
        <v>40548</v>
      </c>
      <c r="C49" s="1">
        <v>40554</v>
      </c>
      <c r="D49" t="s">
        <v>1</v>
      </c>
      <c r="E49" t="s">
        <v>148</v>
      </c>
      <c r="F49" t="s">
        <v>3</v>
      </c>
      <c r="G49" t="s">
        <v>149</v>
      </c>
      <c r="H49" t="s">
        <v>150</v>
      </c>
      <c r="I49" t="s">
        <v>14</v>
      </c>
      <c r="J49" t="s">
        <v>132</v>
      </c>
      <c r="K49" t="s">
        <v>32</v>
      </c>
      <c r="L49" t="s">
        <v>33</v>
      </c>
      <c r="M49">
        <v>49</v>
      </c>
      <c r="N49">
        <v>1</v>
      </c>
      <c r="O49">
        <v>0</v>
      </c>
      <c r="P49">
        <v>22.92</v>
      </c>
      <c r="Q49">
        <v>5.82</v>
      </c>
      <c r="R49" t="s">
        <v>51</v>
      </c>
    </row>
    <row r="50" spans="1:18" x14ac:dyDescent="0.25">
      <c r="A50" t="s">
        <v>144</v>
      </c>
      <c r="B50" s="1">
        <v>40548</v>
      </c>
      <c r="C50" s="1">
        <v>40552</v>
      </c>
      <c r="D50" t="s">
        <v>1</v>
      </c>
      <c r="E50" t="s">
        <v>145</v>
      </c>
      <c r="F50" t="s">
        <v>26</v>
      </c>
      <c r="G50" t="s">
        <v>146</v>
      </c>
      <c r="H50" t="s">
        <v>126</v>
      </c>
      <c r="I50" t="s">
        <v>127</v>
      </c>
      <c r="J50" t="s">
        <v>76</v>
      </c>
      <c r="K50" t="s">
        <v>7</v>
      </c>
      <c r="L50" t="s">
        <v>87</v>
      </c>
      <c r="M50">
        <v>12</v>
      </c>
      <c r="N50">
        <v>3</v>
      </c>
      <c r="O50">
        <v>0.2</v>
      </c>
      <c r="P50">
        <v>4.2717000000000001</v>
      </c>
      <c r="Q50">
        <v>0.99</v>
      </c>
      <c r="R50" t="s">
        <v>23</v>
      </c>
    </row>
    <row r="51" spans="1:18" x14ac:dyDescent="0.25">
      <c r="A51" t="s">
        <v>144</v>
      </c>
      <c r="B51" s="1">
        <v>40548</v>
      </c>
      <c r="C51" s="1">
        <v>40552</v>
      </c>
      <c r="D51" t="s">
        <v>1</v>
      </c>
      <c r="E51" t="s">
        <v>145</v>
      </c>
      <c r="F51" t="s">
        <v>26</v>
      </c>
      <c r="G51" t="s">
        <v>146</v>
      </c>
      <c r="H51" t="s">
        <v>126</v>
      </c>
      <c r="I51" t="s">
        <v>127</v>
      </c>
      <c r="J51" t="s">
        <v>76</v>
      </c>
      <c r="K51" t="s">
        <v>7</v>
      </c>
      <c r="L51" t="s">
        <v>137</v>
      </c>
      <c r="M51">
        <v>4</v>
      </c>
      <c r="N51">
        <v>2</v>
      </c>
      <c r="O51">
        <v>0.8</v>
      </c>
      <c r="P51">
        <v>-5.4870000000000001</v>
      </c>
      <c r="Q51">
        <v>0.55000000000000004</v>
      </c>
      <c r="R51" t="s">
        <v>23</v>
      </c>
    </row>
    <row r="52" spans="1:18" x14ac:dyDescent="0.25">
      <c r="A52" t="s">
        <v>151</v>
      </c>
      <c r="B52" s="1">
        <v>40549</v>
      </c>
      <c r="C52" s="1">
        <v>40552</v>
      </c>
      <c r="D52" t="s">
        <v>18</v>
      </c>
      <c r="E52" t="s">
        <v>152</v>
      </c>
      <c r="F52" t="s">
        <v>3</v>
      </c>
      <c r="G52" t="s">
        <v>153</v>
      </c>
      <c r="H52" t="s">
        <v>115</v>
      </c>
      <c r="I52" t="s">
        <v>29</v>
      </c>
      <c r="J52" t="s">
        <v>76</v>
      </c>
      <c r="K52" t="s">
        <v>32</v>
      </c>
      <c r="L52" t="s">
        <v>33</v>
      </c>
      <c r="M52">
        <v>324</v>
      </c>
      <c r="N52">
        <v>3</v>
      </c>
      <c r="O52">
        <v>0</v>
      </c>
      <c r="P52">
        <v>35.64</v>
      </c>
      <c r="Q52">
        <v>39.979999999999997</v>
      </c>
      <c r="R52" t="s">
        <v>23</v>
      </c>
    </row>
    <row r="53" spans="1:18" x14ac:dyDescent="0.25">
      <c r="A53" t="s">
        <v>154</v>
      </c>
      <c r="B53" s="1">
        <v>40549</v>
      </c>
      <c r="C53" s="1">
        <v>40553</v>
      </c>
      <c r="D53" t="s">
        <v>1</v>
      </c>
      <c r="E53" t="s">
        <v>155</v>
      </c>
      <c r="F53" t="s">
        <v>3</v>
      </c>
      <c r="G53" t="s">
        <v>156</v>
      </c>
      <c r="H53" t="s">
        <v>157</v>
      </c>
      <c r="I53" t="s">
        <v>14</v>
      </c>
      <c r="J53" t="s">
        <v>61</v>
      </c>
      <c r="K53" t="s">
        <v>7</v>
      </c>
      <c r="L53" t="s">
        <v>8</v>
      </c>
      <c r="M53">
        <v>50</v>
      </c>
      <c r="N53">
        <v>3</v>
      </c>
      <c r="O53">
        <v>0.17</v>
      </c>
      <c r="P53">
        <v>6.0084</v>
      </c>
      <c r="Q53">
        <v>6.2</v>
      </c>
      <c r="R53" t="s">
        <v>23</v>
      </c>
    </row>
    <row r="54" spans="1:18" x14ac:dyDescent="0.25">
      <c r="A54" t="s">
        <v>158</v>
      </c>
      <c r="B54" s="1">
        <v>40549</v>
      </c>
      <c r="C54" s="1">
        <v>40556</v>
      </c>
      <c r="D54" t="s">
        <v>1</v>
      </c>
      <c r="E54" t="s">
        <v>159</v>
      </c>
      <c r="F54" t="s">
        <v>26</v>
      </c>
      <c r="G54" t="s">
        <v>160</v>
      </c>
      <c r="H54" t="s">
        <v>161</v>
      </c>
      <c r="I54" t="s">
        <v>14</v>
      </c>
      <c r="J54" t="s">
        <v>61</v>
      </c>
      <c r="K54" t="s">
        <v>7</v>
      </c>
      <c r="L54" t="s">
        <v>8</v>
      </c>
      <c r="M54">
        <v>90</v>
      </c>
      <c r="N54">
        <v>2</v>
      </c>
      <c r="O54">
        <v>0.17</v>
      </c>
      <c r="P54">
        <v>29.268599999999999</v>
      </c>
      <c r="Q54">
        <v>3.62</v>
      </c>
      <c r="R54" t="s">
        <v>9</v>
      </c>
    </row>
    <row r="55" spans="1:18" x14ac:dyDescent="0.25">
      <c r="A55" t="s">
        <v>154</v>
      </c>
      <c r="B55" s="1">
        <v>40549</v>
      </c>
      <c r="C55" s="1">
        <v>40553</v>
      </c>
      <c r="D55" t="s">
        <v>1</v>
      </c>
      <c r="E55" t="s">
        <v>155</v>
      </c>
      <c r="F55" t="s">
        <v>3</v>
      </c>
      <c r="G55" t="s">
        <v>156</v>
      </c>
      <c r="H55" t="s">
        <v>157</v>
      </c>
      <c r="I55" t="s">
        <v>14</v>
      </c>
      <c r="J55" t="s">
        <v>61</v>
      </c>
      <c r="K55" t="s">
        <v>7</v>
      </c>
      <c r="L55" t="s">
        <v>97</v>
      </c>
      <c r="M55">
        <v>41</v>
      </c>
      <c r="N55">
        <v>7</v>
      </c>
      <c r="O55">
        <v>0.47</v>
      </c>
      <c r="P55">
        <v>-27.094200000000001</v>
      </c>
      <c r="Q55">
        <v>2.63</v>
      </c>
      <c r="R55" t="s">
        <v>23</v>
      </c>
    </row>
    <row r="56" spans="1:18" x14ac:dyDescent="0.25">
      <c r="A56" t="s">
        <v>158</v>
      </c>
      <c r="B56" s="1">
        <v>40549</v>
      </c>
      <c r="C56" s="1">
        <v>40556</v>
      </c>
      <c r="D56" t="s">
        <v>1</v>
      </c>
      <c r="E56" t="s">
        <v>159</v>
      </c>
      <c r="F56" t="s">
        <v>26</v>
      </c>
      <c r="G56" t="s">
        <v>160</v>
      </c>
      <c r="H56" t="s">
        <v>161</v>
      </c>
      <c r="I56" t="s">
        <v>14</v>
      </c>
      <c r="J56" t="s">
        <v>61</v>
      </c>
      <c r="K56" t="s">
        <v>7</v>
      </c>
      <c r="L56" t="s">
        <v>31</v>
      </c>
      <c r="M56">
        <v>39</v>
      </c>
      <c r="N56">
        <v>3</v>
      </c>
      <c r="O56">
        <v>0.17</v>
      </c>
      <c r="P56">
        <v>11.5893</v>
      </c>
      <c r="Q56">
        <v>2.4500000000000002</v>
      </c>
      <c r="R56" t="s">
        <v>9</v>
      </c>
    </row>
    <row r="57" spans="1:18" x14ac:dyDescent="0.25">
      <c r="A57" t="s">
        <v>162</v>
      </c>
      <c r="B57" s="1">
        <v>40549</v>
      </c>
      <c r="C57" s="1">
        <v>40554</v>
      </c>
      <c r="D57" t="s">
        <v>1</v>
      </c>
      <c r="E57" t="s">
        <v>163</v>
      </c>
      <c r="F57" t="s">
        <v>43</v>
      </c>
      <c r="G57" t="s">
        <v>164</v>
      </c>
      <c r="H57" t="s">
        <v>165</v>
      </c>
      <c r="I57" t="s">
        <v>6</v>
      </c>
      <c r="J57" t="s">
        <v>6</v>
      </c>
      <c r="K57" t="s">
        <v>38</v>
      </c>
      <c r="L57" t="s">
        <v>82</v>
      </c>
      <c r="M57">
        <v>28</v>
      </c>
      <c r="N57">
        <v>1</v>
      </c>
      <c r="O57">
        <v>0</v>
      </c>
      <c r="P57">
        <v>12.72</v>
      </c>
      <c r="Q57">
        <v>2</v>
      </c>
      <c r="R57" t="s">
        <v>9</v>
      </c>
    </row>
    <row r="58" spans="1:18" x14ac:dyDescent="0.25">
      <c r="A58" t="s">
        <v>166</v>
      </c>
      <c r="B58" s="1">
        <v>40549</v>
      </c>
      <c r="C58" s="1">
        <v>40553</v>
      </c>
      <c r="D58" t="s">
        <v>1</v>
      </c>
      <c r="E58" t="s">
        <v>167</v>
      </c>
      <c r="F58" t="s">
        <v>3</v>
      </c>
      <c r="G58" t="s">
        <v>168</v>
      </c>
      <c r="H58" t="s">
        <v>169</v>
      </c>
      <c r="I58" t="s">
        <v>14</v>
      </c>
      <c r="J58" t="s">
        <v>132</v>
      </c>
      <c r="K58" t="s">
        <v>7</v>
      </c>
      <c r="L58" t="s">
        <v>96</v>
      </c>
      <c r="M58">
        <v>31</v>
      </c>
      <c r="N58">
        <v>1</v>
      </c>
      <c r="O58">
        <v>0</v>
      </c>
      <c r="P58">
        <v>13.11</v>
      </c>
      <c r="Q58">
        <v>1.96</v>
      </c>
      <c r="R58" t="s">
        <v>23</v>
      </c>
    </row>
    <row r="59" spans="1:18" x14ac:dyDescent="0.25">
      <c r="A59" t="s">
        <v>170</v>
      </c>
      <c r="B59" s="1">
        <v>40549</v>
      </c>
      <c r="C59" s="1">
        <v>40556</v>
      </c>
      <c r="D59" t="s">
        <v>1</v>
      </c>
      <c r="E59" t="s">
        <v>171</v>
      </c>
      <c r="F59" t="s">
        <v>3</v>
      </c>
      <c r="G59" t="s">
        <v>172</v>
      </c>
      <c r="H59" t="s">
        <v>126</v>
      </c>
      <c r="I59" t="s">
        <v>127</v>
      </c>
      <c r="J59" t="s">
        <v>173</v>
      </c>
      <c r="K59" t="s">
        <v>7</v>
      </c>
      <c r="L59" t="s">
        <v>91</v>
      </c>
      <c r="M59">
        <v>20</v>
      </c>
      <c r="N59">
        <v>3</v>
      </c>
      <c r="O59">
        <v>0.2</v>
      </c>
      <c r="P59">
        <v>4.8840000000000003</v>
      </c>
      <c r="Q59">
        <v>1.85</v>
      </c>
      <c r="R59" t="s">
        <v>51</v>
      </c>
    </row>
    <row r="60" spans="1:18" x14ac:dyDescent="0.25">
      <c r="A60" t="s">
        <v>174</v>
      </c>
      <c r="B60" s="1">
        <v>40550</v>
      </c>
      <c r="C60" s="1">
        <v>40554</v>
      </c>
      <c r="D60" t="s">
        <v>1</v>
      </c>
      <c r="E60" t="s">
        <v>175</v>
      </c>
      <c r="F60" t="s">
        <v>26</v>
      </c>
      <c r="G60" t="s">
        <v>176</v>
      </c>
      <c r="H60" t="s">
        <v>126</v>
      </c>
      <c r="I60" t="s">
        <v>127</v>
      </c>
      <c r="J60" t="s">
        <v>102</v>
      </c>
      <c r="K60" t="s">
        <v>32</v>
      </c>
      <c r="L60" t="s">
        <v>56</v>
      </c>
      <c r="M60" s="2">
        <v>2574</v>
      </c>
      <c r="N60">
        <v>9</v>
      </c>
      <c r="O60">
        <v>0</v>
      </c>
      <c r="P60">
        <v>746.40779999999995</v>
      </c>
      <c r="Q60">
        <v>258.99</v>
      </c>
      <c r="R60" t="s">
        <v>23</v>
      </c>
    </row>
    <row r="61" spans="1:18" x14ac:dyDescent="0.25">
      <c r="A61" t="s">
        <v>174</v>
      </c>
      <c r="B61" s="1">
        <v>40550</v>
      </c>
      <c r="C61" s="1">
        <v>40554</v>
      </c>
      <c r="D61" t="s">
        <v>1</v>
      </c>
      <c r="E61" t="s">
        <v>175</v>
      </c>
      <c r="F61" t="s">
        <v>26</v>
      </c>
      <c r="G61" t="s">
        <v>176</v>
      </c>
      <c r="H61" t="s">
        <v>126</v>
      </c>
      <c r="I61" t="s">
        <v>127</v>
      </c>
      <c r="J61" t="s">
        <v>102</v>
      </c>
      <c r="K61" t="s">
        <v>7</v>
      </c>
      <c r="L61" t="s">
        <v>137</v>
      </c>
      <c r="M61">
        <v>610</v>
      </c>
      <c r="N61">
        <v>2</v>
      </c>
      <c r="O61">
        <v>0</v>
      </c>
      <c r="P61">
        <v>274.49099999999999</v>
      </c>
      <c r="Q61">
        <v>88.07</v>
      </c>
      <c r="R61" t="s">
        <v>23</v>
      </c>
    </row>
    <row r="62" spans="1:18" x14ac:dyDescent="0.25">
      <c r="A62" t="s">
        <v>174</v>
      </c>
      <c r="B62" s="1">
        <v>40550</v>
      </c>
      <c r="C62" s="1">
        <v>40554</v>
      </c>
      <c r="D62" t="s">
        <v>1</v>
      </c>
      <c r="E62" t="s">
        <v>175</v>
      </c>
      <c r="F62" t="s">
        <v>26</v>
      </c>
      <c r="G62" t="s">
        <v>176</v>
      </c>
      <c r="H62" t="s">
        <v>126</v>
      </c>
      <c r="I62" t="s">
        <v>127</v>
      </c>
      <c r="J62" t="s">
        <v>102</v>
      </c>
      <c r="K62" t="s">
        <v>38</v>
      </c>
      <c r="L62" t="s">
        <v>77</v>
      </c>
      <c r="M62">
        <v>392</v>
      </c>
      <c r="N62">
        <v>2</v>
      </c>
      <c r="O62">
        <v>0</v>
      </c>
      <c r="P62">
        <v>113.6742</v>
      </c>
      <c r="Q62">
        <v>62.37</v>
      </c>
      <c r="R62" t="s">
        <v>23</v>
      </c>
    </row>
    <row r="63" spans="1:18" x14ac:dyDescent="0.25">
      <c r="A63" t="s">
        <v>177</v>
      </c>
      <c r="B63" s="1">
        <v>40550</v>
      </c>
      <c r="C63" s="1">
        <v>40553</v>
      </c>
      <c r="D63" t="s">
        <v>142</v>
      </c>
      <c r="E63" t="s">
        <v>73</v>
      </c>
      <c r="F63" t="s">
        <v>3</v>
      </c>
      <c r="G63" t="s">
        <v>178</v>
      </c>
      <c r="H63" t="s">
        <v>179</v>
      </c>
      <c r="I63" t="s">
        <v>6</v>
      </c>
      <c r="J63" t="s">
        <v>6</v>
      </c>
      <c r="K63" t="s">
        <v>7</v>
      </c>
      <c r="L63" t="s">
        <v>8</v>
      </c>
      <c r="M63">
        <v>256</v>
      </c>
      <c r="N63">
        <v>2</v>
      </c>
      <c r="O63">
        <v>0</v>
      </c>
      <c r="P63">
        <v>46.02</v>
      </c>
      <c r="Q63">
        <v>52.46</v>
      </c>
      <c r="R63" t="s">
        <v>23</v>
      </c>
    </row>
    <row r="64" spans="1:18" x14ac:dyDescent="0.25">
      <c r="A64" t="s">
        <v>180</v>
      </c>
      <c r="B64" s="1">
        <v>40550</v>
      </c>
      <c r="C64" s="1">
        <v>40554</v>
      </c>
      <c r="D64" t="s">
        <v>1</v>
      </c>
      <c r="E64" t="s">
        <v>181</v>
      </c>
      <c r="F64" t="s">
        <v>3</v>
      </c>
      <c r="G64" t="s">
        <v>59</v>
      </c>
      <c r="H64" t="s">
        <v>60</v>
      </c>
      <c r="I64" t="s">
        <v>14</v>
      </c>
      <c r="J64" t="s">
        <v>61</v>
      </c>
      <c r="K64" t="s">
        <v>38</v>
      </c>
      <c r="L64" t="s">
        <v>39</v>
      </c>
      <c r="M64">
        <v>445</v>
      </c>
      <c r="N64">
        <v>7</v>
      </c>
      <c r="O64">
        <v>0.25</v>
      </c>
      <c r="P64">
        <v>-136.71</v>
      </c>
      <c r="Q64">
        <v>46.97</v>
      </c>
      <c r="R64" t="s">
        <v>23</v>
      </c>
    </row>
    <row r="65" spans="1:18" x14ac:dyDescent="0.25">
      <c r="A65" t="s">
        <v>180</v>
      </c>
      <c r="B65" s="1">
        <v>40550</v>
      </c>
      <c r="C65" s="1">
        <v>40554</v>
      </c>
      <c r="D65" t="s">
        <v>1</v>
      </c>
      <c r="E65" t="s">
        <v>181</v>
      </c>
      <c r="F65" t="s">
        <v>3</v>
      </c>
      <c r="G65" t="s">
        <v>59</v>
      </c>
      <c r="H65" t="s">
        <v>60</v>
      </c>
      <c r="I65" t="s">
        <v>14</v>
      </c>
      <c r="J65" t="s">
        <v>61</v>
      </c>
      <c r="K65" t="s">
        <v>38</v>
      </c>
      <c r="L65" t="s">
        <v>82</v>
      </c>
      <c r="M65">
        <v>274</v>
      </c>
      <c r="N65">
        <v>2</v>
      </c>
      <c r="O65">
        <v>0.45</v>
      </c>
      <c r="P65">
        <v>-44.838000000000001</v>
      </c>
      <c r="Q65">
        <v>42.19</v>
      </c>
      <c r="R65" t="s">
        <v>23</v>
      </c>
    </row>
    <row r="66" spans="1:18" x14ac:dyDescent="0.25">
      <c r="A66" t="s">
        <v>182</v>
      </c>
      <c r="B66" s="1">
        <v>40550</v>
      </c>
      <c r="C66" s="1">
        <v>40551</v>
      </c>
      <c r="D66" t="s">
        <v>142</v>
      </c>
      <c r="E66" t="s">
        <v>183</v>
      </c>
      <c r="F66" t="s">
        <v>43</v>
      </c>
      <c r="G66" t="s">
        <v>184</v>
      </c>
      <c r="H66" t="s">
        <v>115</v>
      </c>
      <c r="I66" t="s">
        <v>29</v>
      </c>
      <c r="J66" t="s">
        <v>76</v>
      </c>
      <c r="K66" t="s">
        <v>7</v>
      </c>
      <c r="L66" t="s">
        <v>8</v>
      </c>
      <c r="M66">
        <v>716</v>
      </c>
      <c r="N66">
        <v>4</v>
      </c>
      <c r="O66">
        <v>0.1</v>
      </c>
      <c r="P66">
        <v>143.16</v>
      </c>
      <c r="Q66">
        <v>32.46</v>
      </c>
      <c r="R66" t="s">
        <v>9</v>
      </c>
    </row>
    <row r="67" spans="1:18" x14ac:dyDescent="0.25">
      <c r="A67" t="s">
        <v>180</v>
      </c>
      <c r="B67" s="1">
        <v>40550</v>
      </c>
      <c r="C67" s="1">
        <v>40554</v>
      </c>
      <c r="D67" t="s">
        <v>1</v>
      </c>
      <c r="E67" t="s">
        <v>181</v>
      </c>
      <c r="F67" t="s">
        <v>3</v>
      </c>
      <c r="G67" t="s">
        <v>59</v>
      </c>
      <c r="H67" t="s">
        <v>60</v>
      </c>
      <c r="I67" t="s">
        <v>14</v>
      </c>
      <c r="J67" t="s">
        <v>61</v>
      </c>
      <c r="K67" t="s">
        <v>38</v>
      </c>
      <c r="L67" t="s">
        <v>39</v>
      </c>
      <c r="M67">
        <v>388</v>
      </c>
      <c r="N67">
        <v>3</v>
      </c>
      <c r="O67">
        <v>0.25</v>
      </c>
      <c r="P67">
        <v>25.807500000000001</v>
      </c>
      <c r="Q67">
        <v>26.2</v>
      </c>
      <c r="R67" t="s">
        <v>23</v>
      </c>
    </row>
    <row r="68" spans="1:18" x14ac:dyDescent="0.25">
      <c r="A68" t="s">
        <v>185</v>
      </c>
      <c r="B68" s="1">
        <v>40550</v>
      </c>
      <c r="C68" s="1">
        <v>40554</v>
      </c>
      <c r="D68" t="s">
        <v>1</v>
      </c>
      <c r="E68" t="s">
        <v>186</v>
      </c>
      <c r="F68" t="s">
        <v>43</v>
      </c>
      <c r="G68" t="s">
        <v>187</v>
      </c>
      <c r="H68" t="s">
        <v>188</v>
      </c>
      <c r="I68" t="s">
        <v>22</v>
      </c>
      <c r="J68" t="s">
        <v>22</v>
      </c>
      <c r="K68" t="s">
        <v>38</v>
      </c>
      <c r="L68" t="s">
        <v>50</v>
      </c>
      <c r="M68">
        <v>174</v>
      </c>
      <c r="N68">
        <v>1</v>
      </c>
      <c r="O68">
        <v>0</v>
      </c>
      <c r="P68">
        <v>71.459999999999994</v>
      </c>
      <c r="Q68">
        <v>23.84</v>
      </c>
      <c r="R68" t="s">
        <v>23</v>
      </c>
    </row>
    <row r="69" spans="1:18" x14ac:dyDescent="0.25">
      <c r="A69" t="s">
        <v>174</v>
      </c>
      <c r="B69" s="1">
        <v>40550</v>
      </c>
      <c r="C69" s="1">
        <v>40554</v>
      </c>
      <c r="D69" t="s">
        <v>1</v>
      </c>
      <c r="E69" t="s">
        <v>175</v>
      </c>
      <c r="F69" t="s">
        <v>26</v>
      </c>
      <c r="G69" t="s">
        <v>176</v>
      </c>
      <c r="H69" t="s">
        <v>126</v>
      </c>
      <c r="I69" t="s">
        <v>127</v>
      </c>
      <c r="J69" t="s">
        <v>102</v>
      </c>
      <c r="K69" t="s">
        <v>38</v>
      </c>
      <c r="L69" t="s">
        <v>77</v>
      </c>
      <c r="M69">
        <v>756</v>
      </c>
      <c r="N69">
        <v>4</v>
      </c>
      <c r="O69">
        <v>0</v>
      </c>
      <c r="P69">
        <v>204.10919999999999</v>
      </c>
      <c r="Q69">
        <v>13.82</v>
      </c>
      <c r="R69" t="s">
        <v>23</v>
      </c>
    </row>
    <row r="70" spans="1:18" x14ac:dyDescent="0.25">
      <c r="A70" t="s">
        <v>177</v>
      </c>
      <c r="B70" s="1">
        <v>40550</v>
      </c>
      <c r="C70" s="1">
        <v>40553</v>
      </c>
      <c r="D70" t="s">
        <v>142</v>
      </c>
      <c r="E70" t="s">
        <v>73</v>
      </c>
      <c r="F70" t="s">
        <v>3</v>
      </c>
      <c r="G70" t="s">
        <v>178</v>
      </c>
      <c r="H70" t="s">
        <v>179</v>
      </c>
      <c r="I70" t="s">
        <v>6</v>
      </c>
      <c r="J70" t="s">
        <v>6</v>
      </c>
      <c r="K70" t="s">
        <v>7</v>
      </c>
      <c r="L70" t="s">
        <v>91</v>
      </c>
      <c r="M70">
        <v>45</v>
      </c>
      <c r="N70">
        <v>1</v>
      </c>
      <c r="O70">
        <v>0</v>
      </c>
      <c r="P70">
        <v>8.49</v>
      </c>
      <c r="Q70">
        <v>13.7</v>
      </c>
      <c r="R70" t="s">
        <v>23</v>
      </c>
    </row>
    <row r="71" spans="1:18" x14ac:dyDescent="0.25">
      <c r="A71" t="s">
        <v>182</v>
      </c>
      <c r="B71" s="1">
        <v>40550</v>
      </c>
      <c r="C71" s="1">
        <v>40551</v>
      </c>
      <c r="D71" t="s">
        <v>142</v>
      </c>
      <c r="E71" t="s">
        <v>183</v>
      </c>
      <c r="F71" t="s">
        <v>43</v>
      </c>
      <c r="G71" t="s">
        <v>184</v>
      </c>
      <c r="H71" t="s">
        <v>115</v>
      </c>
      <c r="I71" t="s">
        <v>29</v>
      </c>
      <c r="J71" t="s">
        <v>76</v>
      </c>
      <c r="K71" t="s">
        <v>7</v>
      </c>
      <c r="L71" t="s">
        <v>97</v>
      </c>
      <c r="M71">
        <v>33</v>
      </c>
      <c r="N71">
        <v>3</v>
      </c>
      <c r="O71">
        <v>0</v>
      </c>
      <c r="P71">
        <v>2.25</v>
      </c>
      <c r="Q71">
        <v>9.73</v>
      </c>
      <c r="R71" t="s">
        <v>9</v>
      </c>
    </row>
    <row r="72" spans="1:18" x14ac:dyDescent="0.25">
      <c r="A72" t="s">
        <v>182</v>
      </c>
      <c r="B72" s="1">
        <v>40550</v>
      </c>
      <c r="C72" s="1">
        <v>40551</v>
      </c>
      <c r="D72" t="s">
        <v>142</v>
      </c>
      <c r="E72" t="s">
        <v>183</v>
      </c>
      <c r="F72" t="s">
        <v>43</v>
      </c>
      <c r="G72" t="s">
        <v>184</v>
      </c>
      <c r="H72" t="s">
        <v>115</v>
      </c>
      <c r="I72" t="s">
        <v>29</v>
      </c>
      <c r="J72" t="s">
        <v>76</v>
      </c>
      <c r="K72" t="s">
        <v>32</v>
      </c>
      <c r="L72" t="s">
        <v>67</v>
      </c>
      <c r="M72">
        <v>155</v>
      </c>
      <c r="N72">
        <v>1</v>
      </c>
      <c r="O72">
        <v>0.1</v>
      </c>
      <c r="P72">
        <v>36.228000000000002</v>
      </c>
      <c r="Q72">
        <v>5.72</v>
      </c>
      <c r="R72" t="s">
        <v>9</v>
      </c>
    </row>
    <row r="73" spans="1:18" x14ac:dyDescent="0.25">
      <c r="A73" t="s">
        <v>189</v>
      </c>
      <c r="B73" s="1">
        <v>40550</v>
      </c>
      <c r="C73" s="1">
        <v>40552</v>
      </c>
      <c r="D73" t="s">
        <v>18</v>
      </c>
      <c r="E73" t="s">
        <v>190</v>
      </c>
      <c r="F73" t="s">
        <v>3</v>
      </c>
      <c r="G73" t="s">
        <v>191</v>
      </c>
      <c r="H73" t="s">
        <v>126</v>
      </c>
      <c r="I73" t="s">
        <v>127</v>
      </c>
      <c r="J73" t="s">
        <v>192</v>
      </c>
      <c r="K73" t="s">
        <v>7</v>
      </c>
      <c r="L73" t="s">
        <v>31</v>
      </c>
      <c r="M73">
        <v>19</v>
      </c>
      <c r="N73">
        <v>3</v>
      </c>
      <c r="O73">
        <v>0</v>
      </c>
      <c r="P73">
        <v>9.3312000000000008</v>
      </c>
      <c r="Q73">
        <v>4.37</v>
      </c>
      <c r="R73" t="s">
        <v>23</v>
      </c>
    </row>
    <row r="74" spans="1:18" x14ac:dyDescent="0.25">
      <c r="A74" t="s">
        <v>193</v>
      </c>
      <c r="B74" s="1">
        <v>40550</v>
      </c>
      <c r="C74" s="1">
        <v>40554</v>
      </c>
      <c r="D74" t="s">
        <v>1</v>
      </c>
      <c r="E74" t="s">
        <v>194</v>
      </c>
      <c r="F74" t="s">
        <v>43</v>
      </c>
      <c r="G74" t="s">
        <v>195</v>
      </c>
      <c r="H74" t="s">
        <v>5</v>
      </c>
      <c r="I74" t="s">
        <v>6</v>
      </c>
      <c r="J74" t="s">
        <v>6</v>
      </c>
      <c r="K74" t="s">
        <v>7</v>
      </c>
      <c r="L74" t="s">
        <v>91</v>
      </c>
      <c r="M74">
        <v>91</v>
      </c>
      <c r="N74">
        <v>2</v>
      </c>
      <c r="O74">
        <v>0</v>
      </c>
      <c r="P74">
        <v>14.58</v>
      </c>
      <c r="Q74">
        <v>4.3600000000000003</v>
      </c>
      <c r="R74" t="s">
        <v>9</v>
      </c>
    </row>
    <row r="75" spans="1:18" x14ac:dyDescent="0.25">
      <c r="A75" t="s">
        <v>196</v>
      </c>
      <c r="B75" s="1">
        <v>40550</v>
      </c>
      <c r="C75" s="1">
        <v>40550</v>
      </c>
      <c r="D75" t="s">
        <v>41</v>
      </c>
      <c r="E75" t="s">
        <v>64</v>
      </c>
      <c r="F75" t="s">
        <v>3</v>
      </c>
      <c r="G75" t="s">
        <v>197</v>
      </c>
      <c r="H75" t="s">
        <v>101</v>
      </c>
      <c r="I75" t="s">
        <v>75</v>
      </c>
      <c r="J75" t="s">
        <v>102</v>
      </c>
      <c r="K75" t="s">
        <v>7</v>
      </c>
      <c r="L75" t="s">
        <v>97</v>
      </c>
      <c r="M75">
        <v>43</v>
      </c>
      <c r="N75">
        <v>4</v>
      </c>
      <c r="O75">
        <v>0</v>
      </c>
      <c r="P75">
        <v>6</v>
      </c>
      <c r="Q75">
        <v>3.94</v>
      </c>
      <c r="R75" t="s">
        <v>23</v>
      </c>
    </row>
    <row r="76" spans="1:18" x14ac:dyDescent="0.25">
      <c r="A76" t="s">
        <v>196</v>
      </c>
      <c r="B76" s="1">
        <v>40550</v>
      </c>
      <c r="C76" s="1">
        <v>40550</v>
      </c>
      <c r="D76" t="s">
        <v>41</v>
      </c>
      <c r="E76" t="s">
        <v>64</v>
      </c>
      <c r="F76" t="s">
        <v>3</v>
      </c>
      <c r="G76" t="s">
        <v>197</v>
      </c>
      <c r="H76" t="s">
        <v>101</v>
      </c>
      <c r="I76" t="s">
        <v>75</v>
      </c>
      <c r="J76" t="s">
        <v>102</v>
      </c>
      <c r="K76" t="s">
        <v>7</v>
      </c>
      <c r="L76" t="s">
        <v>137</v>
      </c>
      <c r="M76">
        <v>19</v>
      </c>
      <c r="N76">
        <v>3</v>
      </c>
      <c r="O76">
        <v>0</v>
      </c>
      <c r="P76">
        <v>2.4</v>
      </c>
      <c r="Q76">
        <v>3.69</v>
      </c>
      <c r="R76" t="s">
        <v>23</v>
      </c>
    </row>
    <row r="77" spans="1:18" x14ac:dyDescent="0.25">
      <c r="A77" t="s">
        <v>198</v>
      </c>
      <c r="B77" s="1">
        <v>40550</v>
      </c>
      <c r="C77" s="1">
        <v>40551</v>
      </c>
      <c r="D77" t="s">
        <v>142</v>
      </c>
      <c r="E77" t="s">
        <v>199</v>
      </c>
      <c r="F77" t="s">
        <v>43</v>
      </c>
      <c r="G77" t="s">
        <v>200</v>
      </c>
      <c r="H77" t="s">
        <v>126</v>
      </c>
      <c r="I77" t="s">
        <v>127</v>
      </c>
      <c r="J77" t="s">
        <v>102</v>
      </c>
      <c r="K77" t="s">
        <v>7</v>
      </c>
      <c r="L77" t="s">
        <v>91</v>
      </c>
      <c r="M77">
        <v>13</v>
      </c>
      <c r="N77">
        <v>3</v>
      </c>
      <c r="O77">
        <v>0</v>
      </c>
      <c r="P77">
        <v>5.2397999999999998</v>
      </c>
      <c r="Q77">
        <v>3.51</v>
      </c>
      <c r="R77" t="s">
        <v>45</v>
      </c>
    </row>
    <row r="78" spans="1:18" x14ac:dyDescent="0.25">
      <c r="A78" t="s">
        <v>180</v>
      </c>
      <c r="B78" s="1">
        <v>40550</v>
      </c>
      <c r="C78" s="1">
        <v>40554</v>
      </c>
      <c r="D78" t="s">
        <v>1</v>
      </c>
      <c r="E78" t="s">
        <v>181</v>
      </c>
      <c r="F78" t="s">
        <v>3</v>
      </c>
      <c r="G78" t="s">
        <v>59</v>
      </c>
      <c r="H78" t="s">
        <v>60</v>
      </c>
      <c r="I78" t="s">
        <v>14</v>
      </c>
      <c r="J78" t="s">
        <v>61</v>
      </c>
      <c r="K78" t="s">
        <v>7</v>
      </c>
      <c r="L78" t="s">
        <v>91</v>
      </c>
      <c r="M78">
        <v>27</v>
      </c>
      <c r="N78">
        <v>1</v>
      </c>
      <c r="O78">
        <v>0.45</v>
      </c>
      <c r="P78">
        <v>-4.4939999999999998</v>
      </c>
      <c r="Q78">
        <v>3.21</v>
      </c>
      <c r="R78" t="s">
        <v>23</v>
      </c>
    </row>
    <row r="79" spans="1:18" x14ac:dyDescent="0.25">
      <c r="A79" t="s">
        <v>185</v>
      </c>
      <c r="B79" s="1">
        <v>40550</v>
      </c>
      <c r="C79" s="1">
        <v>40554</v>
      </c>
      <c r="D79" t="s">
        <v>1</v>
      </c>
      <c r="E79" t="s">
        <v>186</v>
      </c>
      <c r="F79" t="s">
        <v>43</v>
      </c>
      <c r="G79" t="s">
        <v>187</v>
      </c>
      <c r="H79" t="s">
        <v>188</v>
      </c>
      <c r="I79" t="s">
        <v>22</v>
      </c>
      <c r="J79" t="s">
        <v>22</v>
      </c>
      <c r="K79" t="s">
        <v>32</v>
      </c>
      <c r="L79" t="s">
        <v>33</v>
      </c>
      <c r="M79">
        <v>26</v>
      </c>
      <c r="N79">
        <v>1</v>
      </c>
      <c r="O79">
        <v>0</v>
      </c>
      <c r="P79">
        <v>7.38</v>
      </c>
      <c r="Q79">
        <v>2.88</v>
      </c>
      <c r="R79" t="s">
        <v>23</v>
      </c>
    </row>
    <row r="80" spans="1:18" x14ac:dyDescent="0.25">
      <c r="A80" t="s">
        <v>174</v>
      </c>
      <c r="B80" s="1">
        <v>40550</v>
      </c>
      <c r="C80" s="1">
        <v>40554</v>
      </c>
      <c r="D80" t="s">
        <v>1</v>
      </c>
      <c r="E80" t="s">
        <v>175</v>
      </c>
      <c r="F80" t="s">
        <v>26</v>
      </c>
      <c r="G80" t="s">
        <v>176</v>
      </c>
      <c r="H80" t="s">
        <v>126</v>
      </c>
      <c r="I80" t="s">
        <v>127</v>
      </c>
      <c r="J80" t="s">
        <v>102</v>
      </c>
      <c r="K80" t="s">
        <v>7</v>
      </c>
      <c r="L80" t="s">
        <v>97</v>
      </c>
      <c r="M80">
        <v>31</v>
      </c>
      <c r="N80">
        <v>4</v>
      </c>
      <c r="O80">
        <v>0</v>
      </c>
      <c r="P80">
        <v>0.31119999999999998</v>
      </c>
      <c r="Q80">
        <v>2.19</v>
      </c>
      <c r="R80" t="s">
        <v>23</v>
      </c>
    </row>
    <row r="81" spans="1:18" x14ac:dyDescent="0.25">
      <c r="A81" t="s">
        <v>174</v>
      </c>
      <c r="B81" s="1">
        <v>40550</v>
      </c>
      <c r="C81" s="1">
        <v>40554</v>
      </c>
      <c r="D81" t="s">
        <v>1</v>
      </c>
      <c r="E81" t="s">
        <v>175</v>
      </c>
      <c r="F81" t="s">
        <v>26</v>
      </c>
      <c r="G81" t="s">
        <v>176</v>
      </c>
      <c r="H81" t="s">
        <v>126</v>
      </c>
      <c r="I81" t="s">
        <v>127</v>
      </c>
      <c r="J81" t="s">
        <v>102</v>
      </c>
      <c r="K81" t="s">
        <v>7</v>
      </c>
      <c r="L81" t="s">
        <v>31</v>
      </c>
      <c r="M81">
        <v>7</v>
      </c>
      <c r="N81">
        <v>1</v>
      </c>
      <c r="O81">
        <v>0</v>
      </c>
      <c r="P81">
        <v>3.0084</v>
      </c>
      <c r="Q81">
        <v>1.1299999999999999</v>
      </c>
      <c r="R81" t="s">
        <v>23</v>
      </c>
    </row>
    <row r="82" spans="1:18" x14ac:dyDescent="0.25">
      <c r="A82" t="s">
        <v>201</v>
      </c>
      <c r="B82" s="1">
        <v>40550</v>
      </c>
      <c r="C82" s="1">
        <v>40555</v>
      </c>
      <c r="D82" t="s">
        <v>1</v>
      </c>
      <c r="E82" t="s">
        <v>202</v>
      </c>
      <c r="F82" t="s">
        <v>26</v>
      </c>
      <c r="G82" t="s">
        <v>203</v>
      </c>
      <c r="H82" t="s">
        <v>203</v>
      </c>
      <c r="I82" t="s">
        <v>14</v>
      </c>
      <c r="J82" t="s">
        <v>61</v>
      </c>
      <c r="K82" t="s">
        <v>7</v>
      </c>
      <c r="L82" t="s">
        <v>87</v>
      </c>
      <c r="M82">
        <v>18</v>
      </c>
      <c r="N82">
        <v>2</v>
      </c>
      <c r="O82">
        <v>0</v>
      </c>
      <c r="P82">
        <v>5.46</v>
      </c>
      <c r="Q82">
        <v>0.89</v>
      </c>
      <c r="R82" t="s">
        <v>9</v>
      </c>
    </row>
    <row r="83" spans="1:18" x14ac:dyDescent="0.25">
      <c r="A83" t="s">
        <v>174</v>
      </c>
      <c r="B83" s="1">
        <v>40550</v>
      </c>
      <c r="C83" s="1">
        <v>40554</v>
      </c>
      <c r="D83" t="s">
        <v>1</v>
      </c>
      <c r="E83" t="s">
        <v>175</v>
      </c>
      <c r="F83" t="s">
        <v>26</v>
      </c>
      <c r="G83" t="s">
        <v>176</v>
      </c>
      <c r="H83" t="s">
        <v>126</v>
      </c>
      <c r="I83" t="s">
        <v>127</v>
      </c>
      <c r="J83" t="s">
        <v>102</v>
      </c>
      <c r="K83" t="s">
        <v>7</v>
      </c>
      <c r="L83" t="s">
        <v>91</v>
      </c>
      <c r="M83">
        <v>5</v>
      </c>
      <c r="N83">
        <v>2</v>
      </c>
      <c r="O83">
        <v>0</v>
      </c>
      <c r="P83">
        <v>1.4796</v>
      </c>
      <c r="Q83">
        <v>0.52</v>
      </c>
      <c r="R83" t="s">
        <v>23</v>
      </c>
    </row>
    <row r="84" spans="1:18" x14ac:dyDescent="0.25">
      <c r="A84" t="s">
        <v>204</v>
      </c>
      <c r="B84" s="1">
        <v>40550</v>
      </c>
      <c r="C84" s="1">
        <v>40553</v>
      </c>
      <c r="D84" t="s">
        <v>142</v>
      </c>
      <c r="E84" t="s">
        <v>205</v>
      </c>
      <c r="F84" t="s">
        <v>3</v>
      </c>
      <c r="G84" t="s">
        <v>206</v>
      </c>
      <c r="H84" t="s">
        <v>207</v>
      </c>
      <c r="I84" t="s">
        <v>29</v>
      </c>
      <c r="J84" t="s">
        <v>76</v>
      </c>
      <c r="K84" t="s">
        <v>7</v>
      </c>
      <c r="L84" t="s">
        <v>91</v>
      </c>
      <c r="M84">
        <v>5</v>
      </c>
      <c r="N84">
        <v>1</v>
      </c>
      <c r="O84">
        <v>0.5</v>
      </c>
      <c r="P84">
        <v>-0.105</v>
      </c>
      <c r="Q84">
        <v>0.28000000000000003</v>
      </c>
      <c r="R84" t="s">
        <v>9</v>
      </c>
    </row>
    <row r="85" spans="1:18" x14ac:dyDescent="0.25">
      <c r="A85" t="s">
        <v>208</v>
      </c>
      <c r="B85" s="1">
        <v>40551</v>
      </c>
      <c r="C85" s="1">
        <v>40556</v>
      </c>
      <c r="D85" t="s">
        <v>1</v>
      </c>
      <c r="E85" t="s">
        <v>209</v>
      </c>
      <c r="F85" t="s">
        <v>3</v>
      </c>
      <c r="G85" t="s">
        <v>210</v>
      </c>
      <c r="H85" t="s">
        <v>165</v>
      </c>
      <c r="I85" t="s">
        <v>6</v>
      </c>
      <c r="J85" t="s">
        <v>6</v>
      </c>
      <c r="K85" t="s">
        <v>32</v>
      </c>
      <c r="L85" t="s">
        <v>67</v>
      </c>
      <c r="M85" s="2">
        <v>2479</v>
      </c>
      <c r="N85">
        <v>6</v>
      </c>
      <c r="O85">
        <v>0</v>
      </c>
      <c r="P85">
        <v>49.5</v>
      </c>
      <c r="Q85">
        <v>349.87</v>
      </c>
      <c r="R85" t="s">
        <v>23</v>
      </c>
    </row>
    <row r="86" spans="1:18" x14ac:dyDescent="0.25">
      <c r="A86" t="s">
        <v>211</v>
      </c>
      <c r="B86" s="1">
        <v>40551</v>
      </c>
      <c r="C86" s="1">
        <v>40555</v>
      </c>
      <c r="D86" t="s">
        <v>18</v>
      </c>
      <c r="E86" t="s">
        <v>212</v>
      </c>
      <c r="F86" t="s">
        <v>26</v>
      </c>
      <c r="G86" t="s">
        <v>213</v>
      </c>
      <c r="H86" t="s">
        <v>169</v>
      </c>
      <c r="I86" t="s">
        <v>14</v>
      </c>
      <c r="J86" t="s">
        <v>132</v>
      </c>
      <c r="K86" t="s">
        <v>38</v>
      </c>
      <c r="L86" t="s">
        <v>39</v>
      </c>
      <c r="M86" s="2">
        <v>2174</v>
      </c>
      <c r="N86">
        <v>7</v>
      </c>
      <c r="O86">
        <v>0</v>
      </c>
      <c r="P86">
        <v>260.82</v>
      </c>
      <c r="Q86">
        <v>275.52</v>
      </c>
      <c r="R86" t="s">
        <v>9</v>
      </c>
    </row>
    <row r="87" spans="1:18" x14ac:dyDescent="0.25">
      <c r="A87" t="s">
        <v>214</v>
      </c>
      <c r="B87" s="1">
        <v>40551</v>
      </c>
      <c r="C87" s="1">
        <v>40557</v>
      </c>
      <c r="D87" t="s">
        <v>1</v>
      </c>
      <c r="E87" t="s">
        <v>124</v>
      </c>
      <c r="F87" t="s">
        <v>3</v>
      </c>
      <c r="G87" t="s">
        <v>215</v>
      </c>
      <c r="H87" t="s">
        <v>115</v>
      </c>
      <c r="I87" t="s">
        <v>29</v>
      </c>
      <c r="J87" t="s">
        <v>76</v>
      </c>
      <c r="K87" t="s">
        <v>32</v>
      </c>
      <c r="L87" t="s">
        <v>67</v>
      </c>
      <c r="M87">
        <v>987</v>
      </c>
      <c r="N87">
        <v>6</v>
      </c>
      <c r="O87">
        <v>0.6</v>
      </c>
      <c r="P87">
        <v>-1011.636</v>
      </c>
      <c r="Q87">
        <v>65.64</v>
      </c>
      <c r="R87" t="s">
        <v>9</v>
      </c>
    </row>
    <row r="88" spans="1:18" x14ac:dyDescent="0.25">
      <c r="A88" t="s">
        <v>216</v>
      </c>
      <c r="B88" s="1">
        <v>40551</v>
      </c>
      <c r="C88" s="1">
        <v>40556</v>
      </c>
      <c r="D88" t="s">
        <v>18</v>
      </c>
      <c r="E88" t="s">
        <v>217</v>
      </c>
      <c r="F88" t="s">
        <v>3</v>
      </c>
      <c r="G88" t="s">
        <v>74</v>
      </c>
      <c r="H88" t="s">
        <v>74</v>
      </c>
      <c r="I88" t="s">
        <v>75</v>
      </c>
      <c r="J88" t="s">
        <v>76</v>
      </c>
      <c r="K88" t="s">
        <v>7</v>
      </c>
      <c r="L88" t="s">
        <v>8</v>
      </c>
      <c r="M88">
        <v>397</v>
      </c>
      <c r="N88">
        <v>3</v>
      </c>
      <c r="O88">
        <v>0</v>
      </c>
      <c r="P88">
        <v>182.52</v>
      </c>
      <c r="Q88">
        <v>33.67</v>
      </c>
      <c r="R88" t="s">
        <v>9</v>
      </c>
    </row>
    <row r="89" spans="1:18" x14ac:dyDescent="0.25">
      <c r="A89" t="s">
        <v>218</v>
      </c>
      <c r="B89" s="1">
        <v>40551</v>
      </c>
      <c r="C89" s="1">
        <v>40556</v>
      </c>
      <c r="D89" t="s">
        <v>1</v>
      </c>
      <c r="E89" t="s">
        <v>219</v>
      </c>
      <c r="F89" t="s">
        <v>3</v>
      </c>
      <c r="G89" t="s">
        <v>125</v>
      </c>
      <c r="H89" t="s">
        <v>126</v>
      </c>
      <c r="I89" t="s">
        <v>127</v>
      </c>
      <c r="J89" t="s">
        <v>76</v>
      </c>
      <c r="K89" t="s">
        <v>32</v>
      </c>
      <c r="L89" t="s">
        <v>33</v>
      </c>
      <c r="M89">
        <v>77</v>
      </c>
      <c r="N89">
        <v>3</v>
      </c>
      <c r="O89">
        <v>0.6</v>
      </c>
      <c r="P89">
        <v>-53.709600000000002</v>
      </c>
      <c r="Q89">
        <v>6.69</v>
      </c>
      <c r="R89" t="s">
        <v>9</v>
      </c>
    </row>
    <row r="90" spans="1:18" x14ac:dyDescent="0.25">
      <c r="A90" t="s">
        <v>216</v>
      </c>
      <c r="B90" s="1">
        <v>40551</v>
      </c>
      <c r="C90" s="1">
        <v>40556</v>
      </c>
      <c r="D90" t="s">
        <v>18</v>
      </c>
      <c r="E90" t="s">
        <v>217</v>
      </c>
      <c r="F90" t="s">
        <v>3</v>
      </c>
      <c r="G90" t="s">
        <v>74</v>
      </c>
      <c r="H90" t="s">
        <v>74</v>
      </c>
      <c r="I90" t="s">
        <v>75</v>
      </c>
      <c r="J90" t="s">
        <v>76</v>
      </c>
      <c r="K90" t="s">
        <v>7</v>
      </c>
      <c r="L90" t="s">
        <v>137</v>
      </c>
      <c r="M90">
        <v>50</v>
      </c>
      <c r="N90">
        <v>7</v>
      </c>
      <c r="O90">
        <v>0</v>
      </c>
      <c r="P90">
        <v>20.3</v>
      </c>
      <c r="Q90">
        <v>5.66</v>
      </c>
      <c r="R90" t="s">
        <v>9</v>
      </c>
    </row>
    <row r="91" spans="1:18" x14ac:dyDescent="0.25">
      <c r="A91" t="s">
        <v>214</v>
      </c>
      <c r="B91" s="1">
        <v>40551</v>
      </c>
      <c r="C91" s="1">
        <v>40557</v>
      </c>
      <c r="D91" t="s">
        <v>1</v>
      </c>
      <c r="E91" t="s">
        <v>124</v>
      </c>
      <c r="F91" t="s">
        <v>3</v>
      </c>
      <c r="G91" t="s">
        <v>215</v>
      </c>
      <c r="H91" t="s">
        <v>115</v>
      </c>
      <c r="I91" t="s">
        <v>29</v>
      </c>
      <c r="J91" t="s">
        <v>76</v>
      </c>
      <c r="K91" t="s">
        <v>7</v>
      </c>
      <c r="L91" t="s">
        <v>91</v>
      </c>
      <c r="M91">
        <v>116</v>
      </c>
      <c r="N91">
        <v>5</v>
      </c>
      <c r="O91">
        <v>0.5</v>
      </c>
      <c r="P91">
        <v>-55.65</v>
      </c>
      <c r="Q91">
        <v>3.91</v>
      </c>
      <c r="R91" t="s">
        <v>9</v>
      </c>
    </row>
    <row r="92" spans="1:18" x14ac:dyDescent="0.25">
      <c r="A92" t="s">
        <v>220</v>
      </c>
      <c r="B92" s="1">
        <v>40551</v>
      </c>
      <c r="C92" s="1">
        <v>40554</v>
      </c>
      <c r="D92" t="s">
        <v>18</v>
      </c>
      <c r="E92" t="s">
        <v>221</v>
      </c>
      <c r="F92" t="s">
        <v>3</v>
      </c>
      <c r="G92" t="s">
        <v>222</v>
      </c>
      <c r="H92" t="s">
        <v>223</v>
      </c>
      <c r="I92" t="s">
        <v>6</v>
      </c>
      <c r="J92" t="s">
        <v>6</v>
      </c>
      <c r="K92" t="s">
        <v>7</v>
      </c>
      <c r="L92" t="s">
        <v>137</v>
      </c>
      <c r="M92">
        <v>5</v>
      </c>
      <c r="N92">
        <v>2</v>
      </c>
      <c r="O92">
        <v>0.7</v>
      </c>
      <c r="P92">
        <v>-4.5419999999999998</v>
      </c>
      <c r="Q92">
        <v>0.82</v>
      </c>
      <c r="R92" t="s">
        <v>23</v>
      </c>
    </row>
    <row r="93" spans="1:18" x14ac:dyDescent="0.25">
      <c r="A93" t="s">
        <v>218</v>
      </c>
      <c r="B93" s="1">
        <v>40551</v>
      </c>
      <c r="C93" s="1">
        <v>40556</v>
      </c>
      <c r="D93" t="s">
        <v>1</v>
      </c>
      <c r="E93" t="s">
        <v>219</v>
      </c>
      <c r="F93" t="s">
        <v>3</v>
      </c>
      <c r="G93" t="s">
        <v>125</v>
      </c>
      <c r="H93" t="s">
        <v>126</v>
      </c>
      <c r="I93" t="s">
        <v>127</v>
      </c>
      <c r="J93" t="s">
        <v>76</v>
      </c>
      <c r="K93" t="s">
        <v>7</v>
      </c>
      <c r="L93" t="s">
        <v>137</v>
      </c>
      <c r="M93">
        <v>10</v>
      </c>
      <c r="N93">
        <v>7</v>
      </c>
      <c r="O93">
        <v>0.8</v>
      </c>
      <c r="P93">
        <v>-18.252500000000001</v>
      </c>
      <c r="Q93">
        <v>0.63</v>
      </c>
      <c r="R93" t="s">
        <v>9</v>
      </c>
    </row>
    <row r="94" spans="1:18" x14ac:dyDescent="0.25">
      <c r="A94" t="s">
        <v>224</v>
      </c>
      <c r="B94" s="1">
        <v>40552</v>
      </c>
      <c r="C94" s="1">
        <v>40556</v>
      </c>
      <c r="D94" t="s">
        <v>1</v>
      </c>
      <c r="E94" t="s">
        <v>225</v>
      </c>
      <c r="F94" t="s">
        <v>43</v>
      </c>
      <c r="G94" t="s">
        <v>226</v>
      </c>
      <c r="H94" t="s">
        <v>157</v>
      </c>
      <c r="I94" t="s">
        <v>14</v>
      </c>
      <c r="J94" t="s">
        <v>61</v>
      </c>
      <c r="K94" t="s">
        <v>38</v>
      </c>
      <c r="L94" t="s">
        <v>77</v>
      </c>
      <c r="M94">
        <v>240</v>
      </c>
      <c r="N94">
        <v>2</v>
      </c>
      <c r="O94">
        <v>0.17</v>
      </c>
      <c r="P94">
        <v>-11.6028</v>
      </c>
      <c r="Q94">
        <v>34.99</v>
      </c>
      <c r="R94" t="s">
        <v>23</v>
      </c>
    </row>
    <row r="95" spans="1:18" x14ac:dyDescent="0.25">
      <c r="A95" t="s">
        <v>227</v>
      </c>
      <c r="B95" s="1">
        <v>40552</v>
      </c>
      <c r="C95" s="1">
        <v>40557</v>
      </c>
      <c r="D95" t="s">
        <v>1</v>
      </c>
      <c r="E95" t="s">
        <v>228</v>
      </c>
      <c r="F95" t="s">
        <v>3</v>
      </c>
      <c r="G95" t="s">
        <v>229</v>
      </c>
      <c r="H95" t="s">
        <v>161</v>
      </c>
      <c r="I95" t="s">
        <v>14</v>
      </c>
      <c r="J95" t="s">
        <v>61</v>
      </c>
      <c r="K95" t="s">
        <v>38</v>
      </c>
      <c r="L95" t="s">
        <v>82</v>
      </c>
      <c r="M95">
        <v>177</v>
      </c>
      <c r="N95">
        <v>6</v>
      </c>
      <c r="O95">
        <v>0.47</v>
      </c>
      <c r="P95">
        <v>-156.67920000000001</v>
      </c>
      <c r="Q95">
        <v>17.09</v>
      </c>
      <c r="R95" t="s">
        <v>9</v>
      </c>
    </row>
    <row r="96" spans="1:18" x14ac:dyDescent="0.25">
      <c r="A96" t="s">
        <v>230</v>
      </c>
      <c r="B96" s="1">
        <v>40552</v>
      </c>
      <c r="C96" s="1">
        <v>40556</v>
      </c>
      <c r="D96" t="s">
        <v>1</v>
      </c>
      <c r="E96" t="s">
        <v>231</v>
      </c>
      <c r="F96" t="s">
        <v>26</v>
      </c>
      <c r="G96" t="s">
        <v>232</v>
      </c>
      <c r="H96" t="s">
        <v>60</v>
      </c>
      <c r="I96" t="s">
        <v>14</v>
      </c>
      <c r="J96" t="s">
        <v>61</v>
      </c>
      <c r="K96" t="s">
        <v>7</v>
      </c>
      <c r="L96" t="s">
        <v>8</v>
      </c>
      <c r="M96">
        <v>158</v>
      </c>
      <c r="N96">
        <v>5</v>
      </c>
      <c r="O96">
        <v>0.45</v>
      </c>
      <c r="P96">
        <v>-2.9775</v>
      </c>
      <c r="Q96">
        <v>10.08</v>
      </c>
      <c r="R96" t="s">
        <v>23</v>
      </c>
    </row>
    <row r="97" spans="1:18" x14ac:dyDescent="0.25">
      <c r="A97" t="s">
        <v>227</v>
      </c>
      <c r="B97" s="1">
        <v>40552</v>
      </c>
      <c r="C97" s="1">
        <v>40557</v>
      </c>
      <c r="D97" t="s">
        <v>1</v>
      </c>
      <c r="E97" t="s">
        <v>228</v>
      </c>
      <c r="F97" t="s">
        <v>3</v>
      </c>
      <c r="G97" t="s">
        <v>229</v>
      </c>
      <c r="H97" t="s">
        <v>161</v>
      </c>
      <c r="I97" t="s">
        <v>14</v>
      </c>
      <c r="J97" t="s">
        <v>61</v>
      </c>
      <c r="K97" t="s">
        <v>38</v>
      </c>
      <c r="L97" t="s">
        <v>77</v>
      </c>
      <c r="M97">
        <v>124</v>
      </c>
      <c r="N97">
        <v>2</v>
      </c>
      <c r="O97">
        <v>0.17</v>
      </c>
      <c r="P97">
        <v>32.792999999999999</v>
      </c>
      <c r="Q97">
        <v>7.93</v>
      </c>
      <c r="R97" t="s">
        <v>9</v>
      </c>
    </row>
    <row r="98" spans="1:18" x14ac:dyDescent="0.25">
      <c r="A98" t="s">
        <v>230</v>
      </c>
      <c r="B98" s="1">
        <v>40552</v>
      </c>
      <c r="C98" s="1">
        <v>40556</v>
      </c>
      <c r="D98" t="s">
        <v>1</v>
      </c>
      <c r="E98" t="s">
        <v>231</v>
      </c>
      <c r="F98" t="s">
        <v>26</v>
      </c>
      <c r="G98" t="s">
        <v>232</v>
      </c>
      <c r="H98" t="s">
        <v>60</v>
      </c>
      <c r="I98" t="s">
        <v>14</v>
      </c>
      <c r="J98" t="s">
        <v>61</v>
      </c>
      <c r="K98" t="s">
        <v>7</v>
      </c>
      <c r="L98" t="s">
        <v>97</v>
      </c>
      <c r="M98">
        <v>52</v>
      </c>
      <c r="N98">
        <v>7</v>
      </c>
      <c r="O98">
        <v>0.45</v>
      </c>
      <c r="P98">
        <v>4.5884999999999998</v>
      </c>
      <c r="Q98">
        <v>5.55</v>
      </c>
      <c r="R98" t="s">
        <v>23</v>
      </c>
    </row>
    <row r="99" spans="1:18" x14ac:dyDescent="0.25">
      <c r="A99" t="s">
        <v>227</v>
      </c>
      <c r="B99" s="1">
        <v>40552</v>
      </c>
      <c r="C99" s="1">
        <v>40557</v>
      </c>
      <c r="D99" t="s">
        <v>1</v>
      </c>
      <c r="E99" t="s">
        <v>228</v>
      </c>
      <c r="F99" t="s">
        <v>3</v>
      </c>
      <c r="G99" t="s">
        <v>229</v>
      </c>
      <c r="H99" t="s">
        <v>161</v>
      </c>
      <c r="I99" t="s">
        <v>14</v>
      </c>
      <c r="J99" t="s">
        <v>61</v>
      </c>
      <c r="K99" t="s">
        <v>7</v>
      </c>
      <c r="L99" t="s">
        <v>87</v>
      </c>
      <c r="M99">
        <v>45</v>
      </c>
      <c r="N99">
        <v>5</v>
      </c>
      <c r="O99">
        <v>0.17</v>
      </c>
      <c r="P99">
        <v>17.8935</v>
      </c>
      <c r="Q99">
        <v>3.31</v>
      </c>
      <c r="R99" t="s">
        <v>9</v>
      </c>
    </row>
    <row r="100" spans="1:18" x14ac:dyDescent="0.25">
      <c r="A100" t="s">
        <v>230</v>
      </c>
      <c r="B100" s="1">
        <v>40552</v>
      </c>
      <c r="C100" s="1">
        <v>40556</v>
      </c>
      <c r="D100" t="s">
        <v>1</v>
      </c>
      <c r="E100" t="s">
        <v>231</v>
      </c>
      <c r="F100" t="s">
        <v>26</v>
      </c>
      <c r="G100" t="s">
        <v>232</v>
      </c>
      <c r="H100" t="s">
        <v>60</v>
      </c>
      <c r="I100" t="s">
        <v>14</v>
      </c>
      <c r="J100" t="s">
        <v>61</v>
      </c>
      <c r="K100" t="s">
        <v>7</v>
      </c>
      <c r="L100" t="s">
        <v>31</v>
      </c>
      <c r="M100">
        <v>9</v>
      </c>
      <c r="N100">
        <v>1</v>
      </c>
      <c r="O100">
        <v>0.45</v>
      </c>
      <c r="P100">
        <v>-1.7175</v>
      </c>
      <c r="Q100">
        <v>0.69</v>
      </c>
      <c r="R100" t="s">
        <v>23</v>
      </c>
    </row>
    <row r="101" spans="1:18" x14ac:dyDescent="0.25">
      <c r="A101" t="s">
        <v>227</v>
      </c>
      <c r="B101" s="1">
        <v>40552</v>
      </c>
      <c r="C101" s="1">
        <v>40557</v>
      </c>
      <c r="D101" t="s">
        <v>1</v>
      </c>
      <c r="E101" t="s">
        <v>228</v>
      </c>
      <c r="F101" t="s">
        <v>3</v>
      </c>
      <c r="G101" t="s">
        <v>229</v>
      </c>
      <c r="H101" t="s">
        <v>161</v>
      </c>
      <c r="I101" t="s">
        <v>14</v>
      </c>
      <c r="J101" t="s">
        <v>61</v>
      </c>
      <c r="K101" t="s">
        <v>7</v>
      </c>
      <c r="L101" t="s">
        <v>137</v>
      </c>
      <c r="M101">
        <v>10</v>
      </c>
      <c r="N101">
        <v>2</v>
      </c>
      <c r="O101">
        <v>0.17</v>
      </c>
      <c r="P101">
        <v>7.1400000000000005E-2</v>
      </c>
      <c r="Q101">
        <v>0.25</v>
      </c>
      <c r="R101" t="s">
        <v>9</v>
      </c>
    </row>
    <row r="102" spans="1:18" x14ac:dyDescent="0.25">
      <c r="A102" t="s">
        <v>233</v>
      </c>
      <c r="B102" s="1">
        <v>40553</v>
      </c>
      <c r="C102" s="1">
        <v>40554</v>
      </c>
      <c r="D102" t="s">
        <v>142</v>
      </c>
      <c r="E102" t="s">
        <v>234</v>
      </c>
      <c r="F102" t="s">
        <v>3</v>
      </c>
      <c r="G102" t="s">
        <v>235</v>
      </c>
      <c r="H102" t="s">
        <v>13</v>
      </c>
      <c r="I102" t="s">
        <v>14</v>
      </c>
      <c r="J102" t="s">
        <v>15</v>
      </c>
      <c r="K102" t="s">
        <v>38</v>
      </c>
      <c r="L102" t="s">
        <v>77</v>
      </c>
      <c r="M102" s="2">
        <v>2875</v>
      </c>
      <c r="N102">
        <v>5</v>
      </c>
      <c r="O102">
        <v>0.1</v>
      </c>
      <c r="P102">
        <v>511.09500000000003</v>
      </c>
      <c r="Q102">
        <v>665.27</v>
      </c>
      <c r="R102" t="s">
        <v>9</v>
      </c>
    </row>
    <row r="103" spans="1:18" x14ac:dyDescent="0.25">
      <c r="A103" t="s">
        <v>236</v>
      </c>
      <c r="B103" s="1">
        <v>40553</v>
      </c>
      <c r="C103" s="1">
        <v>40553</v>
      </c>
      <c r="D103" t="s">
        <v>41</v>
      </c>
      <c r="E103" t="s">
        <v>237</v>
      </c>
      <c r="F103" t="s">
        <v>43</v>
      </c>
      <c r="G103" t="s">
        <v>20</v>
      </c>
      <c r="H103" t="s">
        <v>21</v>
      </c>
      <c r="I103" t="s">
        <v>22</v>
      </c>
      <c r="J103" t="s">
        <v>22</v>
      </c>
      <c r="K103" t="s">
        <v>32</v>
      </c>
      <c r="L103" t="s">
        <v>67</v>
      </c>
      <c r="M103">
        <v>363</v>
      </c>
      <c r="N103">
        <v>1</v>
      </c>
      <c r="O103">
        <v>0</v>
      </c>
      <c r="P103">
        <v>159.87</v>
      </c>
      <c r="Q103">
        <v>134.59</v>
      </c>
      <c r="R103" t="s">
        <v>45</v>
      </c>
    </row>
    <row r="104" spans="1:18" x14ac:dyDescent="0.25">
      <c r="A104" t="s">
        <v>236</v>
      </c>
      <c r="B104" s="1">
        <v>40553</v>
      </c>
      <c r="C104" s="1">
        <v>40553</v>
      </c>
      <c r="D104" t="s">
        <v>41</v>
      </c>
      <c r="E104" t="s">
        <v>237</v>
      </c>
      <c r="F104" t="s">
        <v>43</v>
      </c>
      <c r="G104" t="s">
        <v>20</v>
      </c>
      <c r="H104" t="s">
        <v>21</v>
      </c>
      <c r="I104" t="s">
        <v>22</v>
      </c>
      <c r="J104" t="s">
        <v>22</v>
      </c>
      <c r="K104" t="s">
        <v>38</v>
      </c>
      <c r="L104" t="s">
        <v>50</v>
      </c>
      <c r="M104">
        <v>589</v>
      </c>
      <c r="N104">
        <v>4</v>
      </c>
      <c r="O104">
        <v>0</v>
      </c>
      <c r="P104">
        <v>276.60000000000002</v>
      </c>
      <c r="Q104">
        <v>114.15</v>
      </c>
      <c r="R104" t="s">
        <v>45</v>
      </c>
    </row>
    <row r="105" spans="1:18" x14ac:dyDescent="0.25">
      <c r="A105" t="s">
        <v>238</v>
      </c>
      <c r="B105" s="1">
        <v>40553</v>
      </c>
      <c r="C105" s="1">
        <v>40555</v>
      </c>
      <c r="D105" t="s">
        <v>18</v>
      </c>
      <c r="E105" t="s">
        <v>239</v>
      </c>
      <c r="F105" t="s">
        <v>26</v>
      </c>
      <c r="G105" t="s">
        <v>240</v>
      </c>
      <c r="H105" t="s">
        <v>241</v>
      </c>
      <c r="I105" t="s">
        <v>6</v>
      </c>
      <c r="J105" t="s">
        <v>6</v>
      </c>
      <c r="K105" t="s">
        <v>32</v>
      </c>
      <c r="L105" t="s">
        <v>62</v>
      </c>
      <c r="M105">
        <v>968</v>
      </c>
      <c r="N105">
        <v>2</v>
      </c>
      <c r="O105">
        <v>0</v>
      </c>
      <c r="P105">
        <v>445.26</v>
      </c>
      <c r="Q105">
        <v>80.13</v>
      </c>
      <c r="R105" t="s">
        <v>23</v>
      </c>
    </row>
    <row r="106" spans="1:18" x14ac:dyDescent="0.25">
      <c r="A106" t="s">
        <v>236</v>
      </c>
      <c r="B106" s="1">
        <v>40553</v>
      </c>
      <c r="C106" s="1">
        <v>40553</v>
      </c>
      <c r="D106" t="s">
        <v>41</v>
      </c>
      <c r="E106" t="s">
        <v>237</v>
      </c>
      <c r="F106" t="s">
        <v>43</v>
      </c>
      <c r="G106" t="s">
        <v>20</v>
      </c>
      <c r="H106" t="s">
        <v>21</v>
      </c>
      <c r="I106" t="s">
        <v>22</v>
      </c>
      <c r="J106" t="s">
        <v>22</v>
      </c>
      <c r="K106" t="s">
        <v>7</v>
      </c>
      <c r="L106" t="s">
        <v>31</v>
      </c>
      <c r="M106">
        <v>142</v>
      </c>
      <c r="N106">
        <v>6</v>
      </c>
      <c r="O106">
        <v>0</v>
      </c>
      <c r="P106">
        <v>63.9</v>
      </c>
      <c r="Q106">
        <v>67.790000000000006</v>
      </c>
      <c r="R106" t="s">
        <v>45</v>
      </c>
    </row>
    <row r="107" spans="1:18" x14ac:dyDescent="0.25">
      <c r="A107" t="s">
        <v>236</v>
      </c>
      <c r="B107" s="1">
        <v>40553</v>
      </c>
      <c r="C107" s="1">
        <v>40553</v>
      </c>
      <c r="D107" t="s">
        <v>41</v>
      </c>
      <c r="E107" t="s">
        <v>237</v>
      </c>
      <c r="F107" t="s">
        <v>43</v>
      </c>
      <c r="G107" t="s">
        <v>20</v>
      </c>
      <c r="H107" t="s">
        <v>21</v>
      </c>
      <c r="I107" t="s">
        <v>22</v>
      </c>
      <c r="J107" t="s">
        <v>22</v>
      </c>
      <c r="K107" t="s">
        <v>7</v>
      </c>
      <c r="L107" t="s">
        <v>91</v>
      </c>
      <c r="M107">
        <v>155</v>
      </c>
      <c r="N107">
        <v>6</v>
      </c>
      <c r="O107">
        <v>0</v>
      </c>
      <c r="P107">
        <v>54.18</v>
      </c>
      <c r="Q107">
        <v>58.32</v>
      </c>
      <c r="R107" t="s">
        <v>45</v>
      </c>
    </row>
    <row r="108" spans="1:18" x14ac:dyDescent="0.25">
      <c r="A108" t="s">
        <v>236</v>
      </c>
      <c r="B108" s="1">
        <v>40553</v>
      </c>
      <c r="C108" s="1">
        <v>40553</v>
      </c>
      <c r="D108" t="s">
        <v>41</v>
      </c>
      <c r="E108" t="s">
        <v>237</v>
      </c>
      <c r="F108" t="s">
        <v>43</v>
      </c>
      <c r="G108" t="s">
        <v>20</v>
      </c>
      <c r="H108" t="s">
        <v>21</v>
      </c>
      <c r="I108" t="s">
        <v>22</v>
      </c>
      <c r="J108" t="s">
        <v>22</v>
      </c>
      <c r="K108" t="s">
        <v>38</v>
      </c>
      <c r="L108" t="s">
        <v>39</v>
      </c>
      <c r="M108">
        <v>156</v>
      </c>
      <c r="N108">
        <v>2</v>
      </c>
      <c r="O108">
        <v>0</v>
      </c>
      <c r="P108">
        <v>23.4</v>
      </c>
      <c r="Q108">
        <v>52.91</v>
      </c>
      <c r="R108" t="s">
        <v>45</v>
      </c>
    </row>
    <row r="109" spans="1:18" x14ac:dyDescent="0.25">
      <c r="A109" t="s">
        <v>242</v>
      </c>
      <c r="B109" s="1">
        <v>40553</v>
      </c>
      <c r="C109" s="1">
        <v>40558</v>
      </c>
      <c r="D109" t="s">
        <v>18</v>
      </c>
      <c r="E109" t="s">
        <v>243</v>
      </c>
      <c r="F109" t="s">
        <v>43</v>
      </c>
      <c r="G109" t="s">
        <v>4</v>
      </c>
      <c r="H109" t="s">
        <v>5</v>
      </c>
      <c r="I109" t="s">
        <v>6</v>
      </c>
      <c r="J109" t="s">
        <v>6</v>
      </c>
      <c r="K109" t="s">
        <v>7</v>
      </c>
      <c r="L109" t="s">
        <v>44</v>
      </c>
      <c r="M109">
        <v>309</v>
      </c>
      <c r="N109">
        <v>1</v>
      </c>
      <c r="O109">
        <v>0</v>
      </c>
      <c r="P109">
        <v>61.71</v>
      </c>
      <c r="Q109">
        <v>31.41</v>
      </c>
      <c r="R109" t="s">
        <v>9</v>
      </c>
    </row>
    <row r="110" spans="1:18" x14ac:dyDescent="0.25">
      <c r="A110" t="s">
        <v>244</v>
      </c>
      <c r="B110" s="1">
        <v>40553</v>
      </c>
      <c r="C110" s="1">
        <v>40559</v>
      </c>
      <c r="D110" t="s">
        <v>1</v>
      </c>
      <c r="E110" t="s">
        <v>245</v>
      </c>
      <c r="F110" t="s">
        <v>3</v>
      </c>
      <c r="G110" t="s">
        <v>246</v>
      </c>
      <c r="H110" t="s">
        <v>247</v>
      </c>
      <c r="I110" t="s">
        <v>75</v>
      </c>
      <c r="J110" t="s">
        <v>102</v>
      </c>
      <c r="K110" t="s">
        <v>38</v>
      </c>
      <c r="L110" t="s">
        <v>50</v>
      </c>
      <c r="M110">
        <v>425</v>
      </c>
      <c r="N110">
        <v>3</v>
      </c>
      <c r="O110">
        <v>0.40200000000000002</v>
      </c>
      <c r="P110">
        <v>-278.79023999999998</v>
      </c>
      <c r="Q110">
        <v>26.72</v>
      </c>
      <c r="R110" t="s">
        <v>9</v>
      </c>
    </row>
    <row r="111" spans="1:18" x14ac:dyDescent="0.25">
      <c r="A111" t="s">
        <v>236</v>
      </c>
      <c r="B111" s="1">
        <v>40553</v>
      </c>
      <c r="C111" s="1">
        <v>40553</v>
      </c>
      <c r="D111" t="s">
        <v>41</v>
      </c>
      <c r="E111" t="s">
        <v>237</v>
      </c>
      <c r="F111" t="s">
        <v>43</v>
      </c>
      <c r="G111" t="s">
        <v>20</v>
      </c>
      <c r="H111" t="s">
        <v>21</v>
      </c>
      <c r="I111" t="s">
        <v>22</v>
      </c>
      <c r="J111" t="s">
        <v>22</v>
      </c>
      <c r="K111" t="s">
        <v>7</v>
      </c>
      <c r="L111" t="s">
        <v>31</v>
      </c>
      <c r="M111">
        <v>53</v>
      </c>
      <c r="N111">
        <v>2</v>
      </c>
      <c r="O111">
        <v>0</v>
      </c>
      <c r="P111">
        <v>0</v>
      </c>
      <c r="Q111">
        <v>16.059999999999999</v>
      </c>
      <c r="R111" t="s">
        <v>45</v>
      </c>
    </row>
    <row r="112" spans="1:18" x14ac:dyDescent="0.25">
      <c r="A112" t="s">
        <v>248</v>
      </c>
      <c r="B112" s="1">
        <v>40553</v>
      </c>
      <c r="C112" s="1">
        <v>40557</v>
      </c>
      <c r="D112" t="s">
        <v>1</v>
      </c>
      <c r="E112" t="s">
        <v>249</v>
      </c>
      <c r="F112" t="s">
        <v>43</v>
      </c>
      <c r="G112" t="s">
        <v>65</v>
      </c>
      <c r="H112" t="s">
        <v>66</v>
      </c>
      <c r="I112" t="s">
        <v>29</v>
      </c>
      <c r="J112" t="s">
        <v>30</v>
      </c>
      <c r="K112" t="s">
        <v>7</v>
      </c>
      <c r="L112" t="s">
        <v>8</v>
      </c>
      <c r="M112">
        <v>206</v>
      </c>
      <c r="N112">
        <v>3</v>
      </c>
      <c r="O112">
        <v>0.5</v>
      </c>
      <c r="P112">
        <v>-41.265000000000001</v>
      </c>
      <c r="Q112">
        <v>14.65</v>
      </c>
      <c r="R112" t="s">
        <v>9</v>
      </c>
    </row>
    <row r="113" spans="1:18" x14ac:dyDescent="0.25">
      <c r="A113" t="s">
        <v>236</v>
      </c>
      <c r="B113" s="1">
        <v>40553</v>
      </c>
      <c r="C113" s="1">
        <v>40553</v>
      </c>
      <c r="D113" t="s">
        <v>41</v>
      </c>
      <c r="E113" t="s">
        <v>237</v>
      </c>
      <c r="F113" t="s">
        <v>43</v>
      </c>
      <c r="G113" t="s">
        <v>20</v>
      </c>
      <c r="H113" t="s">
        <v>21</v>
      </c>
      <c r="I113" t="s">
        <v>22</v>
      </c>
      <c r="J113" t="s">
        <v>22</v>
      </c>
      <c r="K113" t="s">
        <v>7</v>
      </c>
      <c r="L113" t="s">
        <v>96</v>
      </c>
      <c r="M113">
        <v>42</v>
      </c>
      <c r="N113">
        <v>1</v>
      </c>
      <c r="O113">
        <v>0</v>
      </c>
      <c r="P113">
        <v>1.65</v>
      </c>
      <c r="Q113">
        <v>13.08</v>
      </c>
      <c r="R113" t="s">
        <v>45</v>
      </c>
    </row>
    <row r="114" spans="1:18" x14ac:dyDescent="0.25">
      <c r="A114" t="s">
        <v>250</v>
      </c>
      <c r="B114" s="1">
        <v>40553</v>
      </c>
      <c r="C114" s="1">
        <v>40558</v>
      </c>
      <c r="D114" t="s">
        <v>1</v>
      </c>
      <c r="E114" t="s">
        <v>251</v>
      </c>
      <c r="F114" t="s">
        <v>3</v>
      </c>
      <c r="G114" t="s">
        <v>252</v>
      </c>
      <c r="H114" t="s">
        <v>106</v>
      </c>
      <c r="I114" t="s">
        <v>75</v>
      </c>
      <c r="J114" t="s">
        <v>30</v>
      </c>
      <c r="K114" t="s">
        <v>7</v>
      </c>
      <c r="L114" t="s">
        <v>8</v>
      </c>
      <c r="M114">
        <v>114</v>
      </c>
      <c r="N114">
        <v>3</v>
      </c>
      <c r="O114">
        <v>0</v>
      </c>
      <c r="P114">
        <v>56.88</v>
      </c>
      <c r="Q114">
        <v>8.93</v>
      </c>
      <c r="R114" t="s">
        <v>9</v>
      </c>
    </row>
    <row r="115" spans="1:18" x14ac:dyDescent="0.25">
      <c r="A115" t="s">
        <v>253</v>
      </c>
      <c r="B115" s="1">
        <v>40553</v>
      </c>
      <c r="C115" s="1">
        <v>40554</v>
      </c>
      <c r="D115" t="s">
        <v>142</v>
      </c>
      <c r="E115" t="s">
        <v>254</v>
      </c>
      <c r="F115" t="s">
        <v>3</v>
      </c>
      <c r="G115" t="s">
        <v>255</v>
      </c>
      <c r="H115" t="s">
        <v>169</v>
      </c>
      <c r="I115" t="s">
        <v>14</v>
      </c>
      <c r="J115" t="s">
        <v>132</v>
      </c>
      <c r="K115" t="s">
        <v>7</v>
      </c>
      <c r="L115" t="s">
        <v>16</v>
      </c>
      <c r="M115">
        <v>26</v>
      </c>
      <c r="N115">
        <v>2</v>
      </c>
      <c r="O115">
        <v>0</v>
      </c>
      <c r="P115">
        <v>5.4</v>
      </c>
      <c r="Q115">
        <v>5.86</v>
      </c>
      <c r="R115" t="s">
        <v>23</v>
      </c>
    </row>
    <row r="116" spans="1:18" x14ac:dyDescent="0.25">
      <c r="A116" t="s">
        <v>233</v>
      </c>
      <c r="B116" s="1">
        <v>40553</v>
      </c>
      <c r="C116" s="1">
        <v>40554</v>
      </c>
      <c r="D116" t="s">
        <v>142</v>
      </c>
      <c r="E116" t="s">
        <v>234</v>
      </c>
      <c r="F116" t="s">
        <v>3</v>
      </c>
      <c r="G116" t="s">
        <v>235</v>
      </c>
      <c r="H116" t="s">
        <v>13</v>
      </c>
      <c r="I116" t="s">
        <v>14</v>
      </c>
      <c r="J116" t="s">
        <v>15</v>
      </c>
      <c r="K116" t="s">
        <v>7</v>
      </c>
      <c r="L116" t="s">
        <v>87</v>
      </c>
      <c r="M116">
        <v>30</v>
      </c>
      <c r="N116">
        <v>4</v>
      </c>
      <c r="O116">
        <v>0.1</v>
      </c>
      <c r="P116">
        <v>12.096</v>
      </c>
      <c r="Q116">
        <v>5.54</v>
      </c>
      <c r="R116" t="s">
        <v>9</v>
      </c>
    </row>
    <row r="117" spans="1:18" x14ac:dyDescent="0.25">
      <c r="A117" t="s">
        <v>253</v>
      </c>
      <c r="B117" s="1">
        <v>40553</v>
      </c>
      <c r="C117" s="1">
        <v>40554</v>
      </c>
      <c r="D117" t="s">
        <v>142</v>
      </c>
      <c r="E117" t="s">
        <v>254</v>
      </c>
      <c r="F117" t="s">
        <v>3</v>
      </c>
      <c r="G117" t="s">
        <v>255</v>
      </c>
      <c r="H117" t="s">
        <v>169</v>
      </c>
      <c r="I117" t="s">
        <v>14</v>
      </c>
      <c r="J117" t="s">
        <v>132</v>
      </c>
      <c r="K117" t="s">
        <v>7</v>
      </c>
      <c r="L117" t="s">
        <v>137</v>
      </c>
      <c r="M117">
        <v>34</v>
      </c>
      <c r="N117">
        <v>3</v>
      </c>
      <c r="O117">
        <v>0</v>
      </c>
      <c r="P117">
        <v>16.11</v>
      </c>
      <c r="Q117">
        <v>5.26</v>
      </c>
      <c r="R117" t="s">
        <v>23</v>
      </c>
    </row>
    <row r="118" spans="1:18" x14ac:dyDescent="0.25">
      <c r="A118" t="s">
        <v>236</v>
      </c>
      <c r="B118" s="1">
        <v>40553</v>
      </c>
      <c r="C118" s="1">
        <v>40553</v>
      </c>
      <c r="D118" t="s">
        <v>41</v>
      </c>
      <c r="E118" t="s">
        <v>237</v>
      </c>
      <c r="F118" t="s">
        <v>43</v>
      </c>
      <c r="G118" t="s">
        <v>20</v>
      </c>
      <c r="H118" t="s">
        <v>21</v>
      </c>
      <c r="I118" t="s">
        <v>22</v>
      </c>
      <c r="J118" t="s">
        <v>22</v>
      </c>
      <c r="K118" t="s">
        <v>38</v>
      </c>
      <c r="L118" t="s">
        <v>39</v>
      </c>
      <c r="M118">
        <v>37</v>
      </c>
      <c r="N118">
        <v>1</v>
      </c>
      <c r="O118">
        <v>0</v>
      </c>
      <c r="P118">
        <v>5.55</v>
      </c>
      <c r="Q118">
        <v>4.32</v>
      </c>
      <c r="R118" t="s">
        <v>45</v>
      </c>
    </row>
    <row r="119" spans="1:18" x14ac:dyDescent="0.25">
      <c r="A119" t="s">
        <v>233</v>
      </c>
      <c r="B119" s="1">
        <v>40553</v>
      </c>
      <c r="C119" s="1">
        <v>40554</v>
      </c>
      <c r="D119" t="s">
        <v>142</v>
      </c>
      <c r="E119" t="s">
        <v>234</v>
      </c>
      <c r="F119" t="s">
        <v>3</v>
      </c>
      <c r="G119" t="s">
        <v>235</v>
      </c>
      <c r="H119" t="s">
        <v>13</v>
      </c>
      <c r="I119" t="s">
        <v>14</v>
      </c>
      <c r="J119" t="s">
        <v>15</v>
      </c>
      <c r="K119" t="s">
        <v>7</v>
      </c>
      <c r="L119" t="s">
        <v>31</v>
      </c>
      <c r="M119">
        <v>162</v>
      </c>
      <c r="N119">
        <v>6</v>
      </c>
      <c r="O119">
        <v>0.1</v>
      </c>
      <c r="P119">
        <v>53.694000000000003</v>
      </c>
      <c r="Q119">
        <v>3.02</v>
      </c>
      <c r="R119" t="s">
        <v>9</v>
      </c>
    </row>
    <row r="120" spans="1:18" x14ac:dyDescent="0.25">
      <c r="A120" t="s">
        <v>236</v>
      </c>
      <c r="B120" s="1">
        <v>40553</v>
      </c>
      <c r="C120" s="1">
        <v>40553</v>
      </c>
      <c r="D120" t="s">
        <v>41</v>
      </c>
      <c r="E120" t="s">
        <v>237</v>
      </c>
      <c r="F120" t="s">
        <v>43</v>
      </c>
      <c r="G120" t="s">
        <v>20</v>
      </c>
      <c r="H120" t="s">
        <v>21</v>
      </c>
      <c r="I120" t="s">
        <v>22</v>
      </c>
      <c r="J120" t="s">
        <v>22</v>
      </c>
      <c r="K120" t="s">
        <v>7</v>
      </c>
      <c r="L120" t="s">
        <v>91</v>
      </c>
      <c r="M120">
        <v>11</v>
      </c>
      <c r="N120">
        <v>1</v>
      </c>
      <c r="O120">
        <v>0</v>
      </c>
      <c r="P120">
        <v>2.61</v>
      </c>
      <c r="Q120">
        <v>2.59</v>
      </c>
      <c r="R120" t="s">
        <v>45</v>
      </c>
    </row>
    <row r="121" spans="1:18" x14ac:dyDescent="0.25">
      <c r="A121" t="s">
        <v>236</v>
      </c>
      <c r="B121" s="1">
        <v>40553</v>
      </c>
      <c r="C121" s="1">
        <v>40553</v>
      </c>
      <c r="D121" t="s">
        <v>41</v>
      </c>
      <c r="E121" t="s">
        <v>237</v>
      </c>
      <c r="F121" t="s">
        <v>43</v>
      </c>
      <c r="G121" t="s">
        <v>20</v>
      </c>
      <c r="H121" t="s">
        <v>21</v>
      </c>
      <c r="I121" t="s">
        <v>22</v>
      </c>
      <c r="J121" t="s">
        <v>22</v>
      </c>
      <c r="K121" t="s">
        <v>7</v>
      </c>
      <c r="L121" t="s">
        <v>137</v>
      </c>
      <c r="M121">
        <v>11</v>
      </c>
      <c r="N121">
        <v>1</v>
      </c>
      <c r="O121">
        <v>0</v>
      </c>
      <c r="P121">
        <v>2.4</v>
      </c>
      <c r="Q121">
        <v>2.0299999999999998</v>
      </c>
      <c r="R121" t="s">
        <v>45</v>
      </c>
    </row>
    <row r="122" spans="1:18" x14ac:dyDescent="0.25">
      <c r="A122" t="s">
        <v>256</v>
      </c>
      <c r="B122" s="1">
        <v>40553</v>
      </c>
      <c r="C122" s="1">
        <v>40557</v>
      </c>
      <c r="D122" t="s">
        <v>1</v>
      </c>
      <c r="E122" t="s">
        <v>257</v>
      </c>
      <c r="F122" t="s">
        <v>43</v>
      </c>
      <c r="G122" t="s">
        <v>258</v>
      </c>
      <c r="H122" t="s">
        <v>259</v>
      </c>
      <c r="I122" t="s">
        <v>6</v>
      </c>
      <c r="J122" t="s">
        <v>6</v>
      </c>
      <c r="K122" t="s">
        <v>7</v>
      </c>
      <c r="L122" t="s">
        <v>137</v>
      </c>
      <c r="M122">
        <v>17</v>
      </c>
      <c r="N122">
        <v>1</v>
      </c>
      <c r="O122">
        <v>0</v>
      </c>
      <c r="P122">
        <v>4.6500000000000004</v>
      </c>
      <c r="Q122">
        <v>1.29</v>
      </c>
      <c r="R122" t="s">
        <v>9</v>
      </c>
    </row>
    <row r="123" spans="1:18" x14ac:dyDescent="0.25">
      <c r="A123" t="s">
        <v>260</v>
      </c>
      <c r="B123" s="1">
        <v>40553</v>
      </c>
      <c r="C123" s="1">
        <v>40557</v>
      </c>
      <c r="D123" t="s">
        <v>1</v>
      </c>
      <c r="E123" t="s">
        <v>261</v>
      </c>
      <c r="F123" t="s">
        <v>3</v>
      </c>
      <c r="G123" t="s">
        <v>125</v>
      </c>
      <c r="H123" t="s">
        <v>126</v>
      </c>
      <c r="I123" t="s">
        <v>127</v>
      </c>
      <c r="J123" t="s">
        <v>76</v>
      </c>
      <c r="K123" t="s">
        <v>38</v>
      </c>
      <c r="L123" t="s">
        <v>82</v>
      </c>
      <c r="M123">
        <v>31</v>
      </c>
      <c r="N123">
        <v>3</v>
      </c>
      <c r="O123">
        <v>0.2</v>
      </c>
      <c r="P123">
        <v>9.75</v>
      </c>
      <c r="Q123">
        <v>1.1299999999999999</v>
      </c>
      <c r="R123" t="s">
        <v>9</v>
      </c>
    </row>
    <row r="124" spans="1:18" x14ac:dyDescent="0.25">
      <c r="A124" t="s">
        <v>262</v>
      </c>
      <c r="B124" s="1">
        <v>40553</v>
      </c>
      <c r="C124" s="1">
        <v>40558</v>
      </c>
      <c r="D124" t="s">
        <v>18</v>
      </c>
      <c r="E124" t="s">
        <v>263</v>
      </c>
      <c r="F124" t="s">
        <v>3</v>
      </c>
      <c r="G124" t="s">
        <v>264</v>
      </c>
      <c r="H124" t="s">
        <v>86</v>
      </c>
      <c r="I124" t="s">
        <v>14</v>
      </c>
      <c r="J124" t="s">
        <v>61</v>
      </c>
      <c r="K124" t="s">
        <v>7</v>
      </c>
      <c r="L124" t="s">
        <v>97</v>
      </c>
      <c r="M124">
        <v>12</v>
      </c>
      <c r="N124">
        <v>3</v>
      </c>
      <c r="O124">
        <v>0.47</v>
      </c>
      <c r="P124">
        <v>-5.6825999999999999</v>
      </c>
      <c r="Q124">
        <v>1.04</v>
      </c>
      <c r="R124" t="s">
        <v>9</v>
      </c>
    </row>
    <row r="125" spans="1:18" x14ac:dyDescent="0.25">
      <c r="A125" t="s">
        <v>250</v>
      </c>
      <c r="B125" s="1">
        <v>40553</v>
      </c>
      <c r="C125" s="1">
        <v>40558</v>
      </c>
      <c r="D125" t="s">
        <v>1</v>
      </c>
      <c r="E125" t="s">
        <v>251</v>
      </c>
      <c r="F125" t="s">
        <v>3</v>
      </c>
      <c r="G125" t="s">
        <v>252</v>
      </c>
      <c r="H125" t="s">
        <v>106</v>
      </c>
      <c r="I125" t="s">
        <v>75</v>
      </c>
      <c r="J125" t="s">
        <v>30</v>
      </c>
      <c r="K125" t="s">
        <v>7</v>
      </c>
      <c r="L125" t="s">
        <v>16</v>
      </c>
      <c r="M125">
        <v>16</v>
      </c>
      <c r="N125">
        <v>1</v>
      </c>
      <c r="O125">
        <v>0</v>
      </c>
      <c r="P125">
        <v>1.76</v>
      </c>
      <c r="Q125">
        <v>0.89</v>
      </c>
      <c r="R125" t="s">
        <v>9</v>
      </c>
    </row>
    <row r="126" spans="1:18" x14ac:dyDescent="0.25">
      <c r="A126" t="s">
        <v>260</v>
      </c>
      <c r="B126" s="1">
        <v>40553</v>
      </c>
      <c r="C126" s="1">
        <v>40557</v>
      </c>
      <c r="D126" t="s">
        <v>1</v>
      </c>
      <c r="E126" t="s">
        <v>261</v>
      </c>
      <c r="F126" t="s">
        <v>3</v>
      </c>
      <c r="G126" t="s">
        <v>125</v>
      </c>
      <c r="H126" t="s">
        <v>126</v>
      </c>
      <c r="I126" t="s">
        <v>127</v>
      </c>
      <c r="J126" t="s">
        <v>76</v>
      </c>
      <c r="K126" t="s">
        <v>7</v>
      </c>
      <c r="L126" t="s">
        <v>91</v>
      </c>
      <c r="M126">
        <v>9</v>
      </c>
      <c r="N126">
        <v>2</v>
      </c>
      <c r="O126">
        <v>0.2</v>
      </c>
      <c r="P126">
        <v>1.1679999999999999</v>
      </c>
      <c r="Q126">
        <v>0.21</v>
      </c>
      <c r="R126" t="s">
        <v>9</v>
      </c>
    </row>
    <row r="127" spans="1:18" x14ac:dyDescent="0.25">
      <c r="A127" t="s">
        <v>265</v>
      </c>
      <c r="B127" s="1">
        <v>40554</v>
      </c>
      <c r="C127" s="1">
        <v>40554</v>
      </c>
      <c r="D127" t="s">
        <v>41</v>
      </c>
      <c r="E127" t="s">
        <v>266</v>
      </c>
      <c r="F127" t="s">
        <v>3</v>
      </c>
      <c r="G127" t="s">
        <v>65</v>
      </c>
      <c r="H127" t="s">
        <v>66</v>
      </c>
      <c r="I127" t="s">
        <v>29</v>
      </c>
      <c r="J127" t="s">
        <v>30</v>
      </c>
      <c r="K127" t="s">
        <v>32</v>
      </c>
      <c r="L127" t="s">
        <v>56</v>
      </c>
      <c r="M127" s="2">
        <v>1384</v>
      </c>
      <c r="N127">
        <v>3</v>
      </c>
      <c r="O127">
        <v>0</v>
      </c>
      <c r="P127">
        <v>13.77</v>
      </c>
      <c r="Q127">
        <v>178.98</v>
      </c>
      <c r="R127" t="s">
        <v>9</v>
      </c>
    </row>
    <row r="128" spans="1:18" x14ac:dyDescent="0.25">
      <c r="A128" t="s">
        <v>267</v>
      </c>
      <c r="B128" s="1">
        <v>40554</v>
      </c>
      <c r="C128" s="1">
        <v>40555</v>
      </c>
      <c r="D128" t="s">
        <v>142</v>
      </c>
      <c r="E128" t="s">
        <v>268</v>
      </c>
      <c r="F128" t="s">
        <v>3</v>
      </c>
      <c r="G128" t="s">
        <v>252</v>
      </c>
      <c r="H128" t="s">
        <v>106</v>
      </c>
      <c r="I128" t="s">
        <v>75</v>
      </c>
      <c r="J128" t="s">
        <v>30</v>
      </c>
      <c r="K128" t="s">
        <v>7</v>
      </c>
      <c r="L128" t="s">
        <v>8</v>
      </c>
      <c r="M128" s="2">
        <v>1323</v>
      </c>
      <c r="N128">
        <v>10</v>
      </c>
      <c r="O128">
        <v>0</v>
      </c>
      <c r="P128">
        <v>238</v>
      </c>
      <c r="Q128">
        <v>103.84</v>
      </c>
      <c r="R128" t="s">
        <v>9</v>
      </c>
    </row>
    <row r="129" spans="1:18" x14ac:dyDescent="0.25">
      <c r="A129" t="s">
        <v>267</v>
      </c>
      <c r="B129" s="1">
        <v>40554</v>
      </c>
      <c r="C129" s="1">
        <v>40555</v>
      </c>
      <c r="D129" t="s">
        <v>142</v>
      </c>
      <c r="E129" t="s">
        <v>268</v>
      </c>
      <c r="F129" t="s">
        <v>3</v>
      </c>
      <c r="G129" t="s">
        <v>252</v>
      </c>
      <c r="H129" t="s">
        <v>106</v>
      </c>
      <c r="I129" t="s">
        <v>75</v>
      </c>
      <c r="J129" t="s">
        <v>30</v>
      </c>
      <c r="K129" t="s">
        <v>32</v>
      </c>
      <c r="L129" t="s">
        <v>67</v>
      </c>
      <c r="M129">
        <v>452</v>
      </c>
      <c r="N129">
        <v>5</v>
      </c>
      <c r="O129">
        <v>0.2</v>
      </c>
      <c r="P129">
        <v>-107.3</v>
      </c>
      <c r="Q129">
        <v>57.75</v>
      </c>
      <c r="R129" t="s">
        <v>9</v>
      </c>
    </row>
    <row r="130" spans="1:18" x14ac:dyDescent="0.25">
      <c r="A130" t="s">
        <v>269</v>
      </c>
      <c r="B130" s="1">
        <v>40554</v>
      </c>
      <c r="C130" s="1">
        <v>40561</v>
      </c>
      <c r="D130" t="s">
        <v>1</v>
      </c>
      <c r="E130" t="s">
        <v>270</v>
      </c>
      <c r="F130" t="s">
        <v>3</v>
      </c>
      <c r="G130" t="s">
        <v>271</v>
      </c>
      <c r="H130" t="s">
        <v>157</v>
      </c>
      <c r="I130" t="s">
        <v>14</v>
      </c>
      <c r="J130" t="s">
        <v>61</v>
      </c>
      <c r="K130" t="s">
        <v>38</v>
      </c>
      <c r="L130" t="s">
        <v>77</v>
      </c>
      <c r="M130">
        <v>554</v>
      </c>
      <c r="N130">
        <v>4</v>
      </c>
      <c r="O130">
        <v>0.17</v>
      </c>
      <c r="P130">
        <v>40.053600000000003</v>
      </c>
      <c r="Q130">
        <v>42.43</v>
      </c>
      <c r="R130" t="s">
        <v>9</v>
      </c>
    </row>
    <row r="131" spans="1:18" x14ac:dyDescent="0.25">
      <c r="A131" t="s">
        <v>272</v>
      </c>
      <c r="B131" s="1">
        <v>40554</v>
      </c>
      <c r="C131" s="1">
        <v>40559</v>
      </c>
      <c r="D131" t="s">
        <v>1</v>
      </c>
      <c r="E131" t="s">
        <v>273</v>
      </c>
      <c r="F131" t="s">
        <v>26</v>
      </c>
      <c r="G131" t="s">
        <v>232</v>
      </c>
      <c r="H131" t="s">
        <v>60</v>
      </c>
      <c r="I131" t="s">
        <v>14</v>
      </c>
      <c r="J131" t="s">
        <v>61</v>
      </c>
      <c r="K131" t="s">
        <v>38</v>
      </c>
      <c r="L131" t="s">
        <v>50</v>
      </c>
      <c r="M131">
        <v>697</v>
      </c>
      <c r="N131">
        <v>3</v>
      </c>
      <c r="O131">
        <v>0.35</v>
      </c>
      <c r="P131">
        <v>-343.09800000000001</v>
      </c>
      <c r="Q131">
        <v>40.159999999999997</v>
      </c>
      <c r="R131" t="s">
        <v>9</v>
      </c>
    </row>
    <row r="132" spans="1:18" x14ac:dyDescent="0.25">
      <c r="A132" t="s">
        <v>267</v>
      </c>
      <c r="B132" s="1">
        <v>40554</v>
      </c>
      <c r="C132" s="1">
        <v>40555</v>
      </c>
      <c r="D132" t="s">
        <v>142</v>
      </c>
      <c r="E132" t="s">
        <v>268</v>
      </c>
      <c r="F132" t="s">
        <v>3</v>
      </c>
      <c r="G132" t="s">
        <v>252</v>
      </c>
      <c r="H132" t="s">
        <v>106</v>
      </c>
      <c r="I132" t="s">
        <v>75</v>
      </c>
      <c r="J132" t="s">
        <v>30</v>
      </c>
      <c r="K132" t="s">
        <v>38</v>
      </c>
      <c r="L132" t="s">
        <v>77</v>
      </c>
      <c r="M132">
        <v>245</v>
      </c>
      <c r="N132">
        <v>5</v>
      </c>
      <c r="O132">
        <v>0</v>
      </c>
      <c r="P132">
        <v>88</v>
      </c>
      <c r="Q132">
        <v>39.11</v>
      </c>
      <c r="R132" t="s">
        <v>9</v>
      </c>
    </row>
    <row r="133" spans="1:18" x14ac:dyDescent="0.25">
      <c r="A133" t="s">
        <v>269</v>
      </c>
      <c r="B133" s="1">
        <v>40554</v>
      </c>
      <c r="C133" s="1">
        <v>40561</v>
      </c>
      <c r="D133" t="s">
        <v>1</v>
      </c>
      <c r="E133" t="s">
        <v>270</v>
      </c>
      <c r="F133" t="s">
        <v>3</v>
      </c>
      <c r="G133" t="s">
        <v>271</v>
      </c>
      <c r="H133" t="s">
        <v>157</v>
      </c>
      <c r="I133" t="s">
        <v>14</v>
      </c>
      <c r="J133" t="s">
        <v>61</v>
      </c>
      <c r="K133" t="s">
        <v>7</v>
      </c>
      <c r="L133" t="s">
        <v>91</v>
      </c>
      <c r="M133">
        <v>334</v>
      </c>
      <c r="N133">
        <v>9</v>
      </c>
      <c r="O133">
        <v>0.27</v>
      </c>
      <c r="P133">
        <v>13.4703</v>
      </c>
      <c r="Q133">
        <v>23.56</v>
      </c>
      <c r="R133" t="s">
        <v>9</v>
      </c>
    </row>
    <row r="134" spans="1:18" x14ac:dyDescent="0.25">
      <c r="A134" t="s">
        <v>274</v>
      </c>
      <c r="B134" s="1">
        <v>40554</v>
      </c>
      <c r="C134" s="1">
        <v>40558</v>
      </c>
      <c r="D134" t="s">
        <v>1</v>
      </c>
      <c r="E134" t="s">
        <v>64</v>
      </c>
      <c r="F134" t="s">
        <v>3</v>
      </c>
      <c r="G134" t="s">
        <v>275</v>
      </c>
      <c r="H134" t="s">
        <v>276</v>
      </c>
      <c r="I134" t="s">
        <v>29</v>
      </c>
      <c r="J134" t="s">
        <v>102</v>
      </c>
      <c r="K134" t="s">
        <v>32</v>
      </c>
      <c r="L134" t="s">
        <v>62</v>
      </c>
      <c r="M134">
        <v>268</v>
      </c>
      <c r="N134">
        <v>2</v>
      </c>
      <c r="O134">
        <v>0.6</v>
      </c>
      <c r="P134">
        <v>-341.73599999999999</v>
      </c>
      <c r="Q134">
        <v>21.49</v>
      </c>
      <c r="R134" t="s">
        <v>23</v>
      </c>
    </row>
    <row r="135" spans="1:18" x14ac:dyDescent="0.25">
      <c r="A135" t="s">
        <v>265</v>
      </c>
      <c r="B135" s="1">
        <v>40554</v>
      </c>
      <c r="C135" s="1">
        <v>40554</v>
      </c>
      <c r="D135" t="s">
        <v>41</v>
      </c>
      <c r="E135" t="s">
        <v>266</v>
      </c>
      <c r="F135" t="s">
        <v>3</v>
      </c>
      <c r="G135" t="s">
        <v>65</v>
      </c>
      <c r="H135" t="s">
        <v>66</v>
      </c>
      <c r="I135" t="s">
        <v>29</v>
      </c>
      <c r="J135" t="s">
        <v>30</v>
      </c>
      <c r="K135" t="s">
        <v>7</v>
      </c>
      <c r="L135" t="s">
        <v>91</v>
      </c>
      <c r="M135">
        <v>103</v>
      </c>
      <c r="N135">
        <v>2</v>
      </c>
      <c r="O135">
        <v>0</v>
      </c>
      <c r="P135">
        <v>19.5</v>
      </c>
      <c r="Q135">
        <v>20.54</v>
      </c>
      <c r="R135" t="s">
        <v>9</v>
      </c>
    </row>
    <row r="136" spans="1:18" x14ac:dyDescent="0.25">
      <c r="A136" t="s">
        <v>269</v>
      </c>
      <c r="B136" s="1">
        <v>40554</v>
      </c>
      <c r="C136" s="1">
        <v>40561</v>
      </c>
      <c r="D136" t="s">
        <v>1</v>
      </c>
      <c r="E136" t="s">
        <v>270</v>
      </c>
      <c r="F136" t="s">
        <v>3</v>
      </c>
      <c r="G136" t="s">
        <v>271</v>
      </c>
      <c r="H136" t="s">
        <v>157</v>
      </c>
      <c r="I136" t="s">
        <v>14</v>
      </c>
      <c r="J136" t="s">
        <v>61</v>
      </c>
      <c r="K136" t="s">
        <v>32</v>
      </c>
      <c r="L136" t="s">
        <v>33</v>
      </c>
      <c r="M136">
        <v>188</v>
      </c>
      <c r="N136">
        <v>5</v>
      </c>
      <c r="O136">
        <v>0.27</v>
      </c>
      <c r="P136">
        <v>2.4735</v>
      </c>
      <c r="Q136">
        <v>15.77</v>
      </c>
      <c r="R136" t="s">
        <v>9</v>
      </c>
    </row>
    <row r="137" spans="1:18" x14ac:dyDescent="0.25">
      <c r="A137" t="s">
        <v>277</v>
      </c>
      <c r="B137" s="1">
        <v>40554</v>
      </c>
      <c r="C137" s="1">
        <v>40558</v>
      </c>
      <c r="D137" t="s">
        <v>1</v>
      </c>
      <c r="E137" t="s">
        <v>278</v>
      </c>
      <c r="F137" t="s">
        <v>3</v>
      </c>
      <c r="G137" t="s">
        <v>279</v>
      </c>
      <c r="H137" t="s">
        <v>280</v>
      </c>
      <c r="I137" t="s">
        <v>14</v>
      </c>
      <c r="J137" t="s">
        <v>281</v>
      </c>
      <c r="K137" t="s">
        <v>32</v>
      </c>
      <c r="L137" t="s">
        <v>33</v>
      </c>
      <c r="M137">
        <v>142</v>
      </c>
      <c r="N137">
        <v>3</v>
      </c>
      <c r="O137">
        <v>0</v>
      </c>
      <c r="P137">
        <v>52.38</v>
      </c>
      <c r="Q137">
        <v>15.62</v>
      </c>
      <c r="R137" t="s">
        <v>23</v>
      </c>
    </row>
    <row r="138" spans="1:18" x14ac:dyDescent="0.25">
      <c r="A138" t="s">
        <v>282</v>
      </c>
      <c r="B138" s="1">
        <v>40554</v>
      </c>
      <c r="C138" s="1">
        <v>40558</v>
      </c>
      <c r="D138" t="s">
        <v>1</v>
      </c>
      <c r="E138" t="s">
        <v>283</v>
      </c>
      <c r="F138" t="s">
        <v>3</v>
      </c>
      <c r="G138" t="s">
        <v>284</v>
      </c>
      <c r="H138" t="s">
        <v>285</v>
      </c>
      <c r="I138" t="s">
        <v>22</v>
      </c>
      <c r="J138" t="s">
        <v>22</v>
      </c>
      <c r="K138" t="s">
        <v>32</v>
      </c>
      <c r="L138" t="s">
        <v>67</v>
      </c>
      <c r="M138">
        <v>157</v>
      </c>
      <c r="N138">
        <v>2</v>
      </c>
      <c r="O138">
        <v>0.6</v>
      </c>
      <c r="P138">
        <v>-117.72</v>
      </c>
      <c r="Q138">
        <v>12.45</v>
      </c>
      <c r="R138" t="s">
        <v>23</v>
      </c>
    </row>
    <row r="139" spans="1:18" x14ac:dyDescent="0.25">
      <c r="A139" t="s">
        <v>286</v>
      </c>
      <c r="B139" s="1">
        <v>40554</v>
      </c>
      <c r="C139" s="1">
        <v>40558</v>
      </c>
      <c r="D139" t="s">
        <v>1</v>
      </c>
      <c r="E139" t="s">
        <v>287</v>
      </c>
      <c r="F139" t="s">
        <v>26</v>
      </c>
      <c r="G139" t="s">
        <v>288</v>
      </c>
      <c r="H139" t="s">
        <v>49</v>
      </c>
      <c r="I139" t="s">
        <v>14</v>
      </c>
      <c r="J139" t="s">
        <v>15</v>
      </c>
      <c r="K139" t="s">
        <v>7</v>
      </c>
      <c r="L139" t="s">
        <v>96</v>
      </c>
      <c r="M139">
        <v>115</v>
      </c>
      <c r="N139">
        <v>4</v>
      </c>
      <c r="O139">
        <v>0.4</v>
      </c>
      <c r="P139">
        <v>-47.832000000000001</v>
      </c>
      <c r="Q139">
        <v>10.52</v>
      </c>
      <c r="R139" t="s">
        <v>9</v>
      </c>
    </row>
    <row r="140" spans="1:18" x14ac:dyDescent="0.25">
      <c r="A140" t="s">
        <v>289</v>
      </c>
      <c r="B140" s="1">
        <v>40554</v>
      </c>
      <c r="C140" s="1">
        <v>40558</v>
      </c>
      <c r="D140" t="s">
        <v>1</v>
      </c>
      <c r="E140" t="s">
        <v>171</v>
      </c>
      <c r="F140" t="s">
        <v>3</v>
      </c>
      <c r="G140" t="s">
        <v>290</v>
      </c>
      <c r="H140" t="s">
        <v>291</v>
      </c>
      <c r="I140" t="s">
        <v>29</v>
      </c>
      <c r="J140" t="s">
        <v>76</v>
      </c>
      <c r="K140" t="s">
        <v>7</v>
      </c>
      <c r="L140" t="s">
        <v>8</v>
      </c>
      <c r="M140">
        <v>97</v>
      </c>
      <c r="N140">
        <v>2</v>
      </c>
      <c r="O140">
        <v>0</v>
      </c>
      <c r="P140">
        <v>31.02</v>
      </c>
      <c r="Q140">
        <v>7.99</v>
      </c>
      <c r="R140" t="s">
        <v>23</v>
      </c>
    </row>
    <row r="141" spans="1:18" x14ac:dyDescent="0.25">
      <c r="A141" t="s">
        <v>272</v>
      </c>
      <c r="B141" s="1">
        <v>40554</v>
      </c>
      <c r="C141" s="1">
        <v>40559</v>
      </c>
      <c r="D141" t="s">
        <v>1</v>
      </c>
      <c r="E141" t="s">
        <v>273</v>
      </c>
      <c r="F141" t="s">
        <v>26</v>
      </c>
      <c r="G141" t="s">
        <v>232</v>
      </c>
      <c r="H141" t="s">
        <v>60</v>
      </c>
      <c r="I141" t="s">
        <v>14</v>
      </c>
      <c r="J141" t="s">
        <v>61</v>
      </c>
      <c r="K141" t="s">
        <v>32</v>
      </c>
      <c r="L141" t="s">
        <v>33</v>
      </c>
      <c r="M141">
        <v>78</v>
      </c>
      <c r="N141">
        <v>2</v>
      </c>
      <c r="O141">
        <v>0.25</v>
      </c>
      <c r="P141">
        <v>23.774999999999999</v>
      </c>
      <c r="Q141">
        <v>7.09</v>
      </c>
      <c r="R141" t="s">
        <v>9</v>
      </c>
    </row>
    <row r="142" spans="1:18" x14ac:dyDescent="0.25">
      <c r="A142" t="s">
        <v>267</v>
      </c>
      <c r="B142" s="1">
        <v>40554</v>
      </c>
      <c r="C142" s="1">
        <v>40555</v>
      </c>
      <c r="D142" t="s">
        <v>142</v>
      </c>
      <c r="E142" t="s">
        <v>268</v>
      </c>
      <c r="F142" t="s">
        <v>3</v>
      </c>
      <c r="G142" t="s">
        <v>252</v>
      </c>
      <c r="H142" t="s">
        <v>106</v>
      </c>
      <c r="I142" t="s">
        <v>75</v>
      </c>
      <c r="J142" t="s">
        <v>30</v>
      </c>
      <c r="K142" t="s">
        <v>7</v>
      </c>
      <c r="L142" t="s">
        <v>44</v>
      </c>
      <c r="M142">
        <v>140</v>
      </c>
      <c r="N142">
        <v>3</v>
      </c>
      <c r="O142">
        <v>0</v>
      </c>
      <c r="P142">
        <v>32.1</v>
      </c>
      <c r="Q142">
        <v>6.47</v>
      </c>
      <c r="R142" t="s">
        <v>9</v>
      </c>
    </row>
    <row r="143" spans="1:18" x14ac:dyDescent="0.25">
      <c r="A143" t="s">
        <v>289</v>
      </c>
      <c r="B143" s="1">
        <v>40554</v>
      </c>
      <c r="C143" s="1">
        <v>40558</v>
      </c>
      <c r="D143" t="s">
        <v>1</v>
      </c>
      <c r="E143" t="s">
        <v>171</v>
      </c>
      <c r="F143" t="s">
        <v>3</v>
      </c>
      <c r="G143" t="s">
        <v>290</v>
      </c>
      <c r="H143" t="s">
        <v>291</v>
      </c>
      <c r="I143" t="s">
        <v>29</v>
      </c>
      <c r="J143" t="s">
        <v>76</v>
      </c>
      <c r="K143" t="s">
        <v>7</v>
      </c>
      <c r="L143" t="s">
        <v>91</v>
      </c>
      <c r="M143">
        <v>55</v>
      </c>
      <c r="N143">
        <v>1</v>
      </c>
      <c r="O143">
        <v>0</v>
      </c>
      <c r="P143">
        <v>9.8699999999999992</v>
      </c>
      <c r="Q143">
        <v>5.83</v>
      </c>
      <c r="R143" t="s">
        <v>23</v>
      </c>
    </row>
    <row r="144" spans="1:18" x14ac:dyDescent="0.25">
      <c r="A144" t="s">
        <v>292</v>
      </c>
      <c r="B144" s="1">
        <v>40554</v>
      </c>
      <c r="C144" s="1">
        <v>40559</v>
      </c>
      <c r="D144" t="s">
        <v>1</v>
      </c>
      <c r="E144" t="s">
        <v>293</v>
      </c>
      <c r="F144" t="s">
        <v>43</v>
      </c>
      <c r="G144" t="s">
        <v>294</v>
      </c>
      <c r="H144" t="s">
        <v>126</v>
      </c>
      <c r="I144" t="s">
        <v>127</v>
      </c>
      <c r="J144" t="s">
        <v>102</v>
      </c>
      <c r="K144" t="s">
        <v>32</v>
      </c>
      <c r="L144" t="s">
        <v>33</v>
      </c>
      <c r="M144">
        <v>52</v>
      </c>
      <c r="N144">
        <v>1</v>
      </c>
      <c r="O144">
        <v>0</v>
      </c>
      <c r="P144">
        <v>21.295400000000001</v>
      </c>
      <c r="Q144">
        <v>3.52</v>
      </c>
      <c r="R144" t="s">
        <v>9</v>
      </c>
    </row>
    <row r="145" spans="1:18" x14ac:dyDescent="0.25">
      <c r="A145" t="s">
        <v>274</v>
      </c>
      <c r="B145" s="1">
        <v>40554</v>
      </c>
      <c r="C145" s="1">
        <v>40558</v>
      </c>
      <c r="D145" t="s">
        <v>1</v>
      </c>
      <c r="E145" t="s">
        <v>64</v>
      </c>
      <c r="F145" t="s">
        <v>3</v>
      </c>
      <c r="G145" t="s">
        <v>275</v>
      </c>
      <c r="H145" t="s">
        <v>276</v>
      </c>
      <c r="I145" t="s">
        <v>29</v>
      </c>
      <c r="J145" t="s">
        <v>102</v>
      </c>
      <c r="K145" t="s">
        <v>7</v>
      </c>
      <c r="L145" t="s">
        <v>87</v>
      </c>
      <c r="M145">
        <v>40</v>
      </c>
      <c r="N145">
        <v>5</v>
      </c>
      <c r="O145">
        <v>0</v>
      </c>
      <c r="P145">
        <v>5.55</v>
      </c>
      <c r="Q145">
        <v>2.57</v>
      </c>
      <c r="R145" t="s">
        <v>23</v>
      </c>
    </row>
    <row r="146" spans="1:18" x14ac:dyDescent="0.25">
      <c r="A146" t="s">
        <v>295</v>
      </c>
      <c r="B146" s="1">
        <v>40554</v>
      </c>
      <c r="C146" s="1">
        <v>40559</v>
      </c>
      <c r="D146" t="s">
        <v>1</v>
      </c>
      <c r="E146" t="s">
        <v>296</v>
      </c>
      <c r="F146" t="s">
        <v>3</v>
      </c>
      <c r="G146" t="s">
        <v>297</v>
      </c>
      <c r="H146" t="s">
        <v>298</v>
      </c>
      <c r="I146" t="s">
        <v>29</v>
      </c>
      <c r="J146" t="s">
        <v>102</v>
      </c>
      <c r="K146" t="s">
        <v>7</v>
      </c>
      <c r="L146" t="s">
        <v>137</v>
      </c>
      <c r="M146">
        <v>22</v>
      </c>
      <c r="N146">
        <v>3</v>
      </c>
      <c r="O146">
        <v>0</v>
      </c>
      <c r="P146">
        <v>6.75</v>
      </c>
      <c r="Q146">
        <v>1.0900000000000001</v>
      </c>
      <c r="R146" t="s">
        <v>9</v>
      </c>
    </row>
    <row r="147" spans="1:18" x14ac:dyDescent="0.25">
      <c r="A147" t="s">
        <v>269</v>
      </c>
      <c r="B147" s="1">
        <v>40554</v>
      </c>
      <c r="C147" s="1">
        <v>40561</v>
      </c>
      <c r="D147" t="s">
        <v>1</v>
      </c>
      <c r="E147" t="s">
        <v>270</v>
      </c>
      <c r="F147" t="s">
        <v>3</v>
      </c>
      <c r="G147" t="s">
        <v>271</v>
      </c>
      <c r="H147" t="s">
        <v>157</v>
      </c>
      <c r="I147" t="s">
        <v>14</v>
      </c>
      <c r="J147" t="s">
        <v>61</v>
      </c>
      <c r="K147" t="s">
        <v>7</v>
      </c>
      <c r="L147" t="s">
        <v>137</v>
      </c>
      <c r="M147">
        <v>5</v>
      </c>
      <c r="N147">
        <v>1</v>
      </c>
      <c r="O147">
        <v>0.17</v>
      </c>
      <c r="P147">
        <v>-1.47E-2</v>
      </c>
      <c r="Q147">
        <v>0.3</v>
      </c>
      <c r="R147" t="s">
        <v>9</v>
      </c>
    </row>
    <row r="148" spans="1:18" x14ac:dyDescent="0.25">
      <c r="A148" t="s">
        <v>292</v>
      </c>
      <c r="B148" s="1">
        <v>40554</v>
      </c>
      <c r="C148" s="1">
        <v>40559</v>
      </c>
      <c r="D148" t="s">
        <v>1</v>
      </c>
      <c r="E148" t="s">
        <v>293</v>
      </c>
      <c r="F148" t="s">
        <v>43</v>
      </c>
      <c r="G148" t="s">
        <v>294</v>
      </c>
      <c r="H148" t="s">
        <v>126</v>
      </c>
      <c r="I148" t="s">
        <v>127</v>
      </c>
      <c r="J148" t="s">
        <v>102</v>
      </c>
      <c r="K148" t="s">
        <v>7</v>
      </c>
      <c r="L148" t="s">
        <v>87</v>
      </c>
      <c r="M148">
        <v>3</v>
      </c>
      <c r="N148">
        <v>1</v>
      </c>
      <c r="O148">
        <v>0</v>
      </c>
      <c r="P148">
        <v>1.3583000000000001</v>
      </c>
      <c r="Q148">
        <v>0.22</v>
      </c>
      <c r="R148" t="s">
        <v>9</v>
      </c>
    </row>
    <row r="149" spans="1:18" x14ac:dyDescent="0.25">
      <c r="A149" t="s">
        <v>299</v>
      </c>
      <c r="B149" s="1">
        <v>40555</v>
      </c>
      <c r="C149" s="1">
        <v>40560</v>
      </c>
      <c r="D149" t="s">
        <v>1</v>
      </c>
      <c r="E149" t="s">
        <v>300</v>
      </c>
      <c r="F149" t="s">
        <v>43</v>
      </c>
      <c r="G149" t="s">
        <v>301</v>
      </c>
      <c r="H149" t="s">
        <v>106</v>
      </c>
      <c r="I149" t="s">
        <v>75</v>
      </c>
      <c r="J149" t="s">
        <v>30</v>
      </c>
      <c r="K149" t="s">
        <v>38</v>
      </c>
      <c r="L149" t="s">
        <v>82</v>
      </c>
      <c r="M149">
        <v>495</v>
      </c>
      <c r="N149">
        <v>3</v>
      </c>
      <c r="O149">
        <v>0</v>
      </c>
      <c r="P149">
        <v>178.2</v>
      </c>
      <c r="Q149">
        <v>54.55</v>
      </c>
      <c r="R149" t="s">
        <v>9</v>
      </c>
    </row>
    <row r="150" spans="1:18" x14ac:dyDescent="0.25">
      <c r="A150" t="s">
        <v>299</v>
      </c>
      <c r="B150" s="1">
        <v>40555</v>
      </c>
      <c r="C150" s="1">
        <v>40560</v>
      </c>
      <c r="D150" t="s">
        <v>1</v>
      </c>
      <c r="E150" t="s">
        <v>300</v>
      </c>
      <c r="F150" t="s">
        <v>43</v>
      </c>
      <c r="G150" t="s">
        <v>301</v>
      </c>
      <c r="H150" t="s">
        <v>106</v>
      </c>
      <c r="I150" t="s">
        <v>75</v>
      </c>
      <c r="J150" t="s">
        <v>30</v>
      </c>
      <c r="K150" t="s">
        <v>38</v>
      </c>
      <c r="L150" t="s">
        <v>50</v>
      </c>
      <c r="M150">
        <v>385</v>
      </c>
      <c r="N150">
        <v>3</v>
      </c>
      <c r="O150">
        <v>2E-3</v>
      </c>
      <c r="P150">
        <v>68.648520000000005</v>
      </c>
      <c r="Q150">
        <v>38.19</v>
      </c>
      <c r="R150" t="s">
        <v>9</v>
      </c>
    </row>
    <row r="151" spans="1:18" x14ac:dyDescent="0.25">
      <c r="A151" t="s">
        <v>302</v>
      </c>
      <c r="B151" s="1">
        <v>40555</v>
      </c>
      <c r="C151" s="1">
        <v>40562</v>
      </c>
      <c r="D151" t="s">
        <v>1</v>
      </c>
      <c r="E151" t="s">
        <v>303</v>
      </c>
      <c r="F151" t="s">
        <v>43</v>
      </c>
      <c r="G151" t="s">
        <v>304</v>
      </c>
      <c r="H151" t="s">
        <v>305</v>
      </c>
      <c r="I151" t="s">
        <v>29</v>
      </c>
      <c r="J151" t="s">
        <v>76</v>
      </c>
      <c r="K151" t="s">
        <v>32</v>
      </c>
      <c r="L151" t="s">
        <v>67</v>
      </c>
      <c r="M151">
        <v>552</v>
      </c>
      <c r="N151">
        <v>5</v>
      </c>
      <c r="O151">
        <v>0.1</v>
      </c>
      <c r="P151">
        <v>165.36</v>
      </c>
      <c r="Q151">
        <v>35.979999999999997</v>
      </c>
      <c r="R151" t="s">
        <v>9</v>
      </c>
    </row>
    <row r="152" spans="1:18" x14ac:dyDescent="0.25">
      <c r="A152" t="s">
        <v>302</v>
      </c>
      <c r="B152" s="1">
        <v>40555</v>
      </c>
      <c r="C152" s="1">
        <v>40562</v>
      </c>
      <c r="D152" t="s">
        <v>1</v>
      </c>
      <c r="E152" t="s">
        <v>303</v>
      </c>
      <c r="F152" t="s">
        <v>43</v>
      </c>
      <c r="G152" t="s">
        <v>304</v>
      </c>
      <c r="H152" t="s">
        <v>305</v>
      </c>
      <c r="I152" t="s">
        <v>29</v>
      </c>
      <c r="J152" t="s">
        <v>76</v>
      </c>
      <c r="K152" t="s">
        <v>38</v>
      </c>
      <c r="L152" t="s">
        <v>39</v>
      </c>
      <c r="M152">
        <v>522</v>
      </c>
      <c r="N152">
        <v>2</v>
      </c>
      <c r="O152">
        <v>0</v>
      </c>
      <c r="P152">
        <v>20.88</v>
      </c>
      <c r="Q152">
        <v>28.92</v>
      </c>
      <c r="R152" t="s">
        <v>9</v>
      </c>
    </row>
    <row r="153" spans="1:18" x14ac:dyDescent="0.25">
      <c r="A153" t="s">
        <v>306</v>
      </c>
      <c r="B153" s="1">
        <v>40555</v>
      </c>
      <c r="C153" s="1">
        <v>40560</v>
      </c>
      <c r="D153" t="s">
        <v>1</v>
      </c>
      <c r="E153" t="s">
        <v>307</v>
      </c>
      <c r="F153" t="s">
        <v>26</v>
      </c>
      <c r="G153" t="s">
        <v>65</v>
      </c>
      <c r="H153" t="s">
        <v>66</v>
      </c>
      <c r="I153" t="s">
        <v>29</v>
      </c>
      <c r="J153" t="s">
        <v>30</v>
      </c>
      <c r="K153" t="s">
        <v>32</v>
      </c>
      <c r="L153" t="s">
        <v>56</v>
      </c>
      <c r="M153">
        <v>290</v>
      </c>
      <c r="N153">
        <v>5</v>
      </c>
      <c r="O153">
        <v>0</v>
      </c>
      <c r="P153">
        <v>69.599999999999994</v>
      </c>
      <c r="Q153">
        <v>18.63</v>
      </c>
      <c r="R153" t="s">
        <v>9</v>
      </c>
    </row>
    <row r="154" spans="1:18" x14ac:dyDescent="0.25">
      <c r="A154" t="s">
        <v>308</v>
      </c>
      <c r="B154" s="1">
        <v>40555</v>
      </c>
      <c r="C154" s="1">
        <v>40558</v>
      </c>
      <c r="D154" t="s">
        <v>142</v>
      </c>
      <c r="E154" t="s">
        <v>309</v>
      </c>
      <c r="F154" t="s">
        <v>3</v>
      </c>
      <c r="G154" t="s">
        <v>65</v>
      </c>
      <c r="H154" t="s">
        <v>66</v>
      </c>
      <c r="I154" t="s">
        <v>29</v>
      </c>
      <c r="J154" t="s">
        <v>30</v>
      </c>
      <c r="K154" t="s">
        <v>7</v>
      </c>
      <c r="L154" t="s">
        <v>31</v>
      </c>
      <c r="M154">
        <v>34</v>
      </c>
      <c r="N154">
        <v>2</v>
      </c>
      <c r="O154">
        <v>0.5</v>
      </c>
      <c r="P154">
        <v>-6.15</v>
      </c>
      <c r="Q154">
        <v>7.31</v>
      </c>
      <c r="R154" t="s">
        <v>9</v>
      </c>
    </row>
    <row r="155" spans="1:18" x14ac:dyDescent="0.25">
      <c r="A155" t="s">
        <v>302</v>
      </c>
      <c r="B155" s="1">
        <v>40555</v>
      </c>
      <c r="C155" s="1">
        <v>40562</v>
      </c>
      <c r="D155" t="s">
        <v>1</v>
      </c>
      <c r="E155" t="s">
        <v>303</v>
      </c>
      <c r="F155" t="s">
        <v>43</v>
      </c>
      <c r="G155" t="s">
        <v>304</v>
      </c>
      <c r="H155" t="s">
        <v>305</v>
      </c>
      <c r="I155" t="s">
        <v>29</v>
      </c>
      <c r="J155" t="s">
        <v>76</v>
      </c>
      <c r="K155" t="s">
        <v>7</v>
      </c>
      <c r="L155" t="s">
        <v>91</v>
      </c>
      <c r="M155">
        <v>257</v>
      </c>
      <c r="N155">
        <v>5</v>
      </c>
      <c r="O155">
        <v>0</v>
      </c>
      <c r="P155">
        <v>48.75</v>
      </c>
      <c r="Q155">
        <v>7.28</v>
      </c>
      <c r="R155" t="s">
        <v>9</v>
      </c>
    </row>
    <row r="156" spans="1:18" x14ac:dyDescent="0.25">
      <c r="A156" t="s">
        <v>310</v>
      </c>
      <c r="B156" s="1">
        <v>40555</v>
      </c>
      <c r="C156" s="1">
        <v>40558</v>
      </c>
      <c r="D156" t="s">
        <v>142</v>
      </c>
      <c r="E156" t="s">
        <v>311</v>
      </c>
      <c r="F156" t="s">
        <v>3</v>
      </c>
      <c r="G156" t="s">
        <v>312</v>
      </c>
      <c r="H156" t="s">
        <v>126</v>
      </c>
      <c r="I156" t="s">
        <v>127</v>
      </c>
      <c r="J156" t="s">
        <v>173</v>
      </c>
      <c r="K156" t="s">
        <v>32</v>
      </c>
      <c r="L156" t="s">
        <v>33</v>
      </c>
      <c r="M156">
        <v>10</v>
      </c>
      <c r="N156">
        <v>2</v>
      </c>
      <c r="O156">
        <v>0</v>
      </c>
      <c r="P156">
        <v>3.0813999999999999</v>
      </c>
      <c r="Q156">
        <v>2.69</v>
      </c>
      <c r="R156" t="s">
        <v>45</v>
      </c>
    </row>
    <row r="157" spans="1:18" x14ac:dyDescent="0.25">
      <c r="A157" t="s">
        <v>302</v>
      </c>
      <c r="B157" s="1">
        <v>40555</v>
      </c>
      <c r="C157" s="1">
        <v>40562</v>
      </c>
      <c r="D157" t="s">
        <v>1</v>
      </c>
      <c r="E157" t="s">
        <v>303</v>
      </c>
      <c r="F157" t="s">
        <v>43</v>
      </c>
      <c r="G157" t="s">
        <v>304</v>
      </c>
      <c r="H157" t="s">
        <v>305</v>
      </c>
      <c r="I157" t="s">
        <v>29</v>
      </c>
      <c r="J157" t="s">
        <v>76</v>
      </c>
      <c r="K157" t="s">
        <v>7</v>
      </c>
      <c r="L157" t="s">
        <v>137</v>
      </c>
      <c r="M157">
        <v>17</v>
      </c>
      <c r="N157">
        <v>2</v>
      </c>
      <c r="O157">
        <v>0</v>
      </c>
      <c r="P157">
        <v>6.18</v>
      </c>
      <c r="Q157">
        <v>2.08</v>
      </c>
      <c r="R157" t="s">
        <v>9</v>
      </c>
    </row>
    <row r="158" spans="1:18" x14ac:dyDescent="0.25">
      <c r="A158" t="s">
        <v>313</v>
      </c>
      <c r="B158" s="1">
        <v>40555</v>
      </c>
      <c r="C158" s="1">
        <v>40559</v>
      </c>
      <c r="D158" t="s">
        <v>1</v>
      </c>
      <c r="E158" t="s">
        <v>314</v>
      </c>
      <c r="F158" t="s">
        <v>43</v>
      </c>
      <c r="G158" t="s">
        <v>222</v>
      </c>
      <c r="H158" t="s">
        <v>223</v>
      </c>
      <c r="I158" t="s">
        <v>6</v>
      </c>
      <c r="J158" t="s">
        <v>6</v>
      </c>
      <c r="K158" t="s">
        <v>7</v>
      </c>
      <c r="L158" t="s">
        <v>8</v>
      </c>
      <c r="M158">
        <v>15</v>
      </c>
      <c r="N158">
        <v>2</v>
      </c>
      <c r="O158">
        <v>0.7</v>
      </c>
      <c r="P158">
        <v>-22.457999999999998</v>
      </c>
      <c r="Q158">
        <v>1.27</v>
      </c>
      <c r="R158" t="s">
        <v>9</v>
      </c>
    </row>
    <row r="159" spans="1:18" x14ac:dyDescent="0.25">
      <c r="A159" t="s">
        <v>313</v>
      </c>
      <c r="B159" s="1">
        <v>40555</v>
      </c>
      <c r="C159" s="1">
        <v>40559</v>
      </c>
      <c r="D159" t="s">
        <v>1</v>
      </c>
      <c r="E159" t="s">
        <v>314</v>
      </c>
      <c r="F159" t="s">
        <v>43</v>
      </c>
      <c r="G159" t="s">
        <v>222</v>
      </c>
      <c r="H159" t="s">
        <v>223</v>
      </c>
      <c r="I159" t="s">
        <v>6</v>
      </c>
      <c r="J159" t="s">
        <v>6</v>
      </c>
      <c r="K159" t="s">
        <v>7</v>
      </c>
      <c r="L159" t="s">
        <v>91</v>
      </c>
      <c r="M159">
        <v>16</v>
      </c>
      <c r="N159">
        <v>1</v>
      </c>
      <c r="O159">
        <v>0.7</v>
      </c>
      <c r="P159">
        <v>-28.518000000000001</v>
      </c>
      <c r="Q159">
        <v>1.27</v>
      </c>
      <c r="R159" t="s">
        <v>9</v>
      </c>
    </row>
    <row r="160" spans="1:18" x14ac:dyDescent="0.25">
      <c r="A160" t="s">
        <v>313</v>
      </c>
      <c r="B160" s="1">
        <v>40555</v>
      </c>
      <c r="C160" s="1">
        <v>40559</v>
      </c>
      <c r="D160" t="s">
        <v>1</v>
      </c>
      <c r="E160" t="s">
        <v>314</v>
      </c>
      <c r="F160" t="s">
        <v>43</v>
      </c>
      <c r="G160" t="s">
        <v>222</v>
      </c>
      <c r="H160" t="s">
        <v>223</v>
      </c>
      <c r="I160" t="s">
        <v>6</v>
      </c>
      <c r="J160" t="s">
        <v>6</v>
      </c>
      <c r="K160" t="s">
        <v>7</v>
      </c>
      <c r="L160" t="s">
        <v>87</v>
      </c>
      <c r="M160">
        <v>13</v>
      </c>
      <c r="N160">
        <v>4</v>
      </c>
      <c r="O160">
        <v>0.7</v>
      </c>
      <c r="P160">
        <v>-21.648</v>
      </c>
      <c r="Q160">
        <v>0.62</v>
      </c>
      <c r="R160" t="s">
        <v>9</v>
      </c>
    </row>
    <row r="161" spans="1:18" x14ac:dyDescent="0.25">
      <c r="A161" t="s">
        <v>313</v>
      </c>
      <c r="B161" s="1">
        <v>40555</v>
      </c>
      <c r="C161" s="1">
        <v>40559</v>
      </c>
      <c r="D161" t="s">
        <v>1</v>
      </c>
      <c r="E161" t="s">
        <v>314</v>
      </c>
      <c r="F161" t="s">
        <v>43</v>
      </c>
      <c r="G161" t="s">
        <v>222</v>
      </c>
      <c r="H161" t="s">
        <v>223</v>
      </c>
      <c r="I161" t="s">
        <v>6</v>
      </c>
      <c r="J161" t="s">
        <v>6</v>
      </c>
      <c r="K161" t="s">
        <v>7</v>
      </c>
      <c r="L161" t="s">
        <v>16</v>
      </c>
      <c r="M161">
        <v>5</v>
      </c>
      <c r="N161">
        <v>1</v>
      </c>
      <c r="O161">
        <v>0.7</v>
      </c>
      <c r="P161">
        <v>-10.326000000000001</v>
      </c>
      <c r="Q161">
        <v>0.43</v>
      </c>
      <c r="R161" t="s">
        <v>9</v>
      </c>
    </row>
    <row r="162" spans="1:18" x14ac:dyDescent="0.25">
      <c r="A162" t="s">
        <v>313</v>
      </c>
      <c r="B162" s="1">
        <v>40555</v>
      </c>
      <c r="C162" s="1">
        <v>40559</v>
      </c>
      <c r="D162" t="s">
        <v>1</v>
      </c>
      <c r="E162" t="s">
        <v>314</v>
      </c>
      <c r="F162" t="s">
        <v>43</v>
      </c>
      <c r="G162" t="s">
        <v>222</v>
      </c>
      <c r="H162" t="s">
        <v>223</v>
      </c>
      <c r="I162" t="s">
        <v>6</v>
      </c>
      <c r="J162" t="s">
        <v>6</v>
      </c>
      <c r="K162" t="s">
        <v>7</v>
      </c>
      <c r="L162" t="s">
        <v>97</v>
      </c>
      <c r="M162">
        <v>3</v>
      </c>
      <c r="N162">
        <v>1</v>
      </c>
      <c r="O162">
        <v>0.7</v>
      </c>
      <c r="P162">
        <v>-6.4829999999999997</v>
      </c>
      <c r="Q162">
        <v>0.25</v>
      </c>
      <c r="R162" t="s">
        <v>9</v>
      </c>
    </row>
    <row r="163" spans="1:18" x14ac:dyDescent="0.25">
      <c r="A163" t="s">
        <v>313</v>
      </c>
      <c r="B163" s="1">
        <v>40555</v>
      </c>
      <c r="C163" s="1">
        <v>40559</v>
      </c>
      <c r="D163" t="s">
        <v>1</v>
      </c>
      <c r="E163" t="s">
        <v>314</v>
      </c>
      <c r="F163" t="s">
        <v>43</v>
      </c>
      <c r="G163" t="s">
        <v>222</v>
      </c>
      <c r="H163" t="s">
        <v>223</v>
      </c>
      <c r="I163" t="s">
        <v>6</v>
      </c>
      <c r="J163" t="s">
        <v>6</v>
      </c>
      <c r="K163" t="s">
        <v>7</v>
      </c>
      <c r="L163" t="s">
        <v>8</v>
      </c>
      <c r="M163">
        <v>17</v>
      </c>
      <c r="N163">
        <v>1</v>
      </c>
      <c r="O163">
        <v>0.7</v>
      </c>
      <c r="P163">
        <v>-26.649000000000001</v>
      </c>
      <c r="Q163">
        <v>0.24</v>
      </c>
      <c r="R163" t="s">
        <v>9</v>
      </c>
    </row>
    <row r="164" spans="1:18" x14ac:dyDescent="0.25">
      <c r="A164" t="s">
        <v>315</v>
      </c>
      <c r="B164" s="1">
        <v>40556</v>
      </c>
      <c r="C164" s="1">
        <v>40561</v>
      </c>
      <c r="D164" t="s">
        <v>1</v>
      </c>
      <c r="E164" t="s">
        <v>316</v>
      </c>
      <c r="F164" t="s">
        <v>3</v>
      </c>
      <c r="G164" t="s">
        <v>317</v>
      </c>
      <c r="H164" t="s">
        <v>241</v>
      </c>
      <c r="I164" t="s">
        <v>6</v>
      </c>
      <c r="J164" t="s">
        <v>6</v>
      </c>
      <c r="K164" t="s">
        <v>7</v>
      </c>
      <c r="L164" t="s">
        <v>8</v>
      </c>
      <c r="M164">
        <v>794</v>
      </c>
      <c r="N164">
        <v>4</v>
      </c>
      <c r="O164">
        <v>0</v>
      </c>
      <c r="P164">
        <v>134.88</v>
      </c>
      <c r="Q164">
        <v>76.599999999999994</v>
      </c>
      <c r="R164" t="s">
        <v>9</v>
      </c>
    </row>
    <row r="165" spans="1:18" x14ac:dyDescent="0.25">
      <c r="A165" t="s">
        <v>315</v>
      </c>
      <c r="B165" s="1">
        <v>40556</v>
      </c>
      <c r="C165" s="1">
        <v>40561</v>
      </c>
      <c r="D165" t="s">
        <v>1</v>
      </c>
      <c r="E165" t="s">
        <v>316</v>
      </c>
      <c r="F165" t="s">
        <v>3</v>
      </c>
      <c r="G165" t="s">
        <v>317</v>
      </c>
      <c r="H165" t="s">
        <v>241</v>
      </c>
      <c r="I165" t="s">
        <v>6</v>
      </c>
      <c r="J165" t="s">
        <v>6</v>
      </c>
      <c r="K165" t="s">
        <v>38</v>
      </c>
      <c r="L165" t="s">
        <v>50</v>
      </c>
      <c r="M165" s="2">
        <v>1200</v>
      </c>
      <c r="N165">
        <v>4</v>
      </c>
      <c r="O165">
        <v>0</v>
      </c>
      <c r="P165">
        <v>479.88</v>
      </c>
      <c r="Q165">
        <v>55.62</v>
      </c>
      <c r="R165" t="s">
        <v>9</v>
      </c>
    </row>
    <row r="166" spans="1:18" x14ac:dyDescent="0.25">
      <c r="A166" t="s">
        <v>318</v>
      </c>
      <c r="B166" s="1">
        <v>40556</v>
      </c>
      <c r="C166" s="1">
        <v>40560</v>
      </c>
      <c r="D166" t="s">
        <v>1</v>
      </c>
      <c r="E166" t="s">
        <v>319</v>
      </c>
      <c r="F166" t="s">
        <v>3</v>
      </c>
      <c r="G166" t="s">
        <v>320</v>
      </c>
      <c r="H166" t="s">
        <v>106</v>
      </c>
      <c r="I166" t="s">
        <v>75</v>
      </c>
      <c r="J166" t="s">
        <v>30</v>
      </c>
      <c r="K166" t="s">
        <v>38</v>
      </c>
      <c r="L166" t="s">
        <v>39</v>
      </c>
      <c r="M166">
        <v>201</v>
      </c>
      <c r="N166">
        <v>1</v>
      </c>
      <c r="O166">
        <v>0</v>
      </c>
      <c r="P166">
        <v>100.62</v>
      </c>
      <c r="Q166">
        <v>31.78</v>
      </c>
      <c r="R166" t="s">
        <v>23</v>
      </c>
    </row>
    <row r="167" spans="1:18" x14ac:dyDescent="0.25">
      <c r="A167" t="s">
        <v>321</v>
      </c>
      <c r="B167" s="1">
        <v>40556</v>
      </c>
      <c r="C167" s="1">
        <v>40562</v>
      </c>
      <c r="D167" t="s">
        <v>1</v>
      </c>
      <c r="E167" t="s">
        <v>322</v>
      </c>
      <c r="F167" t="s">
        <v>3</v>
      </c>
      <c r="G167" t="s">
        <v>323</v>
      </c>
      <c r="H167" t="s">
        <v>207</v>
      </c>
      <c r="I167" t="s">
        <v>29</v>
      </c>
      <c r="J167" t="s">
        <v>76</v>
      </c>
      <c r="K167" t="s">
        <v>7</v>
      </c>
      <c r="L167" t="s">
        <v>8</v>
      </c>
      <c r="M167">
        <v>198</v>
      </c>
      <c r="N167">
        <v>2</v>
      </c>
      <c r="O167">
        <v>0.5</v>
      </c>
      <c r="P167">
        <v>-130.97999999999999</v>
      </c>
      <c r="Q167">
        <v>14.53</v>
      </c>
      <c r="R167" t="s">
        <v>9</v>
      </c>
    </row>
    <row r="168" spans="1:18" x14ac:dyDescent="0.25">
      <c r="A168" t="s">
        <v>315</v>
      </c>
      <c r="B168" s="1">
        <v>40556</v>
      </c>
      <c r="C168" s="1">
        <v>40561</v>
      </c>
      <c r="D168" t="s">
        <v>1</v>
      </c>
      <c r="E168" t="s">
        <v>316</v>
      </c>
      <c r="F168" t="s">
        <v>3</v>
      </c>
      <c r="G168" t="s">
        <v>317</v>
      </c>
      <c r="H168" t="s">
        <v>241</v>
      </c>
      <c r="I168" t="s">
        <v>6</v>
      </c>
      <c r="J168" t="s">
        <v>6</v>
      </c>
      <c r="K168" t="s">
        <v>7</v>
      </c>
      <c r="L168" t="s">
        <v>8</v>
      </c>
      <c r="M168">
        <v>38</v>
      </c>
      <c r="N168">
        <v>2</v>
      </c>
      <c r="O168">
        <v>0</v>
      </c>
      <c r="P168">
        <v>17.22</v>
      </c>
      <c r="Q168">
        <v>2.66</v>
      </c>
      <c r="R168" t="s">
        <v>9</v>
      </c>
    </row>
    <row r="169" spans="1:18" x14ac:dyDescent="0.25">
      <c r="A169" t="s">
        <v>324</v>
      </c>
      <c r="B169" s="1">
        <v>40556</v>
      </c>
      <c r="C169" s="1">
        <v>40560</v>
      </c>
      <c r="D169" t="s">
        <v>1</v>
      </c>
      <c r="E169" t="s">
        <v>325</v>
      </c>
      <c r="F169" t="s">
        <v>26</v>
      </c>
      <c r="G169" t="s">
        <v>326</v>
      </c>
      <c r="H169" t="s">
        <v>247</v>
      </c>
      <c r="I169" t="s">
        <v>75</v>
      </c>
      <c r="J169" t="s">
        <v>102</v>
      </c>
      <c r="K169" t="s">
        <v>7</v>
      </c>
      <c r="L169" t="s">
        <v>16</v>
      </c>
      <c r="M169">
        <v>26</v>
      </c>
      <c r="N169">
        <v>5</v>
      </c>
      <c r="O169">
        <v>0.4</v>
      </c>
      <c r="P169">
        <v>-8</v>
      </c>
      <c r="Q169">
        <v>2.2000000000000002</v>
      </c>
      <c r="R169" t="s">
        <v>23</v>
      </c>
    </row>
    <row r="170" spans="1:18" x14ac:dyDescent="0.25">
      <c r="A170" t="s">
        <v>327</v>
      </c>
      <c r="B170" s="1">
        <v>40556</v>
      </c>
      <c r="C170" s="1">
        <v>40563</v>
      </c>
      <c r="D170" t="s">
        <v>1</v>
      </c>
      <c r="E170" t="s">
        <v>328</v>
      </c>
      <c r="F170" t="s">
        <v>3</v>
      </c>
      <c r="G170" t="s">
        <v>329</v>
      </c>
      <c r="H170" t="s">
        <v>28</v>
      </c>
      <c r="I170" t="s">
        <v>29</v>
      </c>
      <c r="J170" t="s">
        <v>30</v>
      </c>
      <c r="K170" t="s">
        <v>7</v>
      </c>
      <c r="L170" t="s">
        <v>91</v>
      </c>
      <c r="M170">
        <v>31</v>
      </c>
      <c r="N170">
        <v>5</v>
      </c>
      <c r="O170">
        <v>0.5</v>
      </c>
      <c r="P170">
        <v>-13.65</v>
      </c>
      <c r="Q170">
        <v>2.16</v>
      </c>
      <c r="R170" t="s">
        <v>9</v>
      </c>
    </row>
    <row r="171" spans="1:18" x14ac:dyDescent="0.25">
      <c r="A171" t="s">
        <v>321</v>
      </c>
      <c r="B171" s="1">
        <v>40556</v>
      </c>
      <c r="C171" s="1">
        <v>40562</v>
      </c>
      <c r="D171" t="s">
        <v>1</v>
      </c>
      <c r="E171" t="s">
        <v>322</v>
      </c>
      <c r="F171" t="s">
        <v>3</v>
      </c>
      <c r="G171" t="s">
        <v>323</v>
      </c>
      <c r="H171" t="s">
        <v>207</v>
      </c>
      <c r="I171" t="s">
        <v>29</v>
      </c>
      <c r="J171" t="s">
        <v>76</v>
      </c>
      <c r="K171" t="s">
        <v>7</v>
      </c>
      <c r="L171" t="s">
        <v>31</v>
      </c>
      <c r="M171">
        <v>50</v>
      </c>
      <c r="N171">
        <v>2</v>
      </c>
      <c r="O171">
        <v>0.5</v>
      </c>
      <c r="P171">
        <v>-37.86</v>
      </c>
      <c r="Q171">
        <v>1.51</v>
      </c>
      <c r="R171" t="s">
        <v>9</v>
      </c>
    </row>
    <row r="172" spans="1:18" x14ac:dyDescent="0.25">
      <c r="A172" t="s">
        <v>321</v>
      </c>
      <c r="B172" s="1">
        <v>40556</v>
      </c>
      <c r="C172" s="1">
        <v>40562</v>
      </c>
      <c r="D172" t="s">
        <v>1</v>
      </c>
      <c r="E172" t="s">
        <v>322</v>
      </c>
      <c r="F172" t="s">
        <v>3</v>
      </c>
      <c r="G172" t="s">
        <v>323</v>
      </c>
      <c r="H172" t="s">
        <v>207</v>
      </c>
      <c r="I172" t="s">
        <v>29</v>
      </c>
      <c r="J172" t="s">
        <v>76</v>
      </c>
      <c r="K172" t="s">
        <v>7</v>
      </c>
      <c r="L172" t="s">
        <v>87</v>
      </c>
      <c r="M172">
        <v>22</v>
      </c>
      <c r="N172">
        <v>4</v>
      </c>
      <c r="O172">
        <v>0.5</v>
      </c>
      <c r="P172">
        <v>-12.3</v>
      </c>
      <c r="Q172">
        <v>1.29</v>
      </c>
      <c r="R172" t="s">
        <v>9</v>
      </c>
    </row>
    <row r="173" spans="1:18" x14ac:dyDescent="0.25">
      <c r="A173" t="s">
        <v>330</v>
      </c>
      <c r="B173" s="1">
        <v>40556</v>
      </c>
      <c r="C173" s="1">
        <v>40560</v>
      </c>
      <c r="D173" t="s">
        <v>1</v>
      </c>
      <c r="E173" t="s">
        <v>331</v>
      </c>
      <c r="F173" t="s">
        <v>43</v>
      </c>
      <c r="G173" t="s">
        <v>332</v>
      </c>
      <c r="H173" t="s">
        <v>13</v>
      </c>
      <c r="I173" t="s">
        <v>14</v>
      </c>
      <c r="J173" t="s">
        <v>15</v>
      </c>
      <c r="K173" t="s">
        <v>7</v>
      </c>
      <c r="L173" t="s">
        <v>87</v>
      </c>
      <c r="M173">
        <v>16</v>
      </c>
      <c r="N173">
        <v>2</v>
      </c>
      <c r="O173">
        <v>0.1</v>
      </c>
      <c r="P173">
        <v>0.33</v>
      </c>
      <c r="Q173">
        <v>0.72</v>
      </c>
      <c r="R173" t="s">
        <v>9</v>
      </c>
    </row>
    <row r="174" spans="1:18" x14ac:dyDescent="0.25">
      <c r="A174" t="s">
        <v>321</v>
      </c>
      <c r="B174" s="1">
        <v>40556</v>
      </c>
      <c r="C174" s="1">
        <v>40562</v>
      </c>
      <c r="D174" t="s">
        <v>1</v>
      </c>
      <c r="E174" t="s">
        <v>322</v>
      </c>
      <c r="F174" t="s">
        <v>3</v>
      </c>
      <c r="G174" t="s">
        <v>323</v>
      </c>
      <c r="H174" t="s">
        <v>207</v>
      </c>
      <c r="I174" t="s">
        <v>29</v>
      </c>
      <c r="J174" t="s">
        <v>76</v>
      </c>
      <c r="K174" t="s">
        <v>7</v>
      </c>
      <c r="L174" t="s">
        <v>137</v>
      </c>
      <c r="M174">
        <v>9</v>
      </c>
      <c r="N174">
        <v>3</v>
      </c>
      <c r="O174">
        <v>0.5</v>
      </c>
      <c r="P174">
        <v>-3.4649999999999999</v>
      </c>
      <c r="Q174">
        <v>0.43</v>
      </c>
      <c r="R174" t="s">
        <v>9</v>
      </c>
    </row>
    <row r="175" spans="1:18" x14ac:dyDescent="0.25">
      <c r="A175" t="s">
        <v>333</v>
      </c>
      <c r="B175" s="1">
        <v>40557</v>
      </c>
      <c r="C175" s="1">
        <v>40562</v>
      </c>
      <c r="D175" t="s">
        <v>1</v>
      </c>
      <c r="E175" t="s">
        <v>263</v>
      </c>
      <c r="F175" t="s">
        <v>3</v>
      </c>
      <c r="G175" t="s">
        <v>191</v>
      </c>
      <c r="H175" t="s">
        <v>126</v>
      </c>
      <c r="I175" t="s">
        <v>127</v>
      </c>
      <c r="J175" t="s">
        <v>192</v>
      </c>
      <c r="K175" t="s">
        <v>7</v>
      </c>
      <c r="L175" t="s">
        <v>8</v>
      </c>
      <c r="M175" s="2">
        <v>1326</v>
      </c>
      <c r="N175">
        <v>5</v>
      </c>
      <c r="O175">
        <v>0</v>
      </c>
      <c r="P175">
        <v>238.65299999999999</v>
      </c>
      <c r="Q175">
        <v>187.65</v>
      </c>
      <c r="R175" t="s">
        <v>23</v>
      </c>
    </row>
    <row r="176" spans="1:18" x14ac:dyDescent="0.25">
      <c r="A176" t="s">
        <v>334</v>
      </c>
      <c r="B176" s="1">
        <v>40557</v>
      </c>
      <c r="C176" s="1">
        <v>40559</v>
      </c>
      <c r="D176" t="s">
        <v>18</v>
      </c>
      <c r="E176" t="s">
        <v>335</v>
      </c>
      <c r="F176" t="s">
        <v>43</v>
      </c>
      <c r="G176" t="s">
        <v>336</v>
      </c>
      <c r="H176" t="s">
        <v>126</v>
      </c>
      <c r="I176" t="s">
        <v>127</v>
      </c>
      <c r="J176" t="s">
        <v>102</v>
      </c>
      <c r="K176" t="s">
        <v>7</v>
      </c>
      <c r="L176" t="s">
        <v>8</v>
      </c>
      <c r="M176">
        <v>573</v>
      </c>
      <c r="N176">
        <v>6</v>
      </c>
      <c r="O176">
        <v>0</v>
      </c>
      <c r="P176">
        <v>34.354799999999997</v>
      </c>
      <c r="Q176">
        <v>146.29</v>
      </c>
      <c r="R176" t="s">
        <v>45</v>
      </c>
    </row>
    <row r="177" spans="1:18" x14ac:dyDescent="0.25">
      <c r="A177" t="s">
        <v>334</v>
      </c>
      <c r="B177" s="1">
        <v>40557</v>
      </c>
      <c r="C177" s="1">
        <v>40559</v>
      </c>
      <c r="D177" t="s">
        <v>18</v>
      </c>
      <c r="E177" t="s">
        <v>335</v>
      </c>
      <c r="F177" t="s">
        <v>43</v>
      </c>
      <c r="G177" t="s">
        <v>336</v>
      </c>
      <c r="H177" t="s">
        <v>126</v>
      </c>
      <c r="I177" t="s">
        <v>127</v>
      </c>
      <c r="J177" t="s">
        <v>102</v>
      </c>
      <c r="K177" t="s">
        <v>38</v>
      </c>
      <c r="L177" t="s">
        <v>82</v>
      </c>
      <c r="M177">
        <v>647</v>
      </c>
      <c r="N177">
        <v>6</v>
      </c>
      <c r="O177">
        <v>0</v>
      </c>
      <c r="P177">
        <v>258.69600000000003</v>
      </c>
      <c r="Q177">
        <v>141.35</v>
      </c>
      <c r="R177" t="s">
        <v>45</v>
      </c>
    </row>
    <row r="178" spans="1:18" x14ac:dyDescent="0.25">
      <c r="A178" t="s">
        <v>337</v>
      </c>
      <c r="B178" s="1">
        <v>40557</v>
      </c>
      <c r="C178" s="1">
        <v>40562</v>
      </c>
      <c r="D178" t="s">
        <v>1</v>
      </c>
      <c r="E178" t="s">
        <v>338</v>
      </c>
      <c r="F178" t="s">
        <v>26</v>
      </c>
      <c r="G178" t="s">
        <v>290</v>
      </c>
      <c r="H178" t="s">
        <v>291</v>
      </c>
      <c r="I178" t="s">
        <v>29</v>
      </c>
      <c r="J178" t="s">
        <v>76</v>
      </c>
      <c r="K178" t="s">
        <v>38</v>
      </c>
      <c r="L178" t="s">
        <v>39</v>
      </c>
      <c r="M178">
        <v>486</v>
      </c>
      <c r="N178">
        <v>3</v>
      </c>
      <c r="O178">
        <v>0</v>
      </c>
      <c r="P178">
        <v>77.67</v>
      </c>
      <c r="Q178">
        <v>53.02</v>
      </c>
      <c r="R178" t="s">
        <v>23</v>
      </c>
    </row>
    <row r="179" spans="1:18" x14ac:dyDescent="0.25">
      <c r="A179" t="s">
        <v>339</v>
      </c>
      <c r="B179" s="1">
        <v>40557</v>
      </c>
      <c r="C179" s="1">
        <v>40560</v>
      </c>
      <c r="D179" t="s">
        <v>18</v>
      </c>
      <c r="E179" t="s">
        <v>340</v>
      </c>
      <c r="F179" t="s">
        <v>3</v>
      </c>
      <c r="G179" t="s">
        <v>341</v>
      </c>
      <c r="H179" t="s">
        <v>126</v>
      </c>
      <c r="I179" t="s">
        <v>127</v>
      </c>
      <c r="J179" t="s">
        <v>102</v>
      </c>
      <c r="K179" t="s">
        <v>32</v>
      </c>
      <c r="L179" t="s">
        <v>56</v>
      </c>
      <c r="M179">
        <v>546</v>
      </c>
      <c r="N179">
        <v>6</v>
      </c>
      <c r="O179">
        <v>0</v>
      </c>
      <c r="P179">
        <v>87.350399999999993</v>
      </c>
      <c r="Q179">
        <v>52.32</v>
      </c>
      <c r="R179" t="s">
        <v>9</v>
      </c>
    </row>
    <row r="180" spans="1:18" x14ac:dyDescent="0.25">
      <c r="A180" t="s">
        <v>337</v>
      </c>
      <c r="B180" s="1">
        <v>40557</v>
      </c>
      <c r="C180" s="1">
        <v>40562</v>
      </c>
      <c r="D180" t="s">
        <v>1</v>
      </c>
      <c r="E180" t="s">
        <v>338</v>
      </c>
      <c r="F180" t="s">
        <v>26</v>
      </c>
      <c r="G180" t="s">
        <v>290</v>
      </c>
      <c r="H180" t="s">
        <v>291</v>
      </c>
      <c r="I180" t="s">
        <v>29</v>
      </c>
      <c r="J180" t="s">
        <v>76</v>
      </c>
      <c r="K180" t="s">
        <v>38</v>
      </c>
      <c r="L180" t="s">
        <v>77</v>
      </c>
      <c r="M180">
        <v>440</v>
      </c>
      <c r="N180">
        <v>6</v>
      </c>
      <c r="O180">
        <v>0</v>
      </c>
      <c r="P180">
        <v>65.88</v>
      </c>
      <c r="Q180">
        <v>49.92</v>
      </c>
      <c r="R180" t="s">
        <v>23</v>
      </c>
    </row>
    <row r="181" spans="1:18" x14ac:dyDescent="0.25">
      <c r="A181" t="s">
        <v>333</v>
      </c>
      <c r="B181" s="1">
        <v>40557</v>
      </c>
      <c r="C181" s="1">
        <v>40562</v>
      </c>
      <c r="D181" t="s">
        <v>1</v>
      </c>
      <c r="E181" t="s">
        <v>263</v>
      </c>
      <c r="F181" t="s">
        <v>3</v>
      </c>
      <c r="G181" t="s">
        <v>191</v>
      </c>
      <c r="H181" t="s">
        <v>126</v>
      </c>
      <c r="I181" t="s">
        <v>127</v>
      </c>
      <c r="J181" t="s">
        <v>192</v>
      </c>
      <c r="K181" t="s">
        <v>32</v>
      </c>
      <c r="L181" t="s">
        <v>67</v>
      </c>
      <c r="M181">
        <v>334</v>
      </c>
      <c r="N181">
        <v>3</v>
      </c>
      <c r="O181">
        <v>0.15</v>
      </c>
      <c r="P181">
        <v>3.9293999999999998</v>
      </c>
      <c r="Q181">
        <v>40.44</v>
      </c>
      <c r="R181" t="s">
        <v>23</v>
      </c>
    </row>
    <row r="182" spans="1:18" x14ac:dyDescent="0.25">
      <c r="A182" t="s">
        <v>337</v>
      </c>
      <c r="B182" s="1">
        <v>40557</v>
      </c>
      <c r="C182" s="1">
        <v>40562</v>
      </c>
      <c r="D182" t="s">
        <v>1</v>
      </c>
      <c r="E182" t="s">
        <v>338</v>
      </c>
      <c r="F182" t="s">
        <v>26</v>
      </c>
      <c r="G182" t="s">
        <v>290</v>
      </c>
      <c r="H182" t="s">
        <v>291</v>
      </c>
      <c r="I182" t="s">
        <v>29</v>
      </c>
      <c r="J182" t="s">
        <v>76</v>
      </c>
      <c r="K182" t="s">
        <v>7</v>
      </c>
      <c r="L182" t="s">
        <v>31</v>
      </c>
      <c r="M182">
        <v>224</v>
      </c>
      <c r="N182">
        <v>11</v>
      </c>
      <c r="O182">
        <v>0</v>
      </c>
      <c r="P182">
        <v>102.96</v>
      </c>
      <c r="Q182">
        <v>30.34</v>
      </c>
      <c r="R182" t="s">
        <v>23</v>
      </c>
    </row>
    <row r="183" spans="1:18" x14ac:dyDescent="0.25">
      <c r="A183" t="s">
        <v>342</v>
      </c>
      <c r="B183" s="1">
        <v>40557</v>
      </c>
      <c r="C183" s="1">
        <v>40563</v>
      </c>
      <c r="D183" t="s">
        <v>1</v>
      </c>
      <c r="E183" t="s">
        <v>343</v>
      </c>
      <c r="F183" t="s">
        <v>43</v>
      </c>
      <c r="G183" t="s">
        <v>344</v>
      </c>
      <c r="H183" t="s">
        <v>345</v>
      </c>
      <c r="I183" t="s">
        <v>75</v>
      </c>
      <c r="J183" t="s">
        <v>76</v>
      </c>
      <c r="K183" t="s">
        <v>32</v>
      </c>
      <c r="L183" t="s">
        <v>67</v>
      </c>
      <c r="M183">
        <v>393</v>
      </c>
      <c r="N183">
        <v>3</v>
      </c>
      <c r="O183">
        <v>0</v>
      </c>
      <c r="P183">
        <v>180.96</v>
      </c>
      <c r="Q183">
        <v>27.67</v>
      </c>
      <c r="R183" t="s">
        <v>9</v>
      </c>
    </row>
    <row r="184" spans="1:18" x14ac:dyDescent="0.25">
      <c r="A184" t="s">
        <v>346</v>
      </c>
      <c r="B184" s="1">
        <v>40557</v>
      </c>
      <c r="C184" s="1">
        <v>40558</v>
      </c>
      <c r="D184" t="s">
        <v>142</v>
      </c>
      <c r="E184" t="s">
        <v>347</v>
      </c>
      <c r="F184" t="s">
        <v>3</v>
      </c>
      <c r="G184" t="s">
        <v>348</v>
      </c>
      <c r="H184" t="s">
        <v>106</v>
      </c>
      <c r="I184" t="s">
        <v>75</v>
      </c>
      <c r="J184" t="s">
        <v>30</v>
      </c>
      <c r="K184" t="s">
        <v>7</v>
      </c>
      <c r="L184" t="s">
        <v>96</v>
      </c>
      <c r="M184">
        <v>106</v>
      </c>
      <c r="N184">
        <v>4</v>
      </c>
      <c r="O184">
        <v>0</v>
      </c>
      <c r="P184">
        <v>18.96</v>
      </c>
      <c r="Q184">
        <v>26.23</v>
      </c>
      <c r="R184" t="s">
        <v>23</v>
      </c>
    </row>
    <row r="185" spans="1:18" x14ac:dyDescent="0.25">
      <c r="A185" t="s">
        <v>349</v>
      </c>
      <c r="B185" s="1">
        <v>40557</v>
      </c>
      <c r="C185" s="1">
        <v>40564</v>
      </c>
      <c r="D185" t="s">
        <v>1</v>
      </c>
      <c r="E185" t="s">
        <v>350</v>
      </c>
      <c r="F185" t="s">
        <v>26</v>
      </c>
      <c r="G185" t="s">
        <v>351</v>
      </c>
      <c r="H185" t="s">
        <v>259</v>
      </c>
      <c r="I185" t="s">
        <v>6</v>
      </c>
      <c r="J185" t="s">
        <v>6</v>
      </c>
      <c r="K185" t="s">
        <v>7</v>
      </c>
      <c r="L185" t="s">
        <v>91</v>
      </c>
      <c r="M185">
        <v>136</v>
      </c>
      <c r="N185">
        <v>12</v>
      </c>
      <c r="O185">
        <v>0</v>
      </c>
      <c r="P185">
        <v>31.32</v>
      </c>
      <c r="Q185">
        <v>23.89</v>
      </c>
      <c r="R185" t="s">
        <v>51</v>
      </c>
    </row>
    <row r="186" spans="1:18" x14ac:dyDescent="0.25">
      <c r="A186" t="s">
        <v>334</v>
      </c>
      <c r="B186" s="1">
        <v>40557</v>
      </c>
      <c r="C186" s="1">
        <v>40559</v>
      </c>
      <c r="D186" t="s">
        <v>18</v>
      </c>
      <c r="E186" t="s">
        <v>335</v>
      </c>
      <c r="F186" t="s">
        <v>43</v>
      </c>
      <c r="G186" t="s">
        <v>336</v>
      </c>
      <c r="H186" t="s">
        <v>126</v>
      </c>
      <c r="I186" t="s">
        <v>127</v>
      </c>
      <c r="J186" t="s">
        <v>102</v>
      </c>
      <c r="K186" t="s">
        <v>7</v>
      </c>
      <c r="L186" t="s">
        <v>96</v>
      </c>
      <c r="M186">
        <v>51</v>
      </c>
      <c r="N186">
        <v>3</v>
      </c>
      <c r="O186">
        <v>0</v>
      </c>
      <c r="P186">
        <v>25.47</v>
      </c>
      <c r="Q186">
        <v>12.66</v>
      </c>
      <c r="R186" t="s">
        <v>45</v>
      </c>
    </row>
    <row r="187" spans="1:18" x14ac:dyDescent="0.25">
      <c r="A187" t="s">
        <v>342</v>
      </c>
      <c r="B187" s="1">
        <v>40557</v>
      </c>
      <c r="C187" s="1">
        <v>40563</v>
      </c>
      <c r="D187" t="s">
        <v>1</v>
      </c>
      <c r="E187" t="s">
        <v>343</v>
      </c>
      <c r="F187" t="s">
        <v>43</v>
      </c>
      <c r="G187" t="s">
        <v>344</v>
      </c>
      <c r="H187" t="s">
        <v>345</v>
      </c>
      <c r="I187" t="s">
        <v>75</v>
      </c>
      <c r="J187" t="s">
        <v>76</v>
      </c>
      <c r="K187" t="s">
        <v>7</v>
      </c>
      <c r="L187" t="s">
        <v>31</v>
      </c>
      <c r="M187">
        <v>246</v>
      </c>
      <c r="N187">
        <v>12</v>
      </c>
      <c r="O187">
        <v>0</v>
      </c>
      <c r="P187">
        <v>7.2</v>
      </c>
      <c r="Q187">
        <v>11.88</v>
      </c>
      <c r="R187" t="s">
        <v>9</v>
      </c>
    </row>
    <row r="188" spans="1:18" x14ac:dyDescent="0.25">
      <c r="A188" t="s">
        <v>352</v>
      </c>
      <c r="B188" s="1">
        <v>40557</v>
      </c>
      <c r="C188" s="1">
        <v>40561</v>
      </c>
      <c r="D188" t="s">
        <v>1</v>
      </c>
      <c r="E188" t="s">
        <v>353</v>
      </c>
      <c r="F188" t="s">
        <v>3</v>
      </c>
      <c r="G188" t="s">
        <v>354</v>
      </c>
      <c r="H188" t="s">
        <v>285</v>
      </c>
      <c r="I188" t="s">
        <v>22</v>
      </c>
      <c r="J188" t="s">
        <v>22</v>
      </c>
      <c r="K188" t="s">
        <v>7</v>
      </c>
      <c r="L188" t="s">
        <v>8</v>
      </c>
      <c r="M188">
        <v>110</v>
      </c>
      <c r="N188">
        <v>2</v>
      </c>
      <c r="O188">
        <v>0.6</v>
      </c>
      <c r="P188">
        <v>-54.972000000000001</v>
      </c>
      <c r="Q188">
        <v>11.53</v>
      </c>
      <c r="R188" t="s">
        <v>9</v>
      </c>
    </row>
    <row r="189" spans="1:18" x14ac:dyDescent="0.25">
      <c r="A189" t="s">
        <v>355</v>
      </c>
      <c r="B189" s="1">
        <v>40557</v>
      </c>
      <c r="C189" s="1">
        <v>40564</v>
      </c>
      <c r="D189" t="s">
        <v>1</v>
      </c>
      <c r="E189" t="s">
        <v>356</v>
      </c>
      <c r="F189" t="s">
        <v>43</v>
      </c>
      <c r="G189" t="s">
        <v>59</v>
      </c>
      <c r="H189" t="s">
        <v>60</v>
      </c>
      <c r="I189" t="s">
        <v>14</v>
      </c>
      <c r="J189" t="s">
        <v>61</v>
      </c>
      <c r="K189" t="s">
        <v>32</v>
      </c>
      <c r="L189" t="s">
        <v>33</v>
      </c>
      <c r="M189">
        <v>99</v>
      </c>
      <c r="N189">
        <v>3</v>
      </c>
      <c r="O189">
        <v>0.25</v>
      </c>
      <c r="P189">
        <v>-23.737500000000001</v>
      </c>
      <c r="Q189">
        <v>9.7100000000000009</v>
      </c>
      <c r="R189" t="s">
        <v>51</v>
      </c>
    </row>
    <row r="190" spans="1:18" x14ac:dyDescent="0.25">
      <c r="A190" t="s">
        <v>355</v>
      </c>
      <c r="B190" s="1">
        <v>40557</v>
      </c>
      <c r="C190" s="1">
        <v>40564</v>
      </c>
      <c r="D190" t="s">
        <v>1</v>
      </c>
      <c r="E190" t="s">
        <v>356</v>
      </c>
      <c r="F190" t="s">
        <v>43</v>
      </c>
      <c r="G190" t="s">
        <v>59</v>
      </c>
      <c r="H190" t="s">
        <v>60</v>
      </c>
      <c r="I190" t="s">
        <v>14</v>
      </c>
      <c r="J190" t="s">
        <v>61</v>
      </c>
      <c r="K190" t="s">
        <v>7</v>
      </c>
      <c r="L190" t="s">
        <v>8</v>
      </c>
      <c r="M190">
        <v>80</v>
      </c>
      <c r="N190">
        <v>3</v>
      </c>
      <c r="O190">
        <v>0.45</v>
      </c>
      <c r="P190">
        <v>5.742</v>
      </c>
      <c r="Q190">
        <v>9.43</v>
      </c>
      <c r="R190" t="s">
        <v>51</v>
      </c>
    </row>
    <row r="191" spans="1:18" x14ac:dyDescent="0.25">
      <c r="A191" t="s">
        <v>342</v>
      </c>
      <c r="B191" s="1">
        <v>40557</v>
      </c>
      <c r="C191" s="1">
        <v>40563</v>
      </c>
      <c r="D191" t="s">
        <v>1</v>
      </c>
      <c r="E191" t="s">
        <v>343</v>
      </c>
      <c r="F191" t="s">
        <v>43</v>
      </c>
      <c r="G191" t="s">
        <v>344</v>
      </c>
      <c r="H191" t="s">
        <v>345</v>
      </c>
      <c r="I191" t="s">
        <v>75</v>
      </c>
      <c r="J191" t="s">
        <v>76</v>
      </c>
      <c r="K191" t="s">
        <v>7</v>
      </c>
      <c r="L191" t="s">
        <v>8</v>
      </c>
      <c r="M191">
        <v>109</v>
      </c>
      <c r="N191">
        <v>3</v>
      </c>
      <c r="O191">
        <v>0</v>
      </c>
      <c r="P191">
        <v>28.38</v>
      </c>
      <c r="Q191">
        <v>6.11</v>
      </c>
      <c r="R191" t="s">
        <v>9</v>
      </c>
    </row>
    <row r="192" spans="1:18" x14ac:dyDescent="0.25">
      <c r="A192" t="s">
        <v>352</v>
      </c>
      <c r="B192" s="1">
        <v>40557</v>
      </c>
      <c r="C192" s="1">
        <v>40561</v>
      </c>
      <c r="D192" t="s">
        <v>1</v>
      </c>
      <c r="E192" t="s">
        <v>353</v>
      </c>
      <c r="F192" t="s">
        <v>3</v>
      </c>
      <c r="G192" t="s">
        <v>354</v>
      </c>
      <c r="H192" t="s">
        <v>285</v>
      </c>
      <c r="I192" t="s">
        <v>22</v>
      </c>
      <c r="J192" t="s">
        <v>22</v>
      </c>
      <c r="K192" t="s">
        <v>7</v>
      </c>
      <c r="L192" t="s">
        <v>8</v>
      </c>
      <c r="M192">
        <v>79</v>
      </c>
      <c r="N192">
        <v>1</v>
      </c>
      <c r="O192">
        <v>0.6</v>
      </c>
      <c r="P192">
        <v>-85.331999999999994</v>
      </c>
      <c r="Q192">
        <v>5.84</v>
      </c>
      <c r="R192" t="s">
        <v>9</v>
      </c>
    </row>
    <row r="193" spans="1:18" x14ac:dyDescent="0.25">
      <c r="A193" t="s">
        <v>352</v>
      </c>
      <c r="B193" s="1">
        <v>40557</v>
      </c>
      <c r="C193" s="1">
        <v>40561</v>
      </c>
      <c r="D193" t="s">
        <v>1</v>
      </c>
      <c r="E193" t="s">
        <v>353</v>
      </c>
      <c r="F193" t="s">
        <v>3</v>
      </c>
      <c r="G193" t="s">
        <v>354</v>
      </c>
      <c r="H193" t="s">
        <v>285</v>
      </c>
      <c r="I193" t="s">
        <v>22</v>
      </c>
      <c r="J193" t="s">
        <v>22</v>
      </c>
      <c r="K193" t="s">
        <v>7</v>
      </c>
      <c r="L193" t="s">
        <v>16</v>
      </c>
      <c r="M193">
        <v>74</v>
      </c>
      <c r="N193">
        <v>4</v>
      </c>
      <c r="O193">
        <v>0.6</v>
      </c>
      <c r="P193">
        <v>-70.319999999999993</v>
      </c>
      <c r="Q193">
        <v>4.4800000000000004</v>
      </c>
      <c r="R193" t="s">
        <v>9</v>
      </c>
    </row>
    <row r="194" spans="1:18" x14ac:dyDescent="0.25">
      <c r="A194" t="s">
        <v>342</v>
      </c>
      <c r="B194" s="1">
        <v>40557</v>
      </c>
      <c r="C194" s="1">
        <v>40563</v>
      </c>
      <c r="D194" t="s">
        <v>1</v>
      </c>
      <c r="E194" t="s">
        <v>343</v>
      </c>
      <c r="F194" t="s">
        <v>43</v>
      </c>
      <c r="G194" t="s">
        <v>344</v>
      </c>
      <c r="H194" t="s">
        <v>345</v>
      </c>
      <c r="I194" t="s">
        <v>75</v>
      </c>
      <c r="J194" t="s">
        <v>76</v>
      </c>
      <c r="K194" t="s">
        <v>7</v>
      </c>
      <c r="L194" t="s">
        <v>137</v>
      </c>
      <c r="M194">
        <v>66</v>
      </c>
      <c r="N194">
        <v>8</v>
      </c>
      <c r="O194">
        <v>0</v>
      </c>
      <c r="P194">
        <v>9.1199999999999992</v>
      </c>
      <c r="Q194">
        <v>3.61</v>
      </c>
      <c r="R194" t="s">
        <v>9</v>
      </c>
    </row>
    <row r="195" spans="1:18" x14ac:dyDescent="0.25">
      <c r="A195" t="s">
        <v>333</v>
      </c>
      <c r="B195" s="1">
        <v>40557</v>
      </c>
      <c r="C195" s="1">
        <v>40562</v>
      </c>
      <c r="D195" t="s">
        <v>1</v>
      </c>
      <c r="E195" t="s">
        <v>263</v>
      </c>
      <c r="F195" t="s">
        <v>3</v>
      </c>
      <c r="G195" t="s">
        <v>191</v>
      </c>
      <c r="H195" t="s">
        <v>126</v>
      </c>
      <c r="I195" t="s">
        <v>127</v>
      </c>
      <c r="J195" t="s">
        <v>192</v>
      </c>
      <c r="K195" t="s">
        <v>7</v>
      </c>
      <c r="L195" t="s">
        <v>91</v>
      </c>
      <c r="M195">
        <v>20</v>
      </c>
      <c r="N195">
        <v>5</v>
      </c>
      <c r="O195">
        <v>0</v>
      </c>
      <c r="P195">
        <v>6.5670000000000002</v>
      </c>
      <c r="Q195">
        <v>3.03</v>
      </c>
      <c r="R195" t="s">
        <v>23</v>
      </c>
    </row>
    <row r="196" spans="1:18" x14ac:dyDescent="0.25">
      <c r="A196" t="s">
        <v>334</v>
      </c>
      <c r="B196" s="1">
        <v>40557</v>
      </c>
      <c r="C196" s="1">
        <v>40559</v>
      </c>
      <c r="D196" t="s">
        <v>18</v>
      </c>
      <c r="E196" t="s">
        <v>335</v>
      </c>
      <c r="F196" t="s">
        <v>43</v>
      </c>
      <c r="G196" t="s">
        <v>336</v>
      </c>
      <c r="H196" t="s">
        <v>126</v>
      </c>
      <c r="I196" t="s">
        <v>127</v>
      </c>
      <c r="J196" t="s">
        <v>102</v>
      </c>
      <c r="K196" t="s">
        <v>7</v>
      </c>
      <c r="L196" t="s">
        <v>96</v>
      </c>
      <c r="M196">
        <v>11</v>
      </c>
      <c r="N196">
        <v>2</v>
      </c>
      <c r="O196">
        <v>0</v>
      </c>
      <c r="P196">
        <v>5.3391999999999999</v>
      </c>
      <c r="Q196">
        <v>2.88</v>
      </c>
      <c r="R196" t="s">
        <v>45</v>
      </c>
    </row>
    <row r="197" spans="1:18" x14ac:dyDescent="0.25">
      <c r="A197" t="s">
        <v>357</v>
      </c>
      <c r="B197" s="1">
        <v>40557</v>
      </c>
      <c r="C197" s="1">
        <v>40562</v>
      </c>
      <c r="D197" t="s">
        <v>1</v>
      </c>
      <c r="E197" t="s">
        <v>358</v>
      </c>
      <c r="F197" t="s">
        <v>3</v>
      </c>
      <c r="G197" t="s">
        <v>359</v>
      </c>
      <c r="H197" t="s">
        <v>126</v>
      </c>
      <c r="I197" t="s">
        <v>127</v>
      </c>
      <c r="J197" t="s">
        <v>173</v>
      </c>
      <c r="K197" t="s">
        <v>7</v>
      </c>
      <c r="L197" t="s">
        <v>31</v>
      </c>
      <c r="M197">
        <v>37</v>
      </c>
      <c r="N197">
        <v>7</v>
      </c>
      <c r="O197">
        <v>0.2</v>
      </c>
      <c r="P197">
        <v>13.0928</v>
      </c>
      <c r="Q197">
        <v>1.46</v>
      </c>
      <c r="R197" t="s">
        <v>9</v>
      </c>
    </row>
    <row r="198" spans="1:18" x14ac:dyDescent="0.25">
      <c r="A198" t="s">
        <v>334</v>
      </c>
      <c r="B198" s="1">
        <v>40557</v>
      </c>
      <c r="C198" s="1">
        <v>40559</v>
      </c>
      <c r="D198" t="s">
        <v>18</v>
      </c>
      <c r="E198" t="s">
        <v>335</v>
      </c>
      <c r="F198" t="s">
        <v>43</v>
      </c>
      <c r="G198" t="s">
        <v>336</v>
      </c>
      <c r="H198" t="s">
        <v>126</v>
      </c>
      <c r="I198" t="s">
        <v>127</v>
      </c>
      <c r="J198" t="s">
        <v>102</v>
      </c>
      <c r="K198" t="s">
        <v>7</v>
      </c>
      <c r="L198" t="s">
        <v>137</v>
      </c>
      <c r="M198">
        <v>6</v>
      </c>
      <c r="N198">
        <v>3</v>
      </c>
      <c r="O198">
        <v>0</v>
      </c>
      <c r="P198">
        <v>2.7071999999999998</v>
      </c>
      <c r="Q198">
        <v>0.85</v>
      </c>
      <c r="R198" t="s">
        <v>45</v>
      </c>
    </row>
    <row r="199" spans="1:18" x14ac:dyDescent="0.25">
      <c r="A199" t="s">
        <v>352</v>
      </c>
      <c r="B199" s="1">
        <v>40557</v>
      </c>
      <c r="C199" s="1">
        <v>40561</v>
      </c>
      <c r="D199" t="s">
        <v>1</v>
      </c>
      <c r="E199" t="s">
        <v>353</v>
      </c>
      <c r="F199" t="s">
        <v>3</v>
      </c>
      <c r="G199" t="s">
        <v>354</v>
      </c>
      <c r="H199" t="s">
        <v>285</v>
      </c>
      <c r="I199" t="s">
        <v>22</v>
      </c>
      <c r="J199" t="s">
        <v>22</v>
      </c>
      <c r="K199" t="s">
        <v>7</v>
      </c>
      <c r="L199" t="s">
        <v>91</v>
      </c>
      <c r="M199">
        <v>79</v>
      </c>
      <c r="N199">
        <v>4</v>
      </c>
      <c r="O199">
        <v>0.6</v>
      </c>
      <c r="P199">
        <v>-87.168000000000006</v>
      </c>
      <c r="Q199">
        <v>0.43</v>
      </c>
      <c r="R199" t="s">
        <v>9</v>
      </c>
    </row>
    <row r="200" spans="1:18" x14ac:dyDescent="0.25">
      <c r="A200" t="s">
        <v>357</v>
      </c>
      <c r="B200" s="1">
        <v>40557</v>
      </c>
      <c r="C200" s="1">
        <v>40562</v>
      </c>
      <c r="D200" t="s">
        <v>1</v>
      </c>
      <c r="E200" t="s">
        <v>358</v>
      </c>
      <c r="F200" t="s">
        <v>3</v>
      </c>
      <c r="G200" t="s">
        <v>359</v>
      </c>
      <c r="H200" t="s">
        <v>126</v>
      </c>
      <c r="I200" t="s">
        <v>127</v>
      </c>
      <c r="J200" t="s">
        <v>173</v>
      </c>
      <c r="K200" t="s">
        <v>7</v>
      </c>
      <c r="L200" t="s">
        <v>137</v>
      </c>
      <c r="M200">
        <v>3</v>
      </c>
      <c r="N200">
        <v>2</v>
      </c>
      <c r="O200">
        <v>0.7</v>
      </c>
      <c r="P200">
        <v>-2.5211999999999999</v>
      </c>
      <c r="Q200">
        <v>0.27</v>
      </c>
      <c r="R200" t="s">
        <v>9</v>
      </c>
    </row>
    <row r="201" spans="1:18" x14ac:dyDescent="0.25">
      <c r="A201" t="s">
        <v>360</v>
      </c>
      <c r="B201" s="1">
        <v>40558</v>
      </c>
      <c r="C201" s="1">
        <v>40563</v>
      </c>
      <c r="D201" t="s">
        <v>18</v>
      </c>
      <c r="E201" t="s">
        <v>361</v>
      </c>
      <c r="F201" t="s">
        <v>43</v>
      </c>
      <c r="G201" t="s">
        <v>304</v>
      </c>
      <c r="H201" t="s">
        <v>305</v>
      </c>
      <c r="I201" t="s">
        <v>29</v>
      </c>
      <c r="J201" t="s">
        <v>76</v>
      </c>
      <c r="K201" t="s">
        <v>38</v>
      </c>
      <c r="L201" t="s">
        <v>50</v>
      </c>
      <c r="M201">
        <v>527</v>
      </c>
      <c r="N201">
        <v>2</v>
      </c>
      <c r="O201">
        <v>0</v>
      </c>
      <c r="P201">
        <v>10.5</v>
      </c>
      <c r="Q201">
        <v>92.1</v>
      </c>
      <c r="R201" t="s">
        <v>9</v>
      </c>
    </row>
    <row r="202" spans="1:18" x14ac:dyDescent="0.25">
      <c r="A202" t="s">
        <v>362</v>
      </c>
      <c r="B202" s="1">
        <v>40558</v>
      </c>
      <c r="C202" s="1">
        <v>40561</v>
      </c>
      <c r="D202" t="s">
        <v>142</v>
      </c>
      <c r="E202" t="s">
        <v>363</v>
      </c>
      <c r="F202" t="s">
        <v>26</v>
      </c>
      <c r="G202" t="s">
        <v>364</v>
      </c>
      <c r="H202" t="s">
        <v>115</v>
      </c>
      <c r="I202" t="s">
        <v>29</v>
      </c>
      <c r="J202" t="s">
        <v>76</v>
      </c>
      <c r="K202" t="s">
        <v>32</v>
      </c>
      <c r="L202" t="s">
        <v>67</v>
      </c>
      <c r="M202">
        <v>652</v>
      </c>
      <c r="N202">
        <v>2</v>
      </c>
      <c r="O202">
        <v>0.1</v>
      </c>
      <c r="P202">
        <v>7.2</v>
      </c>
      <c r="Q202">
        <v>88.52</v>
      </c>
      <c r="R202" t="s">
        <v>9</v>
      </c>
    </row>
    <row r="203" spans="1:18" x14ac:dyDescent="0.25">
      <c r="A203" t="s">
        <v>365</v>
      </c>
      <c r="B203" s="1">
        <v>40558</v>
      </c>
      <c r="C203" s="1">
        <v>40560</v>
      </c>
      <c r="D203" t="s">
        <v>142</v>
      </c>
      <c r="E203" t="s">
        <v>366</v>
      </c>
      <c r="F203" t="s">
        <v>26</v>
      </c>
      <c r="G203" t="s">
        <v>367</v>
      </c>
      <c r="H203" t="s">
        <v>368</v>
      </c>
      <c r="I203" t="s">
        <v>75</v>
      </c>
      <c r="J203" t="s">
        <v>111</v>
      </c>
      <c r="K203" t="s">
        <v>32</v>
      </c>
      <c r="L203" t="s">
        <v>56</v>
      </c>
      <c r="M203">
        <v>265</v>
      </c>
      <c r="N203">
        <v>3</v>
      </c>
      <c r="O203">
        <v>0.2</v>
      </c>
      <c r="P203">
        <v>23.22</v>
      </c>
      <c r="Q203">
        <v>43.56</v>
      </c>
      <c r="R203" t="s">
        <v>9</v>
      </c>
    </row>
    <row r="204" spans="1:18" x14ac:dyDescent="0.25">
      <c r="A204" t="s">
        <v>369</v>
      </c>
      <c r="B204" s="1">
        <v>40558</v>
      </c>
      <c r="C204" s="1">
        <v>40558</v>
      </c>
      <c r="D204" t="s">
        <v>41</v>
      </c>
      <c r="E204" t="s">
        <v>370</v>
      </c>
      <c r="F204" t="s">
        <v>3</v>
      </c>
      <c r="G204" t="s">
        <v>371</v>
      </c>
      <c r="H204" t="s">
        <v>157</v>
      </c>
      <c r="I204" t="s">
        <v>14</v>
      </c>
      <c r="J204" t="s">
        <v>61</v>
      </c>
      <c r="K204" t="s">
        <v>7</v>
      </c>
      <c r="L204" t="s">
        <v>91</v>
      </c>
      <c r="M204">
        <v>150</v>
      </c>
      <c r="N204">
        <v>4</v>
      </c>
      <c r="O204">
        <v>0.27</v>
      </c>
      <c r="P204">
        <v>-49.348799999999997</v>
      </c>
      <c r="Q204">
        <v>21.15</v>
      </c>
      <c r="R204" t="s">
        <v>45</v>
      </c>
    </row>
    <row r="205" spans="1:18" x14ac:dyDescent="0.25">
      <c r="A205" t="s">
        <v>369</v>
      </c>
      <c r="B205" s="1">
        <v>40558</v>
      </c>
      <c r="C205" s="1">
        <v>40558</v>
      </c>
      <c r="D205" t="s">
        <v>41</v>
      </c>
      <c r="E205" t="s">
        <v>370</v>
      </c>
      <c r="F205" t="s">
        <v>3</v>
      </c>
      <c r="G205" t="s">
        <v>371</v>
      </c>
      <c r="H205" t="s">
        <v>157</v>
      </c>
      <c r="I205" t="s">
        <v>14</v>
      </c>
      <c r="J205" t="s">
        <v>61</v>
      </c>
      <c r="K205" t="s">
        <v>7</v>
      </c>
      <c r="L205" t="s">
        <v>91</v>
      </c>
      <c r="M205">
        <v>51</v>
      </c>
      <c r="N205">
        <v>3</v>
      </c>
      <c r="O205">
        <v>0.27</v>
      </c>
      <c r="P205">
        <v>-1.26E-2</v>
      </c>
      <c r="Q205">
        <v>21.13</v>
      </c>
      <c r="R205" t="s">
        <v>45</v>
      </c>
    </row>
    <row r="206" spans="1:18" x14ac:dyDescent="0.25">
      <c r="A206" t="s">
        <v>360</v>
      </c>
      <c r="B206" s="1">
        <v>40558</v>
      </c>
      <c r="C206" s="1">
        <v>40563</v>
      </c>
      <c r="D206" t="s">
        <v>18</v>
      </c>
      <c r="E206" t="s">
        <v>361</v>
      </c>
      <c r="F206" t="s">
        <v>43</v>
      </c>
      <c r="G206" t="s">
        <v>304</v>
      </c>
      <c r="H206" t="s">
        <v>305</v>
      </c>
      <c r="I206" t="s">
        <v>29</v>
      </c>
      <c r="J206" t="s">
        <v>76</v>
      </c>
      <c r="K206" t="s">
        <v>7</v>
      </c>
      <c r="L206" t="s">
        <v>44</v>
      </c>
      <c r="M206">
        <v>249</v>
      </c>
      <c r="N206">
        <v>1</v>
      </c>
      <c r="O206">
        <v>0.1</v>
      </c>
      <c r="P206">
        <v>2.76</v>
      </c>
      <c r="Q206">
        <v>15.08</v>
      </c>
      <c r="R206" t="s">
        <v>9</v>
      </c>
    </row>
    <row r="207" spans="1:18" x14ac:dyDescent="0.25">
      <c r="A207" t="s">
        <v>372</v>
      </c>
      <c r="B207" s="1">
        <v>40558</v>
      </c>
      <c r="C207" s="1">
        <v>40559</v>
      </c>
      <c r="D207" t="s">
        <v>142</v>
      </c>
      <c r="E207" t="s">
        <v>373</v>
      </c>
      <c r="F207" t="s">
        <v>43</v>
      </c>
      <c r="G207" t="s">
        <v>172</v>
      </c>
      <c r="H207" t="s">
        <v>126</v>
      </c>
      <c r="I207" t="s">
        <v>127</v>
      </c>
      <c r="J207" t="s">
        <v>173</v>
      </c>
      <c r="K207" t="s">
        <v>32</v>
      </c>
      <c r="L207" t="s">
        <v>67</v>
      </c>
      <c r="M207">
        <v>62</v>
      </c>
      <c r="N207">
        <v>4</v>
      </c>
      <c r="O207">
        <v>0.5</v>
      </c>
      <c r="P207">
        <v>-53.285600000000002</v>
      </c>
      <c r="Q207">
        <v>10.96</v>
      </c>
      <c r="R207" t="s">
        <v>23</v>
      </c>
    </row>
    <row r="208" spans="1:18" x14ac:dyDescent="0.25">
      <c r="A208" t="s">
        <v>360</v>
      </c>
      <c r="B208" s="1">
        <v>40558</v>
      </c>
      <c r="C208" s="1">
        <v>40563</v>
      </c>
      <c r="D208" t="s">
        <v>18</v>
      </c>
      <c r="E208" t="s">
        <v>361</v>
      </c>
      <c r="F208" t="s">
        <v>43</v>
      </c>
      <c r="G208" t="s">
        <v>304</v>
      </c>
      <c r="H208" t="s">
        <v>305</v>
      </c>
      <c r="I208" t="s">
        <v>29</v>
      </c>
      <c r="J208" t="s">
        <v>76</v>
      </c>
      <c r="K208" t="s">
        <v>7</v>
      </c>
      <c r="L208" t="s">
        <v>31</v>
      </c>
      <c r="M208">
        <v>170</v>
      </c>
      <c r="N208">
        <v>5</v>
      </c>
      <c r="O208">
        <v>0</v>
      </c>
      <c r="P208">
        <v>25.35</v>
      </c>
      <c r="Q208">
        <v>8.42</v>
      </c>
      <c r="R208" t="s">
        <v>9</v>
      </c>
    </row>
    <row r="209" spans="1:18" x14ac:dyDescent="0.25">
      <c r="A209" t="s">
        <v>360</v>
      </c>
      <c r="B209" s="1">
        <v>40558</v>
      </c>
      <c r="C209" s="1">
        <v>40563</v>
      </c>
      <c r="D209" t="s">
        <v>18</v>
      </c>
      <c r="E209" t="s">
        <v>361</v>
      </c>
      <c r="F209" t="s">
        <v>43</v>
      </c>
      <c r="G209" t="s">
        <v>304</v>
      </c>
      <c r="H209" t="s">
        <v>305</v>
      </c>
      <c r="I209" t="s">
        <v>29</v>
      </c>
      <c r="J209" t="s">
        <v>76</v>
      </c>
      <c r="K209" t="s">
        <v>7</v>
      </c>
      <c r="L209" t="s">
        <v>16</v>
      </c>
      <c r="M209">
        <v>55</v>
      </c>
      <c r="N209">
        <v>2</v>
      </c>
      <c r="O209">
        <v>0</v>
      </c>
      <c r="P209">
        <v>2.16</v>
      </c>
      <c r="Q209">
        <v>4.12</v>
      </c>
      <c r="R209" t="s">
        <v>9</v>
      </c>
    </row>
    <row r="210" spans="1:18" x14ac:dyDescent="0.25">
      <c r="A210" t="s">
        <v>374</v>
      </c>
      <c r="B210" s="1">
        <v>40558</v>
      </c>
      <c r="C210" s="1">
        <v>40564</v>
      </c>
      <c r="D210" t="s">
        <v>1</v>
      </c>
      <c r="E210" t="s">
        <v>171</v>
      </c>
      <c r="F210" t="s">
        <v>3</v>
      </c>
      <c r="G210" t="s">
        <v>375</v>
      </c>
      <c r="H210" t="s">
        <v>223</v>
      </c>
      <c r="I210" t="s">
        <v>6</v>
      </c>
      <c r="J210" t="s">
        <v>6</v>
      </c>
      <c r="K210" t="s">
        <v>32</v>
      </c>
      <c r="L210" t="s">
        <v>56</v>
      </c>
      <c r="M210">
        <v>45</v>
      </c>
      <c r="N210">
        <v>1</v>
      </c>
      <c r="O210">
        <v>0.7</v>
      </c>
      <c r="P210">
        <v>-56.856000000000002</v>
      </c>
      <c r="Q210">
        <v>3.43</v>
      </c>
      <c r="R210" t="s">
        <v>9</v>
      </c>
    </row>
    <row r="211" spans="1:18" x14ac:dyDescent="0.25">
      <c r="A211" t="s">
        <v>374</v>
      </c>
      <c r="B211" s="1">
        <v>40558</v>
      </c>
      <c r="C211" s="1">
        <v>40564</v>
      </c>
      <c r="D211" t="s">
        <v>1</v>
      </c>
      <c r="E211" t="s">
        <v>171</v>
      </c>
      <c r="F211" t="s">
        <v>3</v>
      </c>
      <c r="G211" t="s">
        <v>375</v>
      </c>
      <c r="H211" t="s">
        <v>223</v>
      </c>
      <c r="I211" t="s">
        <v>6</v>
      </c>
      <c r="J211" t="s">
        <v>6</v>
      </c>
      <c r="K211" t="s">
        <v>7</v>
      </c>
      <c r="L211" t="s">
        <v>97</v>
      </c>
      <c r="M211">
        <v>19</v>
      </c>
      <c r="N211">
        <v>6</v>
      </c>
      <c r="O211">
        <v>0.7</v>
      </c>
      <c r="P211">
        <v>-38.898000000000003</v>
      </c>
      <c r="Q211">
        <v>1.46</v>
      </c>
      <c r="R211" t="s">
        <v>9</v>
      </c>
    </row>
    <row r="212" spans="1:18" x14ac:dyDescent="0.25">
      <c r="A212" t="s">
        <v>374</v>
      </c>
      <c r="B212" s="1">
        <v>40558</v>
      </c>
      <c r="C212" s="1">
        <v>40564</v>
      </c>
      <c r="D212" t="s">
        <v>1</v>
      </c>
      <c r="E212" t="s">
        <v>171</v>
      </c>
      <c r="F212" t="s">
        <v>3</v>
      </c>
      <c r="G212" t="s">
        <v>375</v>
      </c>
      <c r="H212" t="s">
        <v>223</v>
      </c>
      <c r="I212" t="s">
        <v>6</v>
      </c>
      <c r="J212" t="s">
        <v>6</v>
      </c>
      <c r="K212" t="s">
        <v>7</v>
      </c>
      <c r="L212" t="s">
        <v>91</v>
      </c>
      <c r="M212">
        <v>15</v>
      </c>
      <c r="N212">
        <v>2</v>
      </c>
      <c r="O212">
        <v>0.7</v>
      </c>
      <c r="P212">
        <v>-14.754</v>
      </c>
      <c r="Q212">
        <v>1.02</v>
      </c>
      <c r="R212" t="s">
        <v>9</v>
      </c>
    </row>
    <row r="213" spans="1:18" x14ac:dyDescent="0.25">
      <c r="A213" t="s">
        <v>360</v>
      </c>
      <c r="B213" s="1">
        <v>40558</v>
      </c>
      <c r="C213" s="1">
        <v>40563</v>
      </c>
      <c r="D213" t="s">
        <v>18</v>
      </c>
      <c r="E213" t="s">
        <v>361</v>
      </c>
      <c r="F213" t="s">
        <v>43</v>
      </c>
      <c r="G213" t="s">
        <v>304</v>
      </c>
      <c r="H213" t="s">
        <v>305</v>
      </c>
      <c r="I213" t="s">
        <v>29</v>
      </c>
      <c r="J213" t="s">
        <v>76</v>
      </c>
      <c r="K213" t="s">
        <v>7</v>
      </c>
      <c r="L213" t="s">
        <v>87</v>
      </c>
      <c r="M213">
        <v>21</v>
      </c>
      <c r="N213">
        <v>2</v>
      </c>
      <c r="O213">
        <v>0</v>
      </c>
      <c r="P213">
        <v>7.44</v>
      </c>
      <c r="Q213">
        <v>0.76</v>
      </c>
      <c r="R213" t="s">
        <v>9</v>
      </c>
    </row>
    <row r="214" spans="1:18" x14ac:dyDescent="0.25">
      <c r="A214" t="s">
        <v>376</v>
      </c>
      <c r="B214" s="1">
        <v>40559</v>
      </c>
      <c r="C214" s="1">
        <v>40561</v>
      </c>
      <c r="D214" t="s">
        <v>142</v>
      </c>
      <c r="E214" t="s">
        <v>377</v>
      </c>
      <c r="F214" t="s">
        <v>3</v>
      </c>
      <c r="G214" t="s">
        <v>200</v>
      </c>
      <c r="H214" t="s">
        <v>126</v>
      </c>
      <c r="I214" t="s">
        <v>127</v>
      </c>
      <c r="J214" t="s">
        <v>102</v>
      </c>
      <c r="K214" t="s">
        <v>38</v>
      </c>
      <c r="L214" t="s">
        <v>82</v>
      </c>
      <c r="M214">
        <v>150</v>
      </c>
      <c r="N214">
        <v>5</v>
      </c>
      <c r="O214">
        <v>0</v>
      </c>
      <c r="P214">
        <v>65.977999999999994</v>
      </c>
      <c r="Q214">
        <v>45.24</v>
      </c>
      <c r="R214" t="s">
        <v>45</v>
      </c>
    </row>
    <row r="215" spans="1:18" x14ac:dyDescent="0.25">
      <c r="A215" t="s">
        <v>378</v>
      </c>
      <c r="B215" s="1">
        <v>40560</v>
      </c>
      <c r="C215" s="1">
        <v>40565</v>
      </c>
      <c r="D215" t="s">
        <v>1</v>
      </c>
      <c r="E215" t="s">
        <v>379</v>
      </c>
      <c r="F215" t="s">
        <v>43</v>
      </c>
      <c r="G215" t="s">
        <v>380</v>
      </c>
      <c r="H215" t="s">
        <v>381</v>
      </c>
      <c r="I215" t="s">
        <v>75</v>
      </c>
      <c r="J215" t="s">
        <v>76</v>
      </c>
      <c r="K215" t="s">
        <v>38</v>
      </c>
      <c r="L215" t="s">
        <v>50</v>
      </c>
      <c r="M215" s="2">
        <v>1412</v>
      </c>
      <c r="N215">
        <v>11</v>
      </c>
      <c r="O215">
        <v>2E-3</v>
      </c>
      <c r="P215">
        <v>251.71124</v>
      </c>
      <c r="Q215">
        <v>159.52000000000001</v>
      </c>
      <c r="R215" t="s">
        <v>23</v>
      </c>
    </row>
    <row r="216" spans="1:18" x14ac:dyDescent="0.25">
      <c r="A216" t="s">
        <v>382</v>
      </c>
      <c r="B216" s="1">
        <v>40560</v>
      </c>
      <c r="C216" s="1">
        <v>40562</v>
      </c>
      <c r="D216" t="s">
        <v>18</v>
      </c>
      <c r="E216" t="s">
        <v>383</v>
      </c>
      <c r="F216" t="s">
        <v>43</v>
      </c>
      <c r="G216" t="s">
        <v>153</v>
      </c>
      <c r="H216" t="s">
        <v>115</v>
      </c>
      <c r="I216" t="s">
        <v>29</v>
      </c>
      <c r="J216" t="s">
        <v>76</v>
      </c>
      <c r="K216" t="s">
        <v>7</v>
      </c>
      <c r="L216" t="s">
        <v>91</v>
      </c>
      <c r="M216">
        <v>300</v>
      </c>
      <c r="N216">
        <v>11</v>
      </c>
      <c r="O216">
        <v>0</v>
      </c>
      <c r="P216">
        <v>50.82</v>
      </c>
      <c r="Q216">
        <v>38.700000000000003</v>
      </c>
      <c r="R216" t="s">
        <v>23</v>
      </c>
    </row>
    <row r="217" spans="1:18" x14ac:dyDescent="0.25">
      <c r="A217" t="s">
        <v>384</v>
      </c>
      <c r="B217" s="1">
        <v>40560</v>
      </c>
      <c r="C217" s="1">
        <v>40562</v>
      </c>
      <c r="D217" t="s">
        <v>18</v>
      </c>
      <c r="E217" t="s">
        <v>385</v>
      </c>
      <c r="F217" t="s">
        <v>3</v>
      </c>
      <c r="G217" t="s">
        <v>172</v>
      </c>
      <c r="H217" t="s">
        <v>126</v>
      </c>
      <c r="I217" t="s">
        <v>127</v>
      </c>
      <c r="J217" t="s">
        <v>173</v>
      </c>
      <c r="K217" t="s">
        <v>32</v>
      </c>
      <c r="L217" t="s">
        <v>33</v>
      </c>
      <c r="M217">
        <v>127</v>
      </c>
      <c r="N217">
        <v>6</v>
      </c>
      <c r="O217">
        <v>0.2</v>
      </c>
      <c r="P217">
        <v>28.598400000000002</v>
      </c>
      <c r="Q217">
        <v>36.4</v>
      </c>
      <c r="R217" t="s">
        <v>45</v>
      </c>
    </row>
    <row r="218" spans="1:18" x14ac:dyDescent="0.25">
      <c r="A218" t="s">
        <v>384</v>
      </c>
      <c r="B218" s="1">
        <v>40560</v>
      </c>
      <c r="C218" s="1">
        <v>40562</v>
      </c>
      <c r="D218" t="s">
        <v>18</v>
      </c>
      <c r="E218" t="s">
        <v>385</v>
      </c>
      <c r="F218" t="s">
        <v>3</v>
      </c>
      <c r="G218" t="s">
        <v>172</v>
      </c>
      <c r="H218" t="s">
        <v>126</v>
      </c>
      <c r="I218" t="s">
        <v>127</v>
      </c>
      <c r="J218" t="s">
        <v>173</v>
      </c>
      <c r="K218" t="s">
        <v>38</v>
      </c>
      <c r="L218" t="s">
        <v>77</v>
      </c>
      <c r="M218">
        <v>124</v>
      </c>
      <c r="N218">
        <v>3</v>
      </c>
      <c r="O218">
        <v>0.4</v>
      </c>
      <c r="P218">
        <v>-31.05</v>
      </c>
      <c r="Q218">
        <v>26.12</v>
      </c>
      <c r="R218" t="s">
        <v>45</v>
      </c>
    </row>
    <row r="219" spans="1:18" x14ac:dyDescent="0.25">
      <c r="A219" t="s">
        <v>384</v>
      </c>
      <c r="B219" s="1">
        <v>40560</v>
      </c>
      <c r="C219" s="1">
        <v>40562</v>
      </c>
      <c r="D219" t="s">
        <v>18</v>
      </c>
      <c r="E219" t="s">
        <v>385</v>
      </c>
      <c r="F219" t="s">
        <v>3</v>
      </c>
      <c r="G219" t="s">
        <v>172</v>
      </c>
      <c r="H219" t="s">
        <v>126</v>
      </c>
      <c r="I219" t="s">
        <v>127</v>
      </c>
      <c r="J219" t="s">
        <v>173</v>
      </c>
      <c r="K219" t="s">
        <v>7</v>
      </c>
      <c r="L219" t="s">
        <v>87</v>
      </c>
      <c r="M219">
        <v>30</v>
      </c>
      <c r="N219">
        <v>3</v>
      </c>
      <c r="O219">
        <v>0.2</v>
      </c>
      <c r="P219">
        <v>10.1493</v>
      </c>
      <c r="Q219">
        <v>10.17</v>
      </c>
      <c r="R219" t="s">
        <v>45</v>
      </c>
    </row>
    <row r="220" spans="1:18" x14ac:dyDescent="0.25">
      <c r="A220" t="s">
        <v>382</v>
      </c>
      <c r="B220" s="1">
        <v>40560</v>
      </c>
      <c r="C220" s="1">
        <v>40562</v>
      </c>
      <c r="D220" t="s">
        <v>18</v>
      </c>
      <c r="E220" t="s">
        <v>383</v>
      </c>
      <c r="F220" t="s">
        <v>43</v>
      </c>
      <c r="G220" t="s">
        <v>153</v>
      </c>
      <c r="H220" t="s">
        <v>115</v>
      </c>
      <c r="I220" t="s">
        <v>29</v>
      </c>
      <c r="J220" t="s">
        <v>76</v>
      </c>
      <c r="K220" t="s">
        <v>7</v>
      </c>
      <c r="L220" t="s">
        <v>8</v>
      </c>
      <c r="M220">
        <v>84</v>
      </c>
      <c r="N220">
        <v>5</v>
      </c>
      <c r="O220">
        <v>0.1</v>
      </c>
      <c r="P220">
        <v>33.674999999999997</v>
      </c>
      <c r="Q220">
        <v>7.33</v>
      </c>
      <c r="R220" t="s">
        <v>23</v>
      </c>
    </row>
    <row r="221" spans="1:18" x14ac:dyDescent="0.25">
      <c r="A221" t="s">
        <v>382</v>
      </c>
      <c r="B221" s="1">
        <v>40560</v>
      </c>
      <c r="C221" s="1">
        <v>40562</v>
      </c>
      <c r="D221" t="s">
        <v>18</v>
      </c>
      <c r="E221" t="s">
        <v>383</v>
      </c>
      <c r="F221" t="s">
        <v>43</v>
      </c>
      <c r="G221" t="s">
        <v>153</v>
      </c>
      <c r="H221" t="s">
        <v>115</v>
      </c>
      <c r="I221" t="s">
        <v>29</v>
      </c>
      <c r="J221" t="s">
        <v>76</v>
      </c>
      <c r="K221" t="s">
        <v>7</v>
      </c>
      <c r="L221" t="s">
        <v>8</v>
      </c>
      <c r="M221">
        <v>95</v>
      </c>
      <c r="N221">
        <v>4</v>
      </c>
      <c r="O221">
        <v>0.1</v>
      </c>
      <c r="P221">
        <v>42.24</v>
      </c>
      <c r="Q221">
        <v>6.56</v>
      </c>
      <c r="R221" t="s">
        <v>23</v>
      </c>
    </row>
    <row r="222" spans="1:18" x14ac:dyDescent="0.25">
      <c r="A222" t="s">
        <v>382</v>
      </c>
      <c r="B222" s="1">
        <v>40560</v>
      </c>
      <c r="C222" s="1">
        <v>40562</v>
      </c>
      <c r="D222" t="s">
        <v>18</v>
      </c>
      <c r="E222" t="s">
        <v>383</v>
      </c>
      <c r="F222" t="s">
        <v>43</v>
      </c>
      <c r="G222" t="s">
        <v>153</v>
      </c>
      <c r="H222" t="s">
        <v>115</v>
      </c>
      <c r="I222" t="s">
        <v>29</v>
      </c>
      <c r="J222" t="s">
        <v>76</v>
      </c>
      <c r="K222" t="s">
        <v>7</v>
      </c>
      <c r="L222" t="s">
        <v>8</v>
      </c>
      <c r="M222">
        <v>46</v>
      </c>
      <c r="N222">
        <v>3</v>
      </c>
      <c r="O222">
        <v>0.1</v>
      </c>
      <c r="P222">
        <v>18.846</v>
      </c>
      <c r="Q222">
        <v>6.46</v>
      </c>
      <c r="R222" t="s">
        <v>23</v>
      </c>
    </row>
    <row r="223" spans="1:18" x14ac:dyDescent="0.25">
      <c r="A223" t="s">
        <v>386</v>
      </c>
      <c r="B223" s="1">
        <v>40560</v>
      </c>
      <c r="C223" s="1">
        <v>40561</v>
      </c>
      <c r="D223" t="s">
        <v>142</v>
      </c>
      <c r="E223" t="s">
        <v>387</v>
      </c>
      <c r="F223" t="s">
        <v>3</v>
      </c>
      <c r="G223" t="s">
        <v>388</v>
      </c>
      <c r="H223" t="s">
        <v>13</v>
      </c>
      <c r="I223" t="s">
        <v>14</v>
      </c>
      <c r="J223" t="s">
        <v>15</v>
      </c>
      <c r="K223" t="s">
        <v>7</v>
      </c>
      <c r="L223" t="s">
        <v>137</v>
      </c>
      <c r="M223">
        <v>37</v>
      </c>
      <c r="N223">
        <v>4</v>
      </c>
      <c r="O223">
        <v>0.4</v>
      </c>
      <c r="P223">
        <v>-9.2880000000000003</v>
      </c>
      <c r="Q223">
        <v>5.48</v>
      </c>
      <c r="R223" t="s">
        <v>23</v>
      </c>
    </row>
    <row r="224" spans="1:18" x14ac:dyDescent="0.25">
      <c r="A224" t="s">
        <v>384</v>
      </c>
      <c r="B224" s="1">
        <v>40560</v>
      </c>
      <c r="C224" s="1">
        <v>40562</v>
      </c>
      <c r="D224" t="s">
        <v>18</v>
      </c>
      <c r="E224" t="s">
        <v>385</v>
      </c>
      <c r="F224" t="s">
        <v>3</v>
      </c>
      <c r="G224" t="s">
        <v>172</v>
      </c>
      <c r="H224" t="s">
        <v>126</v>
      </c>
      <c r="I224" t="s">
        <v>127</v>
      </c>
      <c r="J224" t="s">
        <v>173</v>
      </c>
      <c r="K224" t="s">
        <v>7</v>
      </c>
      <c r="L224" t="s">
        <v>137</v>
      </c>
      <c r="M224">
        <v>19</v>
      </c>
      <c r="N224">
        <v>2</v>
      </c>
      <c r="O224">
        <v>0.7</v>
      </c>
      <c r="P224">
        <v>-13.6312</v>
      </c>
      <c r="Q224">
        <v>5.26</v>
      </c>
      <c r="R224" t="s">
        <v>45</v>
      </c>
    </row>
    <row r="225" spans="1:18" x14ac:dyDescent="0.25">
      <c r="A225" t="s">
        <v>389</v>
      </c>
      <c r="B225" s="1">
        <v>40560</v>
      </c>
      <c r="C225" s="1">
        <v>40564</v>
      </c>
      <c r="D225" t="s">
        <v>1</v>
      </c>
      <c r="E225" t="s">
        <v>390</v>
      </c>
      <c r="F225" t="s">
        <v>26</v>
      </c>
      <c r="G225" t="s">
        <v>12</v>
      </c>
      <c r="H225" t="s">
        <v>13</v>
      </c>
      <c r="I225" t="s">
        <v>14</v>
      </c>
      <c r="J225" t="s">
        <v>15</v>
      </c>
      <c r="K225" t="s">
        <v>7</v>
      </c>
      <c r="L225" t="s">
        <v>91</v>
      </c>
      <c r="M225">
        <v>19</v>
      </c>
      <c r="N225">
        <v>2</v>
      </c>
      <c r="O225">
        <v>0.1</v>
      </c>
      <c r="P225">
        <v>5.1360000000000001</v>
      </c>
      <c r="Q225">
        <v>3.96</v>
      </c>
      <c r="R225" t="s">
        <v>23</v>
      </c>
    </row>
    <row r="226" spans="1:18" x14ac:dyDescent="0.25">
      <c r="A226" t="s">
        <v>391</v>
      </c>
      <c r="B226" s="1">
        <v>40560</v>
      </c>
      <c r="C226" s="1">
        <v>40566</v>
      </c>
      <c r="D226" t="s">
        <v>1</v>
      </c>
      <c r="E226" t="s">
        <v>392</v>
      </c>
      <c r="F226" t="s">
        <v>26</v>
      </c>
      <c r="G226" t="s">
        <v>393</v>
      </c>
      <c r="H226" t="s">
        <v>394</v>
      </c>
      <c r="I226" t="s">
        <v>29</v>
      </c>
      <c r="J226" t="s">
        <v>30</v>
      </c>
      <c r="K226" t="s">
        <v>7</v>
      </c>
      <c r="L226" t="s">
        <v>87</v>
      </c>
      <c r="M226">
        <v>17</v>
      </c>
      <c r="N226">
        <v>3</v>
      </c>
      <c r="O226">
        <v>0.5</v>
      </c>
      <c r="P226">
        <v>-7.5149999999999997</v>
      </c>
      <c r="Q226">
        <v>0.4</v>
      </c>
      <c r="R226" t="s">
        <v>51</v>
      </c>
    </row>
    <row r="227" spans="1:18" x14ac:dyDescent="0.25">
      <c r="A227" t="s">
        <v>395</v>
      </c>
      <c r="B227" s="1">
        <v>40561</v>
      </c>
      <c r="C227" s="1">
        <v>40564</v>
      </c>
      <c r="D227" t="s">
        <v>142</v>
      </c>
      <c r="E227" t="s">
        <v>396</v>
      </c>
      <c r="F227" t="s">
        <v>43</v>
      </c>
      <c r="G227" t="s">
        <v>397</v>
      </c>
      <c r="H227" t="s">
        <v>95</v>
      </c>
      <c r="I227" t="s">
        <v>6</v>
      </c>
      <c r="J227" t="s">
        <v>6</v>
      </c>
      <c r="K227" t="s">
        <v>7</v>
      </c>
      <c r="L227" t="s">
        <v>8</v>
      </c>
      <c r="M227">
        <v>746</v>
      </c>
      <c r="N227">
        <v>4</v>
      </c>
      <c r="O227">
        <v>0.1</v>
      </c>
      <c r="P227">
        <v>132.58799999999999</v>
      </c>
      <c r="Q227">
        <v>132.29</v>
      </c>
      <c r="R227" t="s">
        <v>9</v>
      </c>
    </row>
    <row r="228" spans="1:18" x14ac:dyDescent="0.25">
      <c r="A228" t="s">
        <v>398</v>
      </c>
      <c r="B228" s="1">
        <v>40561</v>
      </c>
      <c r="C228" s="1">
        <v>40564</v>
      </c>
      <c r="D228" t="s">
        <v>142</v>
      </c>
      <c r="E228" t="s">
        <v>399</v>
      </c>
      <c r="F228" t="s">
        <v>43</v>
      </c>
      <c r="G228" t="s">
        <v>400</v>
      </c>
      <c r="H228" t="s">
        <v>276</v>
      </c>
      <c r="I228" t="s">
        <v>29</v>
      </c>
      <c r="J228" t="s">
        <v>102</v>
      </c>
      <c r="K228" t="s">
        <v>7</v>
      </c>
      <c r="L228" t="s">
        <v>97</v>
      </c>
      <c r="M228">
        <v>108</v>
      </c>
      <c r="N228">
        <v>8</v>
      </c>
      <c r="O228">
        <v>0</v>
      </c>
      <c r="P228">
        <v>33.36</v>
      </c>
      <c r="Q228">
        <v>18.36</v>
      </c>
      <c r="R228" t="s">
        <v>45</v>
      </c>
    </row>
    <row r="229" spans="1:18" x14ac:dyDescent="0.25">
      <c r="A229" t="s">
        <v>401</v>
      </c>
      <c r="B229" s="1">
        <v>40561</v>
      </c>
      <c r="C229" s="1">
        <v>40566</v>
      </c>
      <c r="D229" t="s">
        <v>1</v>
      </c>
      <c r="E229" t="s">
        <v>402</v>
      </c>
      <c r="F229" t="s">
        <v>3</v>
      </c>
      <c r="G229" t="s">
        <v>403</v>
      </c>
      <c r="H229" t="s">
        <v>101</v>
      </c>
      <c r="I229" t="s">
        <v>75</v>
      </c>
      <c r="J229" t="s">
        <v>102</v>
      </c>
      <c r="K229" t="s">
        <v>7</v>
      </c>
      <c r="L229" t="s">
        <v>97</v>
      </c>
      <c r="M229">
        <v>38</v>
      </c>
      <c r="N229">
        <v>3</v>
      </c>
      <c r="O229">
        <v>0</v>
      </c>
      <c r="P229">
        <v>6.12</v>
      </c>
      <c r="Q229">
        <v>4.7</v>
      </c>
      <c r="R229" t="s">
        <v>9</v>
      </c>
    </row>
    <row r="230" spans="1:18" x14ac:dyDescent="0.25">
      <c r="A230" t="s">
        <v>404</v>
      </c>
      <c r="B230" s="1">
        <v>40561</v>
      </c>
      <c r="C230" s="1">
        <v>40566</v>
      </c>
      <c r="D230" t="s">
        <v>18</v>
      </c>
      <c r="E230" t="s">
        <v>405</v>
      </c>
      <c r="F230" t="s">
        <v>3</v>
      </c>
      <c r="G230" t="s">
        <v>406</v>
      </c>
      <c r="H230" t="s">
        <v>394</v>
      </c>
      <c r="I230" t="s">
        <v>29</v>
      </c>
      <c r="J230" t="s">
        <v>30</v>
      </c>
      <c r="K230" t="s">
        <v>7</v>
      </c>
      <c r="L230" t="s">
        <v>137</v>
      </c>
      <c r="M230">
        <v>26</v>
      </c>
      <c r="N230">
        <v>1</v>
      </c>
      <c r="O230">
        <v>0.5</v>
      </c>
      <c r="P230">
        <v>-10.755000000000001</v>
      </c>
      <c r="Q230">
        <v>2.5299999999999998</v>
      </c>
      <c r="R230" t="s">
        <v>23</v>
      </c>
    </row>
    <row r="231" spans="1:18" x14ac:dyDescent="0.25">
      <c r="A231" t="s">
        <v>407</v>
      </c>
      <c r="B231" s="1">
        <v>40561</v>
      </c>
      <c r="C231" s="1">
        <v>40564</v>
      </c>
      <c r="D231" t="s">
        <v>142</v>
      </c>
      <c r="E231" t="s">
        <v>408</v>
      </c>
      <c r="F231" t="s">
        <v>3</v>
      </c>
      <c r="G231" t="s">
        <v>409</v>
      </c>
      <c r="H231" t="s">
        <v>410</v>
      </c>
      <c r="I231" t="s">
        <v>22</v>
      </c>
      <c r="J231" t="s">
        <v>22</v>
      </c>
      <c r="K231" t="s">
        <v>7</v>
      </c>
      <c r="L231" t="s">
        <v>137</v>
      </c>
      <c r="M231">
        <v>14</v>
      </c>
      <c r="N231">
        <v>1</v>
      </c>
      <c r="O231">
        <v>0</v>
      </c>
      <c r="P231">
        <v>2.97</v>
      </c>
      <c r="Q231">
        <v>2.48</v>
      </c>
      <c r="R231" t="s">
        <v>23</v>
      </c>
    </row>
    <row r="232" spans="1:18" x14ac:dyDescent="0.25">
      <c r="A232" t="s">
        <v>411</v>
      </c>
      <c r="B232" s="1">
        <v>40562</v>
      </c>
      <c r="C232" s="1">
        <v>40564</v>
      </c>
      <c r="D232" t="s">
        <v>142</v>
      </c>
      <c r="E232" t="s">
        <v>412</v>
      </c>
      <c r="F232" t="s">
        <v>3</v>
      </c>
      <c r="G232" t="s">
        <v>413</v>
      </c>
      <c r="H232" t="s">
        <v>414</v>
      </c>
      <c r="I232" t="s">
        <v>6</v>
      </c>
      <c r="J232" t="s">
        <v>6</v>
      </c>
      <c r="K232" t="s">
        <v>7</v>
      </c>
      <c r="L232" t="s">
        <v>91</v>
      </c>
      <c r="M232">
        <v>418</v>
      </c>
      <c r="N232">
        <v>14</v>
      </c>
      <c r="O232">
        <v>0</v>
      </c>
      <c r="P232">
        <v>95.76</v>
      </c>
      <c r="Q232">
        <v>143.66999999999999</v>
      </c>
      <c r="R232" t="s">
        <v>45</v>
      </c>
    </row>
    <row r="233" spans="1:18" x14ac:dyDescent="0.25">
      <c r="A233" t="s">
        <v>415</v>
      </c>
      <c r="B233" s="1">
        <v>40562</v>
      </c>
      <c r="C233" s="1">
        <v>40563</v>
      </c>
      <c r="D233" t="s">
        <v>142</v>
      </c>
      <c r="E233" t="s">
        <v>416</v>
      </c>
      <c r="F233" t="s">
        <v>26</v>
      </c>
      <c r="G233" t="s">
        <v>417</v>
      </c>
      <c r="H233" t="s">
        <v>298</v>
      </c>
      <c r="I233" t="s">
        <v>29</v>
      </c>
      <c r="J233" t="s">
        <v>102</v>
      </c>
      <c r="K233" t="s">
        <v>7</v>
      </c>
      <c r="L233" t="s">
        <v>137</v>
      </c>
      <c r="M233">
        <v>145</v>
      </c>
      <c r="N233">
        <v>3</v>
      </c>
      <c r="O233">
        <v>0</v>
      </c>
      <c r="P233">
        <v>43.56</v>
      </c>
      <c r="Q233">
        <v>58.25</v>
      </c>
      <c r="R233" t="s">
        <v>45</v>
      </c>
    </row>
    <row r="234" spans="1:18" x14ac:dyDescent="0.25">
      <c r="A234" t="s">
        <v>418</v>
      </c>
      <c r="B234" s="1">
        <v>40562</v>
      </c>
      <c r="C234" s="1">
        <v>40567</v>
      </c>
      <c r="D234" t="s">
        <v>1</v>
      </c>
      <c r="E234" t="s">
        <v>419</v>
      </c>
      <c r="F234" t="s">
        <v>43</v>
      </c>
      <c r="G234" t="s">
        <v>344</v>
      </c>
      <c r="H234" t="s">
        <v>345</v>
      </c>
      <c r="I234" t="s">
        <v>75</v>
      </c>
      <c r="J234" t="s">
        <v>76</v>
      </c>
      <c r="K234" t="s">
        <v>38</v>
      </c>
      <c r="L234" t="s">
        <v>39</v>
      </c>
      <c r="M234">
        <v>716</v>
      </c>
      <c r="N234">
        <v>4</v>
      </c>
      <c r="O234">
        <v>0</v>
      </c>
      <c r="P234">
        <v>221.92</v>
      </c>
      <c r="Q234">
        <v>36.29</v>
      </c>
      <c r="R234" t="s">
        <v>9</v>
      </c>
    </row>
    <row r="235" spans="1:18" x14ac:dyDescent="0.25">
      <c r="A235" t="s">
        <v>418</v>
      </c>
      <c r="B235" s="1">
        <v>40562</v>
      </c>
      <c r="C235" s="1">
        <v>40567</v>
      </c>
      <c r="D235" t="s">
        <v>1</v>
      </c>
      <c r="E235" t="s">
        <v>419</v>
      </c>
      <c r="F235" t="s">
        <v>43</v>
      </c>
      <c r="G235" t="s">
        <v>344</v>
      </c>
      <c r="H235" t="s">
        <v>345</v>
      </c>
      <c r="I235" t="s">
        <v>75</v>
      </c>
      <c r="J235" t="s">
        <v>76</v>
      </c>
      <c r="K235" t="s">
        <v>32</v>
      </c>
      <c r="L235" t="s">
        <v>67</v>
      </c>
      <c r="M235">
        <v>226</v>
      </c>
      <c r="N235">
        <v>2</v>
      </c>
      <c r="O235">
        <v>0</v>
      </c>
      <c r="P235">
        <v>33.96</v>
      </c>
      <c r="Q235">
        <v>25.81</v>
      </c>
      <c r="R235" t="s">
        <v>9</v>
      </c>
    </row>
    <row r="236" spans="1:18" x14ac:dyDescent="0.25">
      <c r="A236" t="s">
        <v>420</v>
      </c>
      <c r="B236" s="1">
        <v>40562</v>
      </c>
      <c r="C236" s="1">
        <v>40566</v>
      </c>
      <c r="D236" t="s">
        <v>1</v>
      </c>
      <c r="E236" t="s">
        <v>421</v>
      </c>
      <c r="F236" t="s">
        <v>43</v>
      </c>
      <c r="G236" t="s">
        <v>422</v>
      </c>
      <c r="H236" t="s">
        <v>423</v>
      </c>
      <c r="I236" t="s">
        <v>14</v>
      </c>
      <c r="J236" t="s">
        <v>61</v>
      </c>
      <c r="K236" t="s">
        <v>38</v>
      </c>
      <c r="L236" t="s">
        <v>50</v>
      </c>
      <c r="M236">
        <v>278</v>
      </c>
      <c r="N236">
        <v>3</v>
      </c>
      <c r="O236">
        <v>0.37</v>
      </c>
      <c r="P236">
        <v>-106.083</v>
      </c>
      <c r="Q236">
        <v>21.22</v>
      </c>
      <c r="R236" t="s">
        <v>9</v>
      </c>
    </row>
    <row r="237" spans="1:18" x14ac:dyDescent="0.25">
      <c r="A237" t="s">
        <v>415</v>
      </c>
      <c r="B237" s="1">
        <v>40562</v>
      </c>
      <c r="C237" s="1">
        <v>40563</v>
      </c>
      <c r="D237" t="s">
        <v>142</v>
      </c>
      <c r="E237" t="s">
        <v>416</v>
      </c>
      <c r="F237" t="s">
        <v>26</v>
      </c>
      <c r="G237" t="s">
        <v>417</v>
      </c>
      <c r="H237" t="s">
        <v>298</v>
      </c>
      <c r="I237" t="s">
        <v>29</v>
      </c>
      <c r="J237" t="s">
        <v>102</v>
      </c>
      <c r="K237" t="s">
        <v>7</v>
      </c>
      <c r="L237" t="s">
        <v>8</v>
      </c>
      <c r="M237">
        <v>48</v>
      </c>
      <c r="N237">
        <v>3</v>
      </c>
      <c r="O237">
        <v>0.4</v>
      </c>
      <c r="P237">
        <v>7.92</v>
      </c>
      <c r="Q237">
        <v>15.23</v>
      </c>
      <c r="R237" t="s">
        <v>45</v>
      </c>
    </row>
    <row r="238" spans="1:18" x14ac:dyDescent="0.25">
      <c r="A238" t="s">
        <v>411</v>
      </c>
      <c r="B238" s="1">
        <v>40562</v>
      </c>
      <c r="C238" s="1">
        <v>40564</v>
      </c>
      <c r="D238" t="s">
        <v>142</v>
      </c>
      <c r="E238" t="s">
        <v>412</v>
      </c>
      <c r="F238" t="s">
        <v>3</v>
      </c>
      <c r="G238" t="s">
        <v>413</v>
      </c>
      <c r="H238" t="s">
        <v>414</v>
      </c>
      <c r="I238" t="s">
        <v>6</v>
      </c>
      <c r="J238" t="s">
        <v>6</v>
      </c>
      <c r="K238" t="s">
        <v>38</v>
      </c>
      <c r="L238" t="s">
        <v>82</v>
      </c>
      <c r="M238">
        <v>41</v>
      </c>
      <c r="N238">
        <v>1</v>
      </c>
      <c r="O238">
        <v>0</v>
      </c>
      <c r="P238">
        <v>6.12</v>
      </c>
      <c r="Q238">
        <v>12.68</v>
      </c>
      <c r="R238" t="s">
        <v>45</v>
      </c>
    </row>
    <row r="239" spans="1:18" x14ac:dyDescent="0.25">
      <c r="A239" t="s">
        <v>424</v>
      </c>
      <c r="B239" s="1">
        <v>40562</v>
      </c>
      <c r="C239" s="1">
        <v>40565</v>
      </c>
      <c r="D239" t="s">
        <v>18</v>
      </c>
      <c r="E239" t="s">
        <v>425</v>
      </c>
      <c r="F239" t="s">
        <v>43</v>
      </c>
      <c r="G239" t="s">
        <v>426</v>
      </c>
      <c r="H239" t="s">
        <v>126</v>
      </c>
      <c r="I239" t="s">
        <v>127</v>
      </c>
      <c r="J239" t="s">
        <v>192</v>
      </c>
      <c r="K239" t="s">
        <v>7</v>
      </c>
      <c r="L239" t="s">
        <v>44</v>
      </c>
      <c r="M239">
        <v>65</v>
      </c>
      <c r="N239">
        <v>4</v>
      </c>
      <c r="O239">
        <v>0.2</v>
      </c>
      <c r="P239">
        <v>6.4863999999999997</v>
      </c>
      <c r="Q239">
        <v>5.04</v>
      </c>
      <c r="R239" t="s">
        <v>23</v>
      </c>
    </row>
    <row r="240" spans="1:18" x14ac:dyDescent="0.25">
      <c r="A240" t="s">
        <v>418</v>
      </c>
      <c r="B240" s="1">
        <v>40562</v>
      </c>
      <c r="C240" s="1">
        <v>40567</v>
      </c>
      <c r="D240" t="s">
        <v>1</v>
      </c>
      <c r="E240" t="s">
        <v>419</v>
      </c>
      <c r="F240" t="s">
        <v>43</v>
      </c>
      <c r="G240" t="s">
        <v>344</v>
      </c>
      <c r="H240" t="s">
        <v>345</v>
      </c>
      <c r="I240" t="s">
        <v>75</v>
      </c>
      <c r="J240" t="s">
        <v>76</v>
      </c>
      <c r="K240" t="s">
        <v>38</v>
      </c>
      <c r="L240" t="s">
        <v>82</v>
      </c>
      <c r="M240">
        <v>53</v>
      </c>
      <c r="N240">
        <v>2</v>
      </c>
      <c r="O240">
        <v>0</v>
      </c>
      <c r="P240">
        <v>16.32</v>
      </c>
      <c r="Q240">
        <v>4.0999999999999996</v>
      </c>
      <c r="R240" t="s">
        <v>9</v>
      </c>
    </row>
    <row r="241" spans="1:18" x14ac:dyDescent="0.25">
      <c r="A241" t="s">
        <v>427</v>
      </c>
      <c r="B241" s="1">
        <v>40562</v>
      </c>
      <c r="C241" s="1">
        <v>40564</v>
      </c>
      <c r="D241" t="s">
        <v>142</v>
      </c>
      <c r="E241" t="s">
        <v>428</v>
      </c>
      <c r="F241" t="s">
        <v>43</v>
      </c>
      <c r="G241" t="s">
        <v>429</v>
      </c>
      <c r="H241" t="s">
        <v>298</v>
      </c>
      <c r="I241" t="s">
        <v>29</v>
      </c>
      <c r="J241" t="s">
        <v>102</v>
      </c>
      <c r="K241" t="s">
        <v>7</v>
      </c>
      <c r="L241" t="s">
        <v>96</v>
      </c>
      <c r="M241">
        <v>48</v>
      </c>
      <c r="N241">
        <v>3</v>
      </c>
      <c r="O241">
        <v>0</v>
      </c>
      <c r="P241">
        <v>21.24</v>
      </c>
      <c r="Q241">
        <v>3.54</v>
      </c>
      <c r="R241" t="s">
        <v>23</v>
      </c>
    </row>
    <row r="242" spans="1:18" x14ac:dyDescent="0.25">
      <c r="A242" t="s">
        <v>430</v>
      </c>
      <c r="B242" s="1">
        <v>40562</v>
      </c>
      <c r="C242" s="1">
        <v>40565</v>
      </c>
      <c r="D242" t="s">
        <v>18</v>
      </c>
      <c r="E242" t="s">
        <v>431</v>
      </c>
      <c r="F242" t="s">
        <v>43</v>
      </c>
      <c r="G242" t="s">
        <v>432</v>
      </c>
      <c r="H242" t="s">
        <v>37</v>
      </c>
      <c r="I242" t="s">
        <v>37</v>
      </c>
      <c r="J242" t="s">
        <v>37</v>
      </c>
      <c r="K242" t="s">
        <v>7</v>
      </c>
      <c r="L242" t="s">
        <v>97</v>
      </c>
      <c r="M242">
        <v>16</v>
      </c>
      <c r="N242">
        <v>1</v>
      </c>
      <c r="O242">
        <v>0</v>
      </c>
      <c r="P242">
        <v>5.7</v>
      </c>
      <c r="Q242">
        <v>1.4</v>
      </c>
      <c r="R242" t="s">
        <v>9</v>
      </c>
    </row>
    <row r="243" spans="1:18" x14ac:dyDescent="0.25">
      <c r="A243" t="s">
        <v>433</v>
      </c>
      <c r="B243" s="1">
        <v>40563</v>
      </c>
      <c r="C243" s="1">
        <v>40563</v>
      </c>
      <c r="D243" t="s">
        <v>41</v>
      </c>
      <c r="E243" t="s">
        <v>434</v>
      </c>
      <c r="F243" t="s">
        <v>26</v>
      </c>
      <c r="G243" t="s">
        <v>164</v>
      </c>
      <c r="H243" t="s">
        <v>165</v>
      </c>
      <c r="I243" t="s">
        <v>6</v>
      </c>
      <c r="J243" t="s">
        <v>6</v>
      </c>
      <c r="K243" t="s">
        <v>32</v>
      </c>
      <c r="L243" t="s">
        <v>67</v>
      </c>
      <c r="M243">
        <v>825</v>
      </c>
      <c r="N243">
        <v>2</v>
      </c>
      <c r="O243">
        <v>0</v>
      </c>
      <c r="P243">
        <v>338.34</v>
      </c>
      <c r="Q243">
        <v>88.97</v>
      </c>
      <c r="R243" t="s">
        <v>23</v>
      </c>
    </row>
    <row r="244" spans="1:18" x14ac:dyDescent="0.25">
      <c r="A244" t="s">
        <v>435</v>
      </c>
      <c r="B244" s="1">
        <v>40563</v>
      </c>
      <c r="C244" s="1">
        <v>40563</v>
      </c>
      <c r="D244" t="s">
        <v>41</v>
      </c>
      <c r="E244" t="s">
        <v>436</v>
      </c>
      <c r="F244" t="s">
        <v>43</v>
      </c>
      <c r="G244" t="s">
        <v>437</v>
      </c>
      <c r="H244" t="s">
        <v>106</v>
      </c>
      <c r="I244" t="s">
        <v>75</v>
      </c>
      <c r="J244" t="s">
        <v>30</v>
      </c>
      <c r="K244" t="s">
        <v>7</v>
      </c>
      <c r="L244" t="s">
        <v>44</v>
      </c>
      <c r="M244">
        <v>372</v>
      </c>
      <c r="N244">
        <v>2</v>
      </c>
      <c r="O244">
        <v>0</v>
      </c>
      <c r="P244">
        <v>81.88</v>
      </c>
      <c r="Q244">
        <v>82.67</v>
      </c>
      <c r="R244" t="s">
        <v>45</v>
      </c>
    </row>
    <row r="245" spans="1:18" x14ac:dyDescent="0.25">
      <c r="A245" t="s">
        <v>438</v>
      </c>
      <c r="B245" s="1">
        <v>40563</v>
      </c>
      <c r="C245" s="1">
        <v>40564</v>
      </c>
      <c r="D245" t="s">
        <v>142</v>
      </c>
      <c r="E245" t="s">
        <v>439</v>
      </c>
      <c r="F245" t="s">
        <v>3</v>
      </c>
      <c r="G245" t="s">
        <v>440</v>
      </c>
      <c r="H245" t="s">
        <v>126</v>
      </c>
      <c r="I245" t="s">
        <v>127</v>
      </c>
      <c r="J245" t="s">
        <v>192</v>
      </c>
      <c r="K245" t="s">
        <v>32</v>
      </c>
      <c r="L245" t="s">
        <v>67</v>
      </c>
      <c r="M245">
        <v>181</v>
      </c>
      <c r="N245">
        <v>5</v>
      </c>
      <c r="O245">
        <v>0.7</v>
      </c>
      <c r="P245">
        <v>-320.59699999999998</v>
      </c>
      <c r="Q245">
        <v>29.68</v>
      </c>
      <c r="R245" t="s">
        <v>9</v>
      </c>
    </row>
    <row r="246" spans="1:18" x14ac:dyDescent="0.25">
      <c r="A246" t="s">
        <v>441</v>
      </c>
      <c r="B246" s="1">
        <v>40563</v>
      </c>
      <c r="C246" s="1">
        <v>40565</v>
      </c>
      <c r="D246" t="s">
        <v>142</v>
      </c>
      <c r="E246" t="s">
        <v>442</v>
      </c>
      <c r="F246" t="s">
        <v>3</v>
      </c>
      <c r="G246" t="s">
        <v>90</v>
      </c>
      <c r="H246" t="s">
        <v>81</v>
      </c>
      <c r="I246" t="s">
        <v>22</v>
      </c>
      <c r="J246" t="s">
        <v>22</v>
      </c>
      <c r="K246" t="s">
        <v>32</v>
      </c>
      <c r="L246" t="s">
        <v>56</v>
      </c>
      <c r="M246">
        <v>141</v>
      </c>
      <c r="N246">
        <v>1</v>
      </c>
      <c r="O246">
        <v>0</v>
      </c>
      <c r="P246">
        <v>57.75</v>
      </c>
      <c r="Q246">
        <v>20.93</v>
      </c>
      <c r="R246" t="s">
        <v>9</v>
      </c>
    </row>
    <row r="247" spans="1:18" x14ac:dyDescent="0.25">
      <c r="A247" t="s">
        <v>443</v>
      </c>
      <c r="B247" s="1">
        <v>40563</v>
      </c>
      <c r="C247" s="1">
        <v>40568</v>
      </c>
      <c r="D247" t="s">
        <v>1</v>
      </c>
      <c r="E247" t="s">
        <v>444</v>
      </c>
      <c r="F247" t="s">
        <v>26</v>
      </c>
      <c r="G247" t="s">
        <v>445</v>
      </c>
      <c r="H247" t="s">
        <v>106</v>
      </c>
      <c r="I247" t="s">
        <v>75</v>
      </c>
      <c r="J247" t="s">
        <v>30</v>
      </c>
      <c r="K247" t="s">
        <v>32</v>
      </c>
      <c r="L247" t="s">
        <v>67</v>
      </c>
      <c r="M247">
        <v>196</v>
      </c>
      <c r="N247">
        <v>1</v>
      </c>
      <c r="O247">
        <v>0.2</v>
      </c>
      <c r="P247">
        <v>-34.252000000000002</v>
      </c>
      <c r="Q247">
        <v>17.079999999999998</v>
      </c>
      <c r="R247" t="s">
        <v>9</v>
      </c>
    </row>
    <row r="248" spans="1:18" x14ac:dyDescent="0.25">
      <c r="A248" t="s">
        <v>438</v>
      </c>
      <c r="B248" s="1">
        <v>40563</v>
      </c>
      <c r="C248" s="1">
        <v>40564</v>
      </c>
      <c r="D248" t="s">
        <v>142</v>
      </c>
      <c r="E248" t="s">
        <v>439</v>
      </c>
      <c r="F248" t="s">
        <v>3</v>
      </c>
      <c r="G248" t="s">
        <v>440</v>
      </c>
      <c r="H248" t="s">
        <v>126</v>
      </c>
      <c r="I248" t="s">
        <v>127</v>
      </c>
      <c r="J248" t="s">
        <v>192</v>
      </c>
      <c r="K248" t="s">
        <v>7</v>
      </c>
      <c r="L248" t="s">
        <v>31</v>
      </c>
      <c r="M248">
        <v>56</v>
      </c>
      <c r="N248">
        <v>4</v>
      </c>
      <c r="O248">
        <v>0.2</v>
      </c>
      <c r="P248">
        <v>19.622399999999999</v>
      </c>
      <c r="Q248">
        <v>14.49</v>
      </c>
      <c r="R248" t="s">
        <v>9</v>
      </c>
    </row>
    <row r="249" spans="1:18" x14ac:dyDescent="0.25">
      <c r="A249" t="s">
        <v>433</v>
      </c>
      <c r="B249" s="1">
        <v>40563</v>
      </c>
      <c r="C249" s="1">
        <v>40563</v>
      </c>
      <c r="D249" t="s">
        <v>41</v>
      </c>
      <c r="E249" t="s">
        <v>434</v>
      </c>
      <c r="F249" t="s">
        <v>26</v>
      </c>
      <c r="G249" t="s">
        <v>164</v>
      </c>
      <c r="H249" t="s">
        <v>165</v>
      </c>
      <c r="I249" t="s">
        <v>6</v>
      </c>
      <c r="J249" t="s">
        <v>6</v>
      </c>
      <c r="K249" t="s">
        <v>7</v>
      </c>
      <c r="L249" t="s">
        <v>8</v>
      </c>
      <c r="M249">
        <v>49</v>
      </c>
      <c r="N249">
        <v>1</v>
      </c>
      <c r="O249">
        <v>0</v>
      </c>
      <c r="P249">
        <v>15.51</v>
      </c>
      <c r="Q249">
        <v>11.64</v>
      </c>
      <c r="R249" t="s">
        <v>23</v>
      </c>
    </row>
    <row r="250" spans="1:18" x14ac:dyDescent="0.25">
      <c r="A250" t="s">
        <v>438</v>
      </c>
      <c r="B250" s="1">
        <v>40563</v>
      </c>
      <c r="C250" s="1">
        <v>40564</v>
      </c>
      <c r="D250" t="s">
        <v>142</v>
      </c>
      <c r="E250" t="s">
        <v>439</v>
      </c>
      <c r="F250" t="s">
        <v>3</v>
      </c>
      <c r="G250" t="s">
        <v>440</v>
      </c>
      <c r="H250" t="s">
        <v>126</v>
      </c>
      <c r="I250" t="s">
        <v>127</v>
      </c>
      <c r="J250" t="s">
        <v>192</v>
      </c>
      <c r="K250" t="s">
        <v>7</v>
      </c>
      <c r="L250" t="s">
        <v>96</v>
      </c>
      <c r="M250">
        <v>109</v>
      </c>
      <c r="N250">
        <v>5</v>
      </c>
      <c r="O250">
        <v>0.2</v>
      </c>
      <c r="P250">
        <v>36.692999999999998</v>
      </c>
      <c r="Q250">
        <v>10.39</v>
      </c>
      <c r="R250" t="s">
        <v>9</v>
      </c>
    </row>
    <row r="251" spans="1:18" x14ac:dyDescent="0.25">
      <c r="A251" t="s">
        <v>446</v>
      </c>
      <c r="B251" s="1">
        <v>40563</v>
      </c>
      <c r="C251" s="1">
        <v>40568</v>
      </c>
      <c r="D251" t="s">
        <v>1</v>
      </c>
      <c r="E251" t="s">
        <v>447</v>
      </c>
      <c r="F251" t="s">
        <v>3</v>
      </c>
      <c r="G251" t="s">
        <v>153</v>
      </c>
      <c r="H251" t="s">
        <v>115</v>
      </c>
      <c r="I251" t="s">
        <v>29</v>
      </c>
      <c r="J251" t="s">
        <v>76</v>
      </c>
      <c r="K251" t="s">
        <v>7</v>
      </c>
      <c r="L251" t="s">
        <v>91</v>
      </c>
      <c r="M251">
        <v>58</v>
      </c>
      <c r="N251">
        <v>2</v>
      </c>
      <c r="O251">
        <v>0</v>
      </c>
      <c r="P251">
        <v>7.56</v>
      </c>
      <c r="Q251">
        <v>8.77</v>
      </c>
      <c r="R251" t="s">
        <v>23</v>
      </c>
    </row>
    <row r="252" spans="1:18" x14ac:dyDescent="0.25">
      <c r="A252" t="s">
        <v>433</v>
      </c>
      <c r="B252" s="1">
        <v>40563</v>
      </c>
      <c r="C252" s="1">
        <v>40563</v>
      </c>
      <c r="D252" t="s">
        <v>41</v>
      </c>
      <c r="E252" t="s">
        <v>434</v>
      </c>
      <c r="F252" t="s">
        <v>26</v>
      </c>
      <c r="G252" t="s">
        <v>164</v>
      </c>
      <c r="H252" t="s">
        <v>165</v>
      </c>
      <c r="I252" t="s">
        <v>6</v>
      </c>
      <c r="J252" t="s">
        <v>6</v>
      </c>
      <c r="K252" t="s">
        <v>7</v>
      </c>
      <c r="L252" t="s">
        <v>8</v>
      </c>
      <c r="M252">
        <v>48</v>
      </c>
      <c r="N252">
        <v>1</v>
      </c>
      <c r="O252">
        <v>0</v>
      </c>
      <c r="P252">
        <v>15.84</v>
      </c>
      <c r="Q252">
        <v>7.92</v>
      </c>
      <c r="R252" t="s">
        <v>23</v>
      </c>
    </row>
    <row r="253" spans="1:18" x14ac:dyDescent="0.25">
      <c r="A253" t="s">
        <v>448</v>
      </c>
      <c r="B253" s="1">
        <v>40563</v>
      </c>
      <c r="C253" s="1">
        <v>40567</v>
      </c>
      <c r="D253" t="s">
        <v>1</v>
      </c>
      <c r="E253" t="s">
        <v>449</v>
      </c>
      <c r="F253" t="s">
        <v>3</v>
      </c>
      <c r="G253" t="s">
        <v>450</v>
      </c>
      <c r="H253" t="s">
        <v>223</v>
      </c>
      <c r="I253" t="s">
        <v>6</v>
      </c>
      <c r="J253" t="s">
        <v>6</v>
      </c>
      <c r="K253" t="s">
        <v>7</v>
      </c>
      <c r="L253" t="s">
        <v>31</v>
      </c>
      <c r="M253">
        <v>37</v>
      </c>
      <c r="N253">
        <v>4</v>
      </c>
      <c r="O253">
        <v>0.7</v>
      </c>
      <c r="P253">
        <v>-73.680000000000007</v>
      </c>
      <c r="Q253">
        <v>6.08</v>
      </c>
      <c r="R253" t="s">
        <v>23</v>
      </c>
    </row>
    <row r="254" spans="1:18" x14ac:dyDescent="0.25">
      <c r="A254" t="s">
        <v>438</v>
      </c>
      <c r="B254" s="1">
        <v>40563</v>
      </c>
      <c r="C254" s="1">
        <v>40564</v>
      </c>
      <c r="D254" t="s">
        <v>142</v>
      </c>
      <c r="E254" t="s">
        <v>439</v>
      </c>
      <c r="F254" t="s">
        <v>3</v>
      </c>
      <c r="G254" t="s">
        <v>440</v>
      </c>
      <c r="H254" t="s">
        <v>126</v>
      </c>
      <c r="I254" t="s">
        <v>127</v>
      </c>
      <c r="J254" t="s">
        <v>192</v>
      </c>
      <c r="K254" t="s">
        <v>7</v>
      </c>
      <c r="L254" t="s">
        <v>137</v>
      </c>
      <c r="M254">
        <v>32</v>
      </c>
      <c r="N254">
        <v>10</v>
      </c>
      <c r="O254">
        <v>0.7</v>
      </c>
      <c r="P254">
        <v>-23.716000000000001</v>
      </c>
      <c r="Q254">
        <v>6.03</v>
      </c>
      <c r="R254" t="s">
        <v>9</v>
      </c>
    </row>
    <row r="255" spans="1:18" x14ac:dyDescent="0.25">
      <c r="A255" t="s">
        <v>448</v>
      </c>
      <c r="B255" s="1">
        <v>40563</v>
      </c>
      <c r="C255" s="1">
        <v>40567</v>
      </c>
      <c r="D255" t="s">
        <v>1</v>
      </c>
      <c r="E255" t="s">
        <v>449</v>
      </c>
      <c r="F255" t="s">
        <v>3</v>
      </c>
      <c r="G255" t="s">
        <v>450</v>
      </c>
      <c r="H255" t="s">
        <v>223</v>
      </c>
      <c r="I255" t="s">
        <v>6</v>
      </c>
      <c r="J255" t="s">
        <v>6</v>
      </c>
      <c r="K255" t="s">
        <v>7</v>
      </c>
      <c r="L255" t="s">
        <v>8</v>
      </c>
      <c r="M255">
        <v>24</v>
      </c>
      <c r="N255">
        <v>4</v>
      </c>
      <c r="O255">
        <v>0.7</v>
      </c>
      <c r="P255">
        <v>-42.624000000000002</v>
      </c>
      <c r="Q255">
        <v>3.74</v>
      </c>
      <c r="R255" t="s">
        <v>23</v>
      </c>
    </row>
    <row r="256" spans="1:18" x14ac:dyDescent="0.25">
      <c r="A256" t="s">
        <v>451</v>
      </c>
      <c r="B256" s="1">
        <v>40563</v>
      </c>
      <c r="C256" s="1">
        <v>40565</v>
      </c>
      <c r="D256" t="s">
        <v>18</v>
      </c>
      <c r="E256" t="s">
        <v>452</v>
      </c>
      <c r="F256" t="s">
        <v>3</v>
      </c>
      <c r="G256" t="s">
        <v>453</v>
      </c>
      <c r="H256" t="s">
        <v>454</v>
      </c>
      <c r="I256" t="s">
        <v>22</v>
      </c>
      <c r="J256" t="s">
        <v>22</v>
      </c>
      <c r="K256" t="s">
        <v>7</v>
      </c>
      <c r="L256" t="s">
        <v>87</v>
      </c>
      <c r="M256">
        <v>10</v>
      </c>
      <c r="N256">
        <v>1</v>
      </c>
      <c r="O256">
        <v>0</v>
      </c>
      <c r="P256">
        <v>4.83</v>
      </c>
      <c r="Q256">
        <v>2.0499999999999998</v>
      </c>
      <c r="R256" t="s">
        <v>23</v>
      </c>
    </row>
    <row r="257" spans="1:18" x14ac:dyDescent="0.25">
      <c r="A257" t="s">
        <v>451</v>
      </c>
      <c r="B257" s="1">
        <v>40563</v>
      </c>
      <c r="C257" s="1">
        <v>40565</v>
      </c>
      <c r="D257" t="s">
        <v>18</v>
      </c>
      <c r="E257" t="s">
        <v>452</v>
      </c>
      <c r="F257" t="s">
        <v>3</v>
      </c>
      <c r="G257" t="s">
        <v>453</v>
      </c>
      <c r="H257" t="s">
        <v>454</v>
      </c>
      <c r="I257" t="s">
        <v>22</v>
      </c>
      <c r="J257" t="s">
        <v>22</v>
      </c>
      <c r="K257" t="s">
        <v>7</v>
      </c>
      <c r="L257" t="s">
        <v>87</v>
      </c>
      <c r="M257">
        <v>11</v>
      </c>
      <c r="N257">
        <v>1</v>
      </c>
      <c r="O257">
        <v>0</v>
      </c>
      <c r="P257">
        <v>4.08</v>
      </c>
      <c r="Q257">
        <v>1.48</v>
      </c>
      <c r="R257" t="s">
        <v>23</v>
      </c>
    </row>
    <row r="258" spans="1:18" x14ac:dyDescent="0.25">
      <c r="A258" t="s">
        <v>455</v>
      </c>
      <c r="B258" s="1">
        <v>40563</v>
      </c>
      <c r="C258" s="1">
        <v>40567</v>
      </c>
      <c r="D258" t="s">
        <v>18</v>
      </c>
      <c r="E258" t="s">
        <v>456</v>
      </c>
      <c r="F258" t="s">
        <v>3</v>
      </c>
      <c r="G258" t="s">
        <v>388</v>
      </c>
      <c r="H258" t="s">
        <v>13</v>
      </c>
      <c r="I258" t="s">
        <v>14</v>
      </c>
      <c r="J258" t="s">
        <v>15</v>
      </c>
      <c r="K258" t="s">
        <v>32</v>
      </c>
      <c r="L258" t="s">
        <v>33</v>
      </c>
      <c r="M258">
        <v>139</v>
      </c>
      <c r="N258">
        <v>3</v>
      </c>
      <c r="O258">
        <v>0.1</v>
      </c>
      <c r="P258">
        <v>27.693000000000001</v>
      </c>
      <c r="Q258">
        <v>1.23</v>
      </c>
      <c r="R258" t="s">
        <v>9</v>
      </c>
    </row>
    <row r="259" spans="1:18" x14ac:dyDescent="0.25">
      <c r="A259" t="s">
        <v>457</v>
      </c>
      <c r="B259" s="1">
        <v>40564</v>
      </c>
      <c r="C259" s="1">
        <v>40570</v>
      </c>
      <c r="D259" t="s">
        <v>1</v>
      </c>
      <c r="E259" t="s">
        <v>458</v>
      </c>
      <c r="F259" t="s">
        <v>3</v>
      </c>
      <c r="G259" t="s">
        <v>459</v>
      </c>
      <c r="H259" t="s">
        <v>345</v>
      </c>
      <c r="I259" t="s">
        <v>75</v>
      </c>
      <c r="J259" t="s">
        <v>76</v>
      </c>
      <c r="K259" t="s">
        <v>32</v>
      </c>
      <c r="L259" t="s">
        <v>62</v>
      </c>
      <c r="M259" s="2">
        <v>2797</v>
      </c>
      <c r="N259">
        <v>6</v>
      </c>
      <c r="O259">
        <v>0.2</v>
      </c>
      <c r="P259">
        <v>-7.1999999999999995E-2</v>
      </c>
      <c r="Q259">
        <v>320.38</v>
      </c>
      <c r="R259" t="s">
        <v>51</v>
      </c>
    </row>
    <row r="260" spans="1:18" x14ac:dyDescent="0.25">
      <c r="A260" t="s">
        <v>460</v>
      </c>
      <c r="B260" s="1">
        <v>40564</v>
      </c>
      <c r="C260" s="1">
        <v>40570</v>
      </c>
      <c r="D260" t="s">
        <v>1</v>
      </c>
      <c r="E260" t="s">
        <v>461</v>
      </c>
      <c r="F260" t="s">
        <v>43</v>
      </c>
      <c r="G260" t="s">
        <v>462</v>
      </c>
      <c r="H260" t="s">
        <v>463</v>
      </c>
      <c r="I260" t="s">
        <v>22</v>
      </c>
      <c r="J260" t="s">
        <v>22</v>
      </c>
      <c r="K260" t="s">
        <v>7</v>
      </c>
      <c r="L260" t="s">
        <v>8</v>
      </c>
      <c r="M260" s="2">
        <v>1244</v>
      </c>
      <c r="N260">
        <v>6</v>
      </c>
      <c r="O260">
        <v>0</v>
      </c>
      <c r="P260">
        <v>211.5</v>
      </c>
      <c r="Q260">
        <v>88.66</v>
      </c>
      <c r="R260" t="s">
        <v>9</v>
      </c>
    </row>
    <row r="261" spans="1:18" x14ac:dyDescent="0.25">
      <c r="A261" t="s">
        <v>464</v>
      </c>
      <c r="B261" s="1">
        <v>40564</v>
      </c>
      <c r="C261" s="1">
        <v>40570</v>
      </c>
      <c r="D261" t="s">
        <v>1</v>
      </c>
      <c r="E261" t="s">
        <v>458</v>
      </c>
      <c r="F261" t="s">
        <v>3</v>
      </c>
      <c r="G261" t="s">
        <v>465</v>
      </c>
      <c r="H261" t="s">
        <v>126</v>
      </c>
      <c r="I261" t="s">
        <v>127</v>
      </c>
      <c r="J261" t="s">
        <v>102</v>
      </c>
      <c r="K261" t="s">
        <v>32</v>
      </c>
      <c r="L261" t="s">
        <v>56</v>
      </c>
      <c r="M261" s="2">
        <v>1068</v>
      </c>
      <c r="N261">
        <v>3</v>
      </c>
      <c r="O261">
        <v>0</v>
      </c>
      <c r="P261">
        <v>224.26740000000001</v>
      </c>
      <c r="Q261">
        <v>85.72</v>
      </c>
      <c r="R261" t="s">
        <v>9</v>
      </c>
    </row>
    <row r="262" spans="1:18" x14ac:dyDescent="0.25">
      <c r="A262" t="s">
        <v>464</v>
      </c>
      <c r="B262" s="1">
        <v>40564</v>
      </c>
      <c r="C262" s="1">
        <v>40570</v>
      </c>
      <c r="D262" t="s">
        <v>1</v>
      </c>
      <c r="E262" t="s">
        <v>458</v>
      </c>
      <c r="F262" t="s">
        <v>3</v>
      </c>
      <c r="G262" t="s">
        <v>465</v>
      </c>
      <c r="H262" t="s">
        <v>126</v>
      </c>
      <c r="I262" t="s">
        <v>127</v>
      </c>
      <c r="J262" t="s">
        <v>102</v>
      </c>
      <c r="K262" t="s">
        <v>38</v>
      </c>
      <c r="L262" t="s">
        <v>77</v>
      </c>
      <c r="M262">
        <v>700</v>
      </c>
      <c r="N262">
        <v>7</v>
      </c>
      <c r="O262">
        <v>0</v>
      </c>
      <c r="P262">
        <v>181.98179999999999</v>
      </c>
      <c r="Q262">
        <v>31.52</v>
      </c>
      <c r="R262" t="s">
        <v>9</v>
      </c>
    </row>
    <row r="263" spans="1:18" x14ac:dyDescent="0.25">
      <c r="A263" t="s">
        <v>457</v>
      </c>
      <c r="B263" s="1">
        <v>40564</v>
      </c>
      <c r="C263" s="1">
        <v>40570</v>
      </c>
      <c r="D263" t="s">
        <v>1</v>
      </c>
      <c r="E263" t="s">
        <v>458</v>
      </c>
      <c r="F263" t="s">
        <v>3</v>
      </c>
      <c r="G263" t="s">
        <v>459</v>
      </c>
      <c r="H263" t="s">
        <v>345</v>
      </c>
      <c r="I263" t="s">
        <v>75</v>
      </c>
      <c r="J263" t="s">
        <v>76</v>
      </c>
      <c r="K263" t="s">
        <v>38</v>
      </c>
      <c r="L263" t="s">
        <v>77</v>
      </c>
      <c r="M263">
        <v>405</v>
      </c>
      <c r="N263">
        <v>4</v>
      </c>
      <c r="O263">
        <v>0</v>
      </c>
      <c r="P263">
        <v>121.44</v>
      </c>
      <c r="Q263">
        <v>26.73</v>
      </c>
      <c r="R263" t="s">
        <v>51</v>
      </c>
    </row>
    <row r="264" spans="1:18" x14ac:dyDescent="0.25">
      <c r="A264" t="s">
        <v>460</v>
      </c>
      <c r="B264" s="1">
        <v>40564</v>
      </c>
      <c r="C264" s="1">
        <v>40570</v>
      </c>
      <c r="D264" t="s">
        <v>1</v>
      </c>
      <c r="E264" t="s">
        <v>461</v>
      </c>
      <c r="F264" t="s">
        <v>43</v>
      </c>
      <c r="G264" t="s">
        <v>462</v>
      </c>
      <c r="H264" t="s">
        <v>463</v>
      </c>
      <c r="I264" t="s">
        <v>22</v>
      </c>
      <c r="J264" t="s">
        <v>22</v>
      </c>
      <c r="K264" t="s">
        <v>32</v>
      </c>
      <c r="L264" t="s">
        <v>56</v>
      </c>
      <c r="M264">
        <v>277</v>
      </c>
      <c r="N264">
        <v>2</v>
      </c>
      <c r="O264">
        <v>0</v>
      </c>
      <c r="P264">
        <v>55.38</v>
      </c>
      <c r="Q264">
        <v>24.75</v>
      </c>
      <c r="R264" t="s">
        <v>9</v>
      </c>
    </row>
    <row r="265" spans="1:18" x14ac:dyDescent="0.25">
      <c r="A265" t="s">
        <v>466</v>
      </c>
      <c r="B265" s="1">
        <v>40564</v>
      </c>
      <c r="C265" s="1">
        <v>40570</v>
      </c>
      <c r="D265" t="s">
        <v>1</v>
      </c>
      <c r="E265" t="s">
        <v>467</v>
      </c>
      <c r="F265" t="s">
        <v>3</v>
      </c>
      <c r="G265" t="s">
        <v>468</v>
      </c>
      <c r="H265" t="s">
        <v>126</v>
      </c>
      <c r="I265" t="s">
        <v>127</v>
      </c>
      <c r="J265" t="s">
        <v>76</v>
      </c>
      <c r="K265" t="s">
        <v>32</v>
      </c>
      <c r="L265" t="s">
        <v>33</v>
      </c>
      <c r="M265">
        <v>273</v>
      </c>
      <c r="N265">
        <v>3</v>
      </c>
      <c r="O265">
        <v>0</v>
      </c>
      <c r="P265">
        <v>30.023399999999999</v>
      </c>
      <c r="Q265">
        <v>20.68</v>
      </c>
      <c r="R265" t="s">
        <v>9</v>
      </c>
    </row>
    <row r="266" spans="1:18" x14ac:dyDescent="0.25">
      <c r="A266" t="s">
        <v>457</v>
      </c>
      <c r="B266" s="1">
        <v>40564</v>
      </c>
      <c r="C266" s="1">
        <v>40570</v>
      </c>
      <c r="D266" t="s">
        <v>1</v>
      </c>
      <c r="E266" t="s">
        <v>458</v>
      </c>
      <c r="F266" t="s">
        <v>3</v>
      </c>
      <c r="G266" t="s">
        <v>459</v>
      </c>
      <c r="H266" t="s">
        <v>345</v>
      </c>
      <c r="I266" t="s">
        <v>75</v>
      </c>
      <c r="J266" t="s">
        <v>76</v>
      </c>
      <c r="K266" t="s">
        <v>38</v>
      </c>
      <c r="L266" t="s">
        <v>77</v>
      </c>
      <c r="M266">
        <v>182</v>
      </c>
      <c r="N266">
        <v>2</v>
      </c>
      <c r="O266">
        <v>0</v>
      </c>
      <c r="P266">
        <v>16.399999999999999</v>
      </c>
      <c r="Q266">
        <v>19.100000000000001</v>
      </c>
      <c r="R266" t="s">
        <v>51</v>
      </c>
    </row>
    <row r="267" spans="1:18" x14ac:dyDescent="0.25">
      <c r="A267" t="s">
        <v>469</v>
      </c>
      <c r="B267" s="1">
        <v>40564</v>
      </c>
      <c r="C267" s="1">
        <v>40569</v>
      </c>
      <c r="D267" t="s">
        <v>1</v>
      </c>
      <c r="E267" t="s">
        <v>470</v>
      </c>
      <c r="F267" t="s">
        <v>3</v>
      </c>
      <c r="G267" t="s">
        <v>471</v>
      </c>
      <c r="H267" t="s">
        <v>305</v>
      </c>
      <c r="I267" t="s">
        <v>29</v>
      </c>
      <c r="J267" t="s">
        <v>76</v>
      </c>
      <c r="K267" t="s">
        <v>38</v>
      </c>
      <c r="L267" t="s">
        <v>82</v>
      </c>
      <c r="M267">
        <v>495</v>
      </c>
      <c r="N267">
        <v>2</v>
      </c>
      <c r="O267">
        <v>0</v>
      </c>
      <c r="P267">
        <v>232.8</v>
      </c>
      <c r="Q267">
        <v>18.43</v>
      </c>
      <c r="R267" t="s">
        <v>9</v>
      </c>
    </row>
    <row r="268" spans="1:18" x14ac:dyDescent="0.25">
      <c r="A268" t="s">
        <v>466</v>
      </c>
      <c r="B268" s="1">
        <v>40564</v>
      </c>
      <c r="C268" s="1">
        <v>40570</v>
      </c>
      <c r="D268" t="s">
        <v>1</v>
      </c>
      <c r="E268" t="s">
        <v>467</v>
      </c>
      <c r="F268" t="s">
        <v>3</v>
      </c>
      <c r="G268" t="s">
        <v>468</v>
      </c>
      <c r="H268" t="s">
        <v>126</v>
      </c>
      <c r="I268" t="s">
        <v>127</v>
      </c>
      <c r="J268" t="s">
        <v>76</v>
      </c>
      <c r="K268" t="s">
        <v>7</v>
      </c>
      <c r="L268" t="s">
        <v>44</v>
      </c>
      <c r="M268">
        <v>248</v>
      </c>
      <c r="N268">
        <v>4</v>
      </c>
      <c r="O268">
        <v>0.1</v>
      </c>
      <c r="P268">
        <v>93.581599999999995</v>
      </c>
      <c r="Q268">
        <v>14.53</v>
      </c>
      <c r="R268" t="s">
        <v>9</v>
      </c>
    </row>
    <row r="269" spans="1:18" x14ac:dyDescent="0.25">
      <c r="A269" t="s">
        <v>457</v>
      </c>
      <c r="B269" s="1">
        <v>40564</v>
      </c>
      <c r="C269" s="1">
        <v>40570</v>
      </c>
      <c r="D269" t="s">
        <v>1</v>
      </c>
      <c r="E269" t="s">
        <v>458</v>
      </c>
      <c r="F269" t="s">
        <v>3</v>
      </c>
      <c r="G269" t="s">
        <v>459</v>
      </c>
      <c r="H269" t="s">
        <v>345</v>
      </c>
      <c r="I269" t="s">
        <v>75</v>
      </c>
      <c r="J269" t="s">
        <v>76</v>
      </c>
      <c r="K269" t="s">
        <v>7</v>
      </c>
      <c r="L269" t="s">
        <v>16</v>
      </c>
      <c r="M269">
        <v>107</v>
      </c>
      <c r="N269">
        <v>5</v>
      </c>
      <c r="O269">
        <v>0</v>
      </c>
      <c r="P269">
        <v>46.1</v>
      </c>
      <c r="Q269">
        <v>8.92</v>
      </c>
      <c r="R269" t="s">
        <v>51</v>
      </c>
    </row>
    <row r="270" spans="1:18" x14ac:dyDescent="0.25">
      <c r="A270" t="s">
        <v>466</v>
      </c>
      <c r="B270" s="1">
        <v>40564</v>
      </c>
      <c r="C270" s="1">
        <v>40570</v>
      </c>
      <c r="D270" t="s">
        <v>1</v>
      </c>
      <c r="E270" t="s">
        <v>467</v>
      </c>
      <c r="F270" t="s">
        <v>3</v>
      </c>
      <c r="G270" t="s">
        <v>468</v>
      </c>
      <c r="H270" t="s">
        <v>126</v>
      </c>
      <c r="I270" t="s">
        <v>127</v>
      </c>
      <c r="J270" t="s">
        <v>76</v>
      </c>
      <c r="K270" t="s">
        <v>7</v>
      </c>
      <c r="L270" t="s">
        <v>8</v>
      </c>
      <c r="M270">
        <v>67</v>
      </c>
      <c r="N270">
        <v>2</v>
      </c>
      <c r="O270">
        <v>0</v>
      </c>
      <c r="P270">
        <v>15.979200000000001</v>
      </c>
      <c r="Q270">
        <v>8.4</v>
      </c>
      <c r="R270" t="s">
        <v>9</v>
      </c>
    </row>
    <row r="271" spans="1:18" x14ac:dyDescent="0.25">
      <c r="A271" t="s">
        <v>460</v>
      </c>
      <c r="B271" s="1">
        <v>40564</v>
      </c>
      <c r="C271" s="1">
        <v>40570</v>
      </c>
      <c r="D271" t="s">
        <v>1</v>
      </c>
      <c r="E271" t="s">
        <v>461</v>
      </c>
      <c r="F271" t="s">
        <v>43</v>
      </c>
      <c r="G271" t="s">
        <v>462</v>
      </c>
      <c r="H271" t="s">
        <v>463</v>
      </c>
      <c r="I271" t="s">
        <v>22</v>
      </c>
      <c r="J271" t="s">
        <v>22</v>
      </c>
      <c r="K271" t="s">
        <v>7</v>
      </c>
      <c r="L271" t="s">
        <v>16</v>
      </c>
      <c r="M271">
        <v>85</v>
      </c>
      <c r="N271">
        <v>2</v>
      </c>
      <c r="O271">
        <v>0</v>
      </c>
      <c r="P271">
        <v>12.66</v>
      </c>
      <c r="Q271">
        <v>6.06</v>
      </c>
      <c r="R271" t="s">
        <v>9</v>
      </c>
    </row>
    <row r="272" spans="1:18" x14ac:dyDescent="0.25">
      <c r="A272" t="s">
        <v>457</v>
      </c>
      <c r="B272" s="1">
        <v>40564</v>
      </c>
      <c r="C272" s="1">
        <v>40570</v>
      </c>
      <c r="D272" t="s">
        <v>1</v>
      </c>
      <c r="E272" t="s">
        <v>458</v>
      </c>
      <c r="F272" t="s">
        <v>3</v>
      </c>
      <c r="G272" t="s">
        <v>459</v>
      </c>
      <c r="H272" t="s">
        <v>345</v>
      </c>
      <c r="I272" t="s">
        <v>75</v>
      </c>
      <c r="J272" t="s">
        <v>76</v>
      </c>
      <c r="K272" t="s">
        <v>7</v>
      </c>
      <c r="L272" t="s">
        <v>137</v>
      </c>
      <c r="M272">
        <v>61</v>
      </c>
      <c r="N272">
        <v>8</v>
      </c>
      <c r="O272">
        <v>0</v>
      </c>
      <c r="P272">
        <v>28.64</v>
      </c>
      <c r="Q272">
        <v>5.22</v>
      </c>
      <c r="R272" t="s">
        <v>51</v>
      </c>
    </row>
    <row r="273" spans="1:18" x14ac:dyDescent="0.25">
      <c r="A273" t="s">
        <v>466</v>
      </c>
      <c r="B273" s="1">
        <v>40564</v>
      </c>
      <c r="C273" s="1">
        <v>40570</v>
      </c>
      <c r="D273" t="s">
        <v>1</v>
      </c>
      <c r="E273" t="s">
        <v>467</v>
      </c>
      <c r="F273" t="s">
        <v>3</v>
      </c>
      <c r="G273" t="s">
        <v>468</v>
      </c>
      <c r="H273" t="s">
        <v>126</v>
      </c>
      <c r="I273" t="s">
        <v>127</v>
      </c>
      <c r="J273" t="s">
        <v>76</v>
      </c>
      <c r="K273" t="s">
        <v>7</v>
      </c>
      <c r="L273" t="s">
        <v>91</v>
      </c>
      <c r="M273">
        <v>44</v>
      </c>
      <c r="N273">
        <v>3</v>
      </c>
      <c r="O273">
        <v>0</v>
      </c>
      <c r="P273">
        <v>12.736800000000001</v>
      </c>
      <c r="Q273">
        <v>4.88</v>
      </c>
      <c r="R273" t="s">
        <v>9</v>
      </c>
    </row>
    <row r="274" spans="1:18" x14ac:dyDescent="0.25">
      <c r="A274" t="s">
        <v>472</v>
      </c>
      <c r="B274" s="1">
        <v>40564</v>
      </c>
      <c r="C274" s="1">
        <v>40569</v>
      </c>
      <c r="D274" t="s">
        <v>1</v>
      </c>
      <c r="E274" t="s">
        <v>473</v>
      </c>
      <c r="F274" t="s">
        <v>43</v>
      </c>
      <c r="G274" t="s">
        <v>90</v>
      </c>
      <c r="H274" t="s">
        <v>81</v>
      </c>
      <c r="I274" t="s">
        <v>22</v>
      </c>
      <c r="J274" t="s">
        <v>22</v>
      </c>
      <c r="K274" t="s">
        <v>7</v>
      </c>
      <c r="L274" t="s">
        <v>8</v>
      </c>
      <c r="M274">
        <v>61</v>
      </c>
      <c r="N274">
        <v>1</v>
      </c>
      <c r="O274">
        <v>0</v>
      </c>
      <c r="P274">
        <v>18.96</v>
      </c>
      <c r="Q274">
        <v>4.6100000000000003</v>
      </c>
      <c r="R274" t="s">
        <v>9</v>
      </c>
    </row>
    <row r="275" spans="1:18" x14ac:dyDescent="0.25">
      <c r="A275" t="s">
        <v>474</v>
      </c>
      <c r="B275" s="1">
        <v>40564</v>
      </c>
      <c r="C275" s="1">
        <v>40570</v>
      </c>
      <c r="D275" t="s">
        <v>1</v>
      </c>
      <c r="E275" t="s">
        <v>475</v>
      </c>
      <c r="F275" t="s">
        <v>43</v>
      </c>
      <c r="G275" t="s">
        <v>476</v>
      </c>
      <c r="H275" t="s">
        <v>126</v>
      </c>
      <c r="I275" t="s">
        <v>127</v>
      </c>
      <c r="J275" t="s">
        <v>102</v>
      </c>
      <c r="K275" t="s">
        <v>7</v>
      </c>
      <c r="L275" t="s">
        <v>137</v>
      </c>
      <c r="M275">
        <v>67</v>
      </c>
      <c r="N275">
        <v>1</v>
      </c>
      <c r="O275">
        <v>0.7</v>
      </c>
      <c r="P275">
        <v>-51.5154</v>
      </c>
      <c r="Q275">
        <v>3</v>
      </c>
      <c r="R275" t="s">
        <v>9</v>
      </c>
    </row>
    <row r="276" spans="1:18" x14ac:dyDescent="0.25">
      <c r="A276" t="s">
        <v>464</v>
      </c>
      <c r="B276" s="1">
        <v>40564</v>
      </c>
      <c r="C276" s="1">
        <v>40570</v>
      </c>
      <c r="D276" t="s">
        <v>1</v>
      </c>
      <c r="E276" t="s">
        <v>458</v>
      </c>
      <c r="F276" t="s">
        <v>3</v>
      </c>
      <c r="G276" t="s">
        <v>465</v>
      </c>
      <c r="H276" t="s">
        <v>126</v>
      </c>
      <c r="I276" t="s">
        <v>127</v>
      </c>
      <c r="J276" t="s">
        <v>102</v>
      </c>
      <c r="K276" t="s">
        <v>7</v>
      </c>
      <c r="L276" t="s">
        <v>96</v>
      </c>
      <c r="M276">
        <v>23</v>
      </c>
      <c r="N276">
        <v>3</v>
      </c>
      <c r="O276">
        <v>0</v>
      </c>
      <c r="P276">
        <v>10.969799999999999</v>
      </c>
      <c r="Q276">
        <v>2.6</v>
      </c>
      <c r="R276" t="s">
        <v>9</v>
      </c>
    </row>
    <row r="277" spans="1:18" x14ac:dyDescent="0.25">
      <c r="A277" t="s">
        <v>464</v>
      </c>
      <c r="B277" s="1">
        <v>40564</v>
      </c>
      <c r="C277" s="1">
        <v>40570</v>
      </c>
      <c r="D277" t="s">
        <v>1</v>
      </c>
      <c r="E277" t="s">
        <v>458</v>
      </c>
      <c r="F277" t="s">
        <v>3</v>
      </c>
      <c r="G277" t="s">
        <v>465</v>
      </c>
      <c r="H277" t="s">
        <v>126</v>
      </c>
      <c r="I277" t="s">
        <v>127</v>
      </c>
      <c r="J277" t="s">
        <v>102</v>
      </c>
      <c r="K277" t="s">
        <v>32</v>
      </c>
      <c r="L277" t="s">
        <v>33</v>
      </c>
      <c r="M277">
        <v>39</v>
      </c>
      <c r="N277">
        <v>4</v>
      </c>
      <c r="O277">
        <v>0</v>
      </c>
      <c r="P277">
        <v>11.58</v>
      </c>
      <c r="Q277">
        <v>2.57</v>
      </c>
      <c r="R277" t="s">
        <v>9</v>
      </c>
    </row>
    <row r="278" spans="1:18" x14ac:dyDescent="0.25">
      <c r="A278" t="s">
        <v>477</v>
      </c>
      <c r="B278" s="1">
        <v>40564</v>
      </c>
      <c r="C278" s="1">
        <v>40568</v>
      </c>
      <c r="D278" t="s">
        <v>1</v>
      </c>
      <c r="E278" t="s">
        <v>421</v>
      </c>
      <c r="F278" t="s">
        <v>43</v>
      </c>
      <c r="G278" t="s">
        <v>264</v>
      </c>
      <c r="H278" t="s">
        <v>86</v>
      </c>
      <c r="I278" t="s">
        <v>14</v>
      </c>
      <c r="J278" t="s">
        <v>61</v>
      </c>
      <c r="K278" t="s">
        <v>7</v>
      </c>
      <c r="L278" t="s">
        <v>91</v>
      </c>
      <c r="M278">
        <v>52</v>
      </c>
      <c r="N278">
        <v>2</v>
      </c>
      <c r="O278">
        <v>0.47</v>
      </c>
      <c r="P278">
        <v>-24.380400000000002</v>
      </c>
      <c r="Q278">
        <v>2.02</v>
      </c>
      <c r="R278" t="s">
        <v>9</v>
      </c>
    </row>
    <row r="279" spans="1:18" x14ac:dyDescent="0.25">
      <c r="A279" t="s">
        <v>466</v>
      </c>
      <c r="B279" s="1">
        <v>40564</v>
      </c>
      <c r="C279" s="1">
        <v>40570</v>
      </c>
      <c r="D279" t="s">
        <v>1</v>
      </c>
      <c r="E279" t="s">
        <v>467</v>
      </c>
      <c r="F279" t="s">
        <v>3</v>
      </c>
      <c r="G279" t="s">
        <v>468</v>
      </c>
      <c r="H279" t="s">
        <v>126</v>
      </c>
      <c r="I279" t="s">
        <v>127</v>
      </c>
      <c r="J279" t="s">
        <v>76</v>
      </c>
      <c r="K279" t="s">
        <v>7</v>
      </c>
      <c r="L279" t="s">
        <v>137</v>
      </c>
      <c r="M279">
        <v>30</v>
      </c>
      <c r="N279">
        <v>5</v>
      </c>
      <c r="O279">
        <v>0</v>
      </c>
      <c r="P279">
        <v>13.365</v>
      </c>
      <c r="Q279">
        <v>1.98</v>
      </c>
      <c r="R279" t="s">
        <v>9</v>
      </c>
    </row>
    <row r="280" spans="1:18" x14ac:dyDescent="0.25">
      <c r="A280" t="s">
        <v>460</v>
      </c>
      <c r="B280" s="1">
        <v>40564</v>
      </c>
      <c r="C280" s="1">
        <v>40570</v>
      </c>
      <c r="D280" t="s">
        <v>1</v>
      </c>
      <c r="E280" t="s">
        <v>461</v>
      </c>
      <c r="F280" t="s">
        <v>43</v>
      </c>
      <c r="G280" t="s">
        <v>462</v>
      </c>
      <c r="H280" t="s">
        <v>463</v>
      </c>
      <c r="I280" t="s">
        <v>22</v>
      </c>
      <c r="J280" t="s">
        <v>22</v>
      </c>
      <c r="K280" t="s">
        <v>7</v>
      </c>
      <c r="L280" t="s">
        <v>96</v>
      </c>
      <c r="M280">
        <v>27</v>
      </c>
      <c r="N280">
        <v>1</v>
      </c>
      <c r="O280">
        <v>0</v>
      </c>
      <c r="P280">
        <v>2.4300000000000002</v>
      </c>
      <c r="Q280">
        <v>1.58</v>
      </c>
      <c r="R280" t="s">
        <v>9</v>
      </c>
    </row>
    <row r="281" spans="1:18" x14ac:dyDescent="0.25">
      <c r="A281" t="s">
        <v>457</v>
      </c>
      <c r="B281" s="1">
        <v>40564</v>
      </c>
      <c r="C281" s="1">
        <v>40570</v>
      </c>
      <c r="D281" t="s">
        <v>1</v>
      </c>
      <c r="E281" t="s">
        <v>458</v>
      </c>
      <c r="F281" t="s">
        <v>3</v>
      </c>
      <c r="G281" t="s">
        <v>459</v>
      </c>
      <c r="H281" t="s">
        <v>345</v>
      </c>
      <c r="I281" t="s">
        <v>75</v>
      </c>
      <c r="J281" t="s">
        <v>76</v>
      </c>
      <c r="K281" t="s">
        <v>7</v>
      </c>
      <c r="L281" t="s">
        <v>137</v>
      </c>
      <c r="M281">
        <v>18</v>
      </c>
      <c r="N281">
        <v>2</v>
      </c>
      <c r="O281">
        <v>0</v>
      </c>
      <c r="P281">
        <v>1.56</v>
      </c>
      <c r="Q281">
        <v>1.29</v>
      </c>
      <c r="R281" t="s">
        <v>51</v>
      </c>
    </row>
    <row r="282" spans="1:18" x14ac:dyDescent="0.25">
      <c r="A282" t="s">
        <v>464</v>
      </c>
      <c r="B282" s="1">
        <v>40564</v>
      </c>
      <c r="C282" s="1">
        <v>40570</v>
      </c>
      <c r="D282" t="s">
        <v>1</v>
      </c>
      <c r="E282" t="s">
        <v>458</v>
      </c>
      <c r="F282" t="s">
        <v>3</v>
      </c>
      <c r="G282" t="s">
        <v>465</v>
      </c>
      <c r="H282" t="s">
        <v>126</v>
      </c>
      <c r="I282" t="s">
        <v>127</v>
      </c>
      <c r="J282" t="s">
        <v>102</v>
      </c>
      <c r="K282" t="s">
        <v>7</v>
      </c>
      <c r="L282" t="s">
        <v>91</v>
      </c>
      <c r="M282">
        <v>23</v>
      </c>
      <c r="N282">
        <v>7</v>
      </c>
      <c r="O282">
        <v>0</v>
      </c>
      <c r="P282">
        <v>6.6584000000000003</v>
      </c>
      <c r="Q282">
        <v>1.22</v>
      </c>
      <c r="R282" t="s">
        <v>9</v>
      </c>
    </row>
    <row r="283" spans="1:18" x14ac:dyDescent="0.25">
      <c r="A283" t="s">
        <v>466</v>
      </c>
      <c r="B283" s="1">
        <v>40564</v>
      </c>
      <c r="C283" s="1">
        <v>40570</v>
      </c>
      <c r="D283" t="s">
        <v>1</v>
      </c>
      <c r="E283" t="s">
        <v>467</v>
      </c>
      <c r="F283" t="s">
        <v>3</v>
      </c>
      <c r="G283" t="s">
        <v>468</v>
      </c>
      <c r="H283" t="s">
        <v>126</v>
      </c>
      <c r="I283" t="s">
        <v>127</v>
      </c>
      <c r="J283" t="s">
        <v>76</v>
      </c>
      <c r="K283" t="s">
        <v>7</v>
      </c>
      <c r="L283" t="s">
        <v>137</v>
      </c>
      <c r="M283">
        <v>19</v>
      </c>
      <c r="N283">
        <v>5</v>
      </c>
      <c r="O283">
        <v>0</v>
      </c>
      <c r="P283">
        <v>8.9535</v>
      </c>
      <c r="Q283">
        <v>1.21</v>
      </c>
      <c r="R283" t="s">
        <v>9</v>
      </c>
    </row>
    <row r="284" spans="1:18" x14ac:dyDescent="0.25">
      <c r="A284" t="s">
        <v>466</v>
      </c>
      <c r="B284" s="1">
        <v>40564</v>
      </c>
      <c r="C284" s="1">
        <v>40570</v>
      </c>
      <c r="D284" t="s">
        <v>1</v>
      </c>
      <c r="E284" t="s">
        <v>467</v>
      </c>
      <c r="F284" t="s">
        <v>3</v>
      </c>
      <c r="G284" t="s">
        <v>468</v>
      </c>
      <c r="H284" t="s">
        <v>126</v>
      </c>
      <c r="I284" t="s">
        <v>127</v>
      </c>
      <c r="J284" t="s">
        <v>76</v>
      </c>
      <c r="K284" t="s">
        <v>7</v>
      </c>
      <c r="L284" t="s">
        <v>8</v>
      </c>
      <c r="M284">
        <v>14</v>
      </c>
      <c r="N284">
        <v>1</v>
      </c>
      <c r="O284">
        <v>0</v>
      </c>
      <c r="P284">
        <v>4.0541999999999998</v>
      </c>
      <c r="Q284">
        <v>1.1399999999999999</v>
      </c>
      <c r="R284" t="s">
        <v>9</v>
      </c>
    </row>
    <row r="285" spans="1:18" x14ac:dyDescent="0.25">
      <c r="A285" t="s">
        <v>478</v>
      </c>
      <c r="B285" s="1">
        <v>40564</v>
      </c>
      <c r="C285" s="1">
        <v>40569</v>
      </c>
      <c r="D285" t="s">
        <v>1</v>
      </c>
      <c r="E285" t="s">
        <v>479</v>
      </c>
      <c r="F285" t="s">
        <v>3</v>
      </c>
      <c r="G285" t="s">
        <v>191</v>
      </c>
      <c r="H285" t="s">
        <v>126</v>
      </c>
      <c r="I285" t="s">
        <v>127</v>
      </c>
      <c r="J285" t="s">
        <v>192</v>
      </c>
      <c r="K285" t="s">
        <v>7</v>
      </c>
      <c r="L285" t="s">
        <v>31</v>
      </c>
      <c r="M285">
        <v>19</v>
      </c>
      <c r="N285">
        <v>2</v>
      </c>
      <c r="O285">
        <v>0</v>
      </c>
      <c r="P285">
        <v>9.2927999999999997</v>
      </c>
      <c r="Q285">
        <v>0.94</v>
      </c>
      <c r="R285" t="s">
        <v>9</v>
      </c>
    </row>
    <row r="286" spans="1:18" x14ac:dyDescent="0.25">
      <c r="A286" t="s">
        <v>466</v>
      </c>
      <c r="B286" s="1">
        <v>40564</v>
      </c>
      <c r="C286" s="1">
        <v>40570</v>
      </c>
      <c r="D286" t="s">
        <v>1</v>
      </c>
      <c r="E286" t="s">
        <v>467</v>
      </c>
      <c r="F286" t="s">
        <v>3</v>
      </c>
      <c r="G286" t="s">
        <v>468</v>
      </c>
      <c r="H286" t="s">
        <v>126</v>
      </c>
      <c r="I286" t="s">
        <v>127</v>
      </c>
      <c r="J286" t="s">
        <v>76</v>
      </c>
      <c r="K286" t="s">
        <v>32</v>
      </c>
      <c r="L286" t="s">
        <v>33</v>
      </c>
      <c r="M286">
        <v>15</v>
      </c>
      <c r="N286">
        <v>3</v>
      </c>
      <c r="O286">
        <v>0</v>
      </c>
      <c r="P286">
        <v>4.8609</v>
      </c>
      <c r="Q286">
        <v>0.71</v>
      </c>
      <c r="R286" t="s">
        <v>9</v>
      </c>
    </row>
    <row r="287" spans="1:18" x14ac:dyDescent="0.25">
      <c r="A287" t="s">
        <v>478</v>
      </c>
      <c r="B287" s="1">
        <v>40564</v>
      </c>
      <c r="C287" s="1">
        <v>40569</v>
      </c>
      <c r="D287" t="s">
        <v>1</v>
      </c>
      <c r="E287" t="s">
        <v>479</v>
      </c>
      <c r="F287" t="s">
        <v>3</v>
      </c>
      <c r="G287" t="s">
        <v>191</v>
      </c>
      <c r="H287" t="s">
        <v>126</v>
      </c>
      <c r="I287" t="s">
        <v>127</v>
      </c>
      <c r="J287" t="s">
        <v>192</v>
      </c>
      <c r="K287" t="s">
        <v>32</v>
      </c>
      <c r="L287" t="s">
        <v>33</v>
      </c>
      <c r="M287">
        <v>19</v>
      </c>
      <c r="N287">
        <v>2</v>
      </c>
      <c r="O287">
        <v>0</v>
      </c>
      <c r="P287">
        <v>5.79</v>
      </c>
      <c r="Q287">
        <v>0.64</v>
      </c>
      <c r="R287" t="s">
        <v>9</v>
      </c>
    </row>
    <row r="288" spans="1:18" x14ac:dyDescent="0.25">
      <c r="A288" t="s">
        <v>464</v>
      </c>
      <c r="B288" s="1">
        <v>40564</v>
      </c>
      <c r="C288" s="1">
        <v>40570</v>
      </c>
      <c r="D288" t="s">
        <v>1</v>
      </c>
      <c r="E288" t="s">
        <v>458</v>
      </c>
      <c r="F288" t="s">
        <v>3</v>
      </c>
      <c r="G288" t="s">
        <v>465</v>
      </c>
      <c r="H288" t="s">
        <v>126</v>
      </c>
      <c r="I288" t="s">
        <v>127</v>
      </c>
      <c r="J288" t="s">
        <v>102</v>
      </c>
      <c r="K288" t="s">
        <v>7</v>
      </c>
      <c r="L288" t="s">
        <v>91</v>
      </c>
      <c r="M288">
        <v>7</v>
      </c>
      <c r="N288">
        <v>3</v>
      </c>
      <c r="O288">
        <v>0</v>
      </c>
      <c r="P288">
        <v>1.7901</v>
      </c>
      <c r="Q288">
        <v>0.47</v>
      </c>
      <c r="R288" t="s">
        <v>9</v>
      </c>
    </row>
    <row r="289" spans="1:18" x14ac:dyDescent="0.25">
      <c r="A289" t="s">
        <v>480</v>
      </c>
      <c r="B289" s="1">
        <v>40565</v>
      </c>
      <c r="C289" s="1">
        <v>40569</v>
      </c>
      <c r="D289" t="s">
        <v>1</v>
      </c>
      <c r="E289" t="s">
        <v>481</v>
      </c>
      <c r="F289" t="s">
        <v>26</v>
      </c>
      <c r="G289" t="s">
        <v>482</v>
      </c>
      <c r="H289" t="s">
        <v>298</v>
      </c>
      <c r="I289" t="s">
        <v>29</v>
      </c>
      <c r="J289" t="s">
        <v>102</v>
      </c>
      <c r="K289" t="s">
        <v>7</v>
      </c>
      <c r="L289" t="s">
        <v>8</v>
      </c>
      <c r="M289">
        <v>889</v>
      </c>
      <c r="N289">
        <v>7</v>
      </c>
      <c r="O289">
        <v>0.4</v>
      </c>
      <c r="P289">
        <v>59.22</v>
      </c>
      <c r="Q289">
        <v>96.45</v>
      </c>
      <c r="R289" t="s">
        <v>23</v>
      </c>
    </row>
    <row r="290" spans="1:18" x14ac:dyDescent="0.25">
      <c r="A290" t="s">
        <v>480</v>
      </c>
      <c r="B290" s="1">
        <v>40565</v>
      </c>
      <c r="C290" s="1">
        <v>40569</v>
      </c>
      <c r="D290" t="s">
        <v>1</v>
      </c>
      <c r="E290" t="s">
        <v>481</v>
      </c>
      <c r="F290" t="s">
        <v>26</v>
      </c>
      <c r="G290" t="s">
        <v>482</v>
      </c>
      <c r="H290" t="s">
        <v>298</v>
      </c>
      <c r="I290" t="s">
        <v>29</v>
      </c>
      <c r="J290" t="s">
        <v>102</v>
      </c>
      <c r="K290" t="s">
        <v>32</v>
      </c>
      <c r="L290" t="s">
        <v>67</v>
      </c>
      <c r="M290">
        <v>825</v>
      </c>
      <c r="N290">
        <v>2</v>
      </c>
      <c r="O290">
        <v>0</v>
      </c>
      <c r="P290">
        <v>338.34</v>
      </c>
      <c r="Q290">
        <v>77.08</v>
      </c>
      <c r="R290" t="s">
        <v>23</v>
      </c>
    </row>
    <row r="291" spans="1:18" x14ac:dyDescent="0.25">
      <c r="A291" t="s">
        <v>483</v>
      </c>
      <c r="B291" s="1">
        <v>40565</v>
      </c>
      <c r="C291" s="1">
        <v>40569</v>
      </c>
      <c r="D291" t="s">
        <v>1</v>
      </c>
      <c r="E291" t="s">
        <v>484</v>
      </c>
      <c r="F291" t="s">
        <v>26</v>
      </c>
      <c r="G291" t="s">
        <v>485</v>
      </c>
      <c r="H291" t="s">
        <v>486</v>
      </c>
      <c r="I291" t="s">
        <v>29</v>
      </c>
      <c r="J291" t="s">
        <v>76</v>
      </c>
      <c r="K291" t="s">
        <v>7</v>
      </c>
      <c r="L291" t="s">
        <v>8</v>
      </c>
      <c r="M291">
        <v>666</v>
      </c>
      <c r="N291">
        <v>5</v>
      </c>
      <c r="O291">
        <v>0</v>
      </c>
      <c r="P291">
        <v>119.85</v>
      </c>
      <c r="Q291">
        <v>73.27</v>
      </c>
      <c r="R291" t="s">
        <v>9</v>
      </c>
    </row>
    <row r="292" spans="1:18" x14ac:dyDescent="0.25">
      <c r="A292" t="s">
        <v>487</v>
      </c>
      <c r="B292" s="1">
        <v>40565</v>
      </c>
      <c r="C292" s="1">
        <v>40566</v>
      </c>
      <c r="D292" t="s">
        <v>142</v>
      </c>
      <c r="E292" t="s">
        <v>488</v>
      </c>
      <c r="F292" t="s">
        <v>3</v>
      </c>
      <c r="G292" t="s">
        <v>235</v>
      </c>
      <c r="H292" t="s">
        <v>13</v>
      </c>
      <c r="I292" t="s">
        <v>14</v>
      </c>
      <c r="J292" t="s">
        <v>15</v>
      </c>
      <c r="K292" t="s">
        <v>7</v>
      </c>
      <c r="L292" t="s">
        <v>91</v>
      </c>
      <c r="M292">
        <v>60</v>
      </c>
      <c r="N292">
        <v>6</v>
      </c>
      <c r="O292">
        <v>0.4</v>
      </c>
      <c r="P292">
        <v>-33.875999999999998</v>
      </c>
      <c r="Q292">
        <v>27.43</v>
      </c>
      <c r="R292" t="s">
        <v>45</v>
      </c>
    </row>
    <row r="293" spans="1:18" x14ac:dyDescent="0.25">
      <c r="A293" t="s">
        <v>489</v>
      </c>
      <c r="B293" s="1">
        <v>40565</v>
      </c>
      <c r="C293" s="1">
        <v>40567</v>
      </c>
      <c r="D293" t="s">
        <v>142</v>
      </c>
      <c r="E293" t="s">
        <v>490</v>
      </c>
      <c r="F293" t="s">
        <v>43</v>
      </c>
      <c r="G293" t="s">
        <v>491</v>
      </c>
      <c r="H293" t="s">
        <v>492</v>
      </c>
      <c r="I293" t="s">
        <v>6</v>
      </c>
      <c r="J293" t="s">
        <v>6</v>
      </c>
      <c r="K293" t="s">
        <v>7</v>
      </c>
      <c r="L293" t="s">
        <v>8</v>
      </c>
      <c r="M293">
        <v>95</v>
      </c>
      <c r="N293">
        <v>2</v>
      </c>
      <c r="O293">
        <v>0</v>
      </c>
      <c r="P293">
        <v>12.36</v>
      </c>
      <c r="Q293">
        <v>21.6</v>
      </c>
      <c r="R293" t="s">
        <v>23</v>
      </c>
    </row>
    <row r="294" spans="1:18" x14ac:dyDescent="0.25">
      <c r="A294" t="s">
        <v>493</v>
      </c>
      <c r="B294" s="1">
        <v>40565</v>
      </c>
      <c r="C294" s="1">
        <v>40569</v>
      </c>
      <c r="D294" t="s">
        <v>1</v>
      </c>
      <c r="E294" t="s">
        <v>494</v>
      </c>
      <c r="F294" t="s">
        <v>43</v>
      </c>
      <c r="G294" t="s">
        <v>495</v>
      </c>
      <c r="H294" t="s">
        <v>115</v>
      </c>
      <c r="I294" t="s">
        <v>29</v>
      </c>
      <c r="J294" t="s">
        <v>76</v>
      </c>
      <c r="K294" t="s">
        <v>7</v>
      </c>
      <c r="L294" t="s">
        <v>137</v>
      </c>
      <c r="M294">
        <v>202</v>
      </c>
      <c r="N294">
        <v>4</v>
      </c>
      <c r="O294">
        <v>0</v>
      </c>
      <c r="P294">
        <v>22.2</v>
      </c>
      <c r="Q294">
        <v>18.96</v>
      </c>
      <c r="R294" t="s">
        <v>9</v>
      </c>
    </row>
    <row r="295" spans="1:18" x14ac:dyDescent="0.25">
      <c r="A295" t="s">
        <v>496</v>
      </c>
      <c r="B295" s="1">
        <v>40565</v>
      </c>
      <c r="C295" s="1">
        <v>40570</v>
      </c>
      <c r="D295" t="s">
        <v>1</v>
      </c>
      <c r="E295" t="s">
        <v>497</v>
      </c>
      <c r="F295" t="s">
        <v>3</v>
      </c>
      <c r="G295" t="s">
        <v>498</v>
      </c>
      <c r="H295" t="s">
        <v>381</v>
      </c>
      <c r="I295" t="s">
        <v>75</v>
      </c>
      <c r="J295" t="s">
        <v>76</v>
      </c>
      <c r="K295" t="s">
        <v>32</v>
      </c>
      <c r="L295" t="s">
        <v>67</v>
      </c>
      <c r="M295">
        <v>259</v>
      </c>
      <c r="N295">
        <v>2</v>
      </c>
      <c r="O295">
        <v>0</v>
      </c>
      <c r="P295">
        <v>101.16</v>
      </c>
      <c r="Q295">
        <v>11.91</v>
      </c>
      <c r="R295" t="s">
        <v>9</v>
      </c>
    </row>
    <row r="296" spans="1:18" x14ac:dyDescent="0.25">
      <c r="A296" t="s">
        <v>499</v>
      </c>
      <c r="B296" s="1">
        <v>40565</v>
      </c>
      <c r="C296" s="1">
        <v>40569</v>
      </c>
      <c r="D296" t="s">
        <v>1</v>
      </c>
      <c r="E296" t="s">
        <v>500</v>
      </c>
      <c r="F296" t="s">
        <v>43</v>
      </c>
      <c r="G296" t="s">
        <v>501</v>
      </c>
      <c r="H296" t="s">
        <v>502</v>
      </c>
      <c r="I296" t="s">
        <v>75</v>
      </c>
      <c r="J296" t="s">
        <v>102</v>
      </c>
      <c r="K296" t="s">
        <v>32</v>
      </c>
      <c r="L296" t="s">
        <v>56</v>
      </c>
      <c r="M296">
        <v>219</v>
      </c>
      <c r="N296">
        <v>4</v>
      </c>
      <c r="O296">
        <v>0</v>
      </c>
      <c r="P296">
        <v>0</v>
      </c>
      <c r="Q296">
        <v>10.23</v>
      </c>
      <c r="R296" t="s">
        <v>9</v>
      </c>
    </row>
    <row r="297" spans="1:18" x14ac:dyDescent="0.25">
      <c r="A297" t="s">
        <v>499</v>
      </c>
      <c r="B297" s="1">
        <v>40565</v>
      </c>
      <c r="C297" s="1">
        <v>40569</v>
      </c>
      <c r="D297" t="s">
        <v>1</v>
      </c>
      <c r="E297" t="s">
        <v>500</v>
      </c>
      <c r="F297" t="s">
        <v>43</v>
      </c>
      <c r="G297" t="s">
        <v>501</v>
      </c>
      <c r="H297" t="s">
        <v>502</v>
      </c>
      <c r="I297" t="s">
        <v>75</v>
      </c>
      <c r="J297" t="s">
        <v>102</v>
      </c>
      <c r="K297" t="s">
        <v>38</v>
      </c>
      <c r="L297" t="s">
        <v>82</v>
      </c>
      <c r="M297">
        <v>109</v>
      </c>
      <c r="N297">
        <v>2</v>
      </c>
      <c r="O297">
        <v>0</v>
      </c>
      <c r="P297">
        <v>27.2</v>
      </c>
      <c r="Q297">
        <v>9</v>
      </c>
      <c r="R297" t="s">
        <v>9</v>
      </c>
    </row>
    <row r="298" spans="1:18" x14ac:dyDescent="0.25">
      <c r="A298" t="s">
        <v>480</v>
      </c>
      <c r="B298" s="1">
        <v>40565</v>
      </c>
      <c r="C298" s="1">
        <v>40569</v>
      </c>
      <c r="D298" t="s">
        <v>1</v>
      </c>
      <c r="E298" t="s">
        <v>481</v>
      </c>
      <c r="F298" t="s">
        <v>26</v>
      </c>
      <c r="G298" t="s">
        <v>482</v>
      </c>
      <c r="H298" t="s">
        <v>298</v>
      </c>
      <c r="I298" t="s">
        <v>29</v>
      </c>
      <c r="J298" t="s">
        <v>102</v>
      </c>
      <c r="K298" t="s">
        <v>7</v>
      </c>
      <c r="L298" t="s">
        <v>91</v>
      </c>
      <c r="M298">
        <v>54</v>
      </c>
      <c r="N298">
        <v>1</v>
      </c>
      <c r="O298">
        <v>0</v>
      </c>
      <c r="P298">
        <v>12.39</v>
      </c>
      <c r="Q298">
        <v>5.13</v>
      </c>
      <c r="R298" t="s">
        <v>23</v>
      </c>
    </row>
    <row r="299" spans="1:18" x14ac:dyDescent="0.25">
      <c r="A299" t="s">
        <v>493</v>
      </c>
      <c r="B299" s="1">
        <v>40565</v>
      </c>
      <c r="C299" s="1">
        <v>40569</v>
      </c>
      <c r="D299" t="s">
        <v>1</v>
      </c>
      <c r="E299" t="s">
        <v>494</v>
      </c>
      <c r="F299" t="s">
        <v>43</v>
      </c>
      <c r="G299" t="s">
        <v>495</v>
      </c>
      <c r="H299" t="s">
        <v>115</v>
      </c>
      <c r="I299" t="s">
        <v>29</v>
      </c>
      <c r="J299" t="s">
        <v>76</v>
      </c>
      <c r="K299" t="s">
        <v>38</v>
      </c>
      <c r="L299" t="s">
        <v>77</v>
      </c>
      <c r="M299">
        <v>65</v>
      </c>
      <c r="N299">
        <v>1</v>
      </c>
      <c r="O299">
        <v>0.15</v>
      </c>
      <c r="P299">
        <v>24.322500000000002</v>
      </c>
      <c r="Q299">
        <v>4.38</v>
      </c>
      <c r="R299" t="s">
        <v>9</v>
      </c>
    </row>
    <row r="300" spans="1:18" x14ac:dyDescent="0.25">
      <c r="A300" t="s">
        <v>503</v>
      </c>
      <c r="B300" s="1">
        <v>40565</v>
      </c>
      <c r="C300" s="1">
        <v>40567</v>
      </c>
      <c r="D300" t="s">
        <v>18</v>
      </c>
      <c r="E300" t="s">
        <v>504</v>
      </c>
      <c r="F300" t="s">
        <v>3</v>
      </c>
      <c r="G300" t="s">
        <v>505</v>
      </c>
      <c r="H300" t="s">
        <v>126</v>
      </c>
      <c r="I300" t="s">
        <v>127</v>
      </c>
      <c r="J300" t="s">
        <v>102</v>
      </c>
      <c r="K300" t="s">
        <v>32</v>
      </c>
      <c r="L300" t="s">
        <v>33</v>
      </c>
      <c r="M300">
        <v>25</v>
      </c>
      <c r="N300">
        <v>3</v>
      </c>
      <c r="O300">
        <v>0.2</v>
      </c>
      <c r="P300">
        <v>4.1028000000000002</v>
      </c>
      <c r="Q300">
        <v>3.64</v>
      </c>
      <c r="R300" t="s">
        <v>45</v>
      </c>
    </row>
    <row r="301" spans="1:18" x14ac:dyDescent="0.25">
      <c r="A301" t="s">
        <v>506</v>
      </c>
      <c r="B301" s="1">
        <v>40565</v>
      </c>
      <c r="C301" s="1">
        <v>40570</v>
      </c>
      <c r="D301" t="s">
        <v>1</v>
      </c>
      <c r="E301" t="s">
        <v>507</v>
      </c>
      <c r="F301" t="s">
        <v>43</v>
      </c>
      <c r="G301" t="s">
        <v>284</v>
      </c>
      <c r="H301" t="s">
        <v>285</v>
      </c>
      <c r="I301" t="s">
        <v>22</v>
      </c>
      <c r="J301" t="s">
        <v>22</v>
      </c>
      <c r="K301" t="s">
        <v>32</v>
      </c>
      <c r="L301" t="s">
        <v>33</v>
      </c>
      <c r="M301">
        <v>77</v>
      </c>
      <c r="N301">
        <v>4</v>
      </c>
      <c r="O301">
        <v>0.6</v>
      </c>
      <c r="P301">
        <v>-104.688</v>
      </c>
      <c r="Q301">
        <v>2.36</v>
      </c>
      <c r="R301" t="s">
        <v>9</v>
      </c>
    </row>
    <row r="302" spans="1:18" x14ac:dyDescent="0.25">
      <c r="A302" t="s">
        <v>487</v>
      </c>
      <c r="B302" s="1">
        <v>40565</v>
      </c>
      <c r="C302" s="1">
        <v>40566</v>
      </c>
      <c r="D302" t="s">
        <v>142</v>
      </c>
      <c r="E302" t="s">
        <v>488</v>
      </c>
      <c r="F302" t="s">
        <v>3</v>
      </c>
      <c r="G302" t="s">
        <v>235</v>
      </c>
      <c r="H302" t="s">
        <v>13</v>
      </c>
      <c r="I302" t="s">
        <v>14</v>
      </c>
      <c r="J302" t="s">
        <v>15</v>
      </c>
      <c r="K302" t="s">
        <v>7</v>
      </c>
      <c r="L302" t="s">
        <v>97</v>
      </c>
      <c r="M302">
        <v>6</v>
      </c>
      <c r="N302">
        <v>1</v>
      </c>
      <c r="O302">
        <v>0.4</v>
      </c>
      <c r="P302">
        <v>-3.9119999999999999</v>
      </c>
      <c r="Q302">
        <v>1.77</v>
      </c>
      <c r="R302" t="s">
        <v>45</v>
      </c>
    </row>
    <row r="303" spans="1:18" x14ac:dyDescent="0.25">
      <c r="A303" t="s">
        <v>483</v>
      </c>
      <c r="B303" s="1">
        <v>40565</v>
      </c>
      <c r="C303" s="1">
        <v>40569</v>
      </c>
      <c r="D303" t="s">
        <v>1</v>
      </c>
      <c r="E303" t="s">
        <v>484</v>
      </c>
      <c r="F303" t="s">
        <v>26</v>
      </c>
      <c r="G303" t="s">
        <v>485</v>
      </c>
      <c r="H303" t="s">
        <v>486</v>
      </c>
      <c r="I303" t="s">
        <v>29</v>
      </c>
      <c r="J303" t="s">
        <v>76</v>
      </c>
      <c r="K303" t="s">
        <v>7</v>
      </c>
      <c r="L303" t="s">
        <v>137</v>
      </c>
      <c r="M303">
        <v>12</v>
      </c>
      <c r="N303">
        <v>2</v>
      </c>
      <c r="O303">
        <v>0</v>
      </c>
      <c r="P303">
        <v>3.12</v>
      </c>
      <c r="Q303">
        <v>0.27</v>
      </c>
      <c r="R303" t="s">
        <v>9</v>
      </c>
    </row>
    <row r="304" spans="1:18" x14ac:dyDescent="0.25">
      <c r="A304" t="s">
        <v>508</v>
      </c>
      <c r="B304" s="1">
        <v>40566</v>
      </c>
      <c r="C304" s="1">
        <v>40566</v>
      </c>
      <c r="D304" t="s">
        <v>41</v>
      </c>
      <c r="E304" t="s">
        <v>509</v>
      </c>
      <c r="F304" t="s">
        <v>3</v>
      </c>
      <c r="G304" t="s">
        <v>459</v>
      </c>
      <c r="H304" t="s">
        <v>345</v>
      </c>
      <c r="I304" t="s">
        <v>75</v>
      </c>
      <c r="J304" t="s">
        <v>76</v>
      </c>
      <c r="K304" t="s">
        <v>32</v>
      </c>
      <c r="L304" t="s">
        <v>67</v>
      </c>
      <c r="M304" s="2">
        <v>1102</v>
      </c>
      <c r="N304">
        <v>4</v>
      </c>
      <c r="O304">
        <v>0</v>
      </c>
      <c r="P304">
        <v>198.32</v>
      </c>
      <c r="Q304">
        <v>146.12</v>
      </c>
      <c r="R304" t="s">
        <v>9</v>
      </c>
    </row>
    <row r="305" spans="1:18" x14ac:dyDescent="0.25">
      <c r="A305" t="s">
        <v>508</v>
      </c>
      <c r="B305" s="1">
        <v>40566</v>
      </c>
      <c r="C305" s="1">
        <v>40566</v>
      </c>
      <c r="D305" t="s">
        <v>41</v>
      </c>
      <c r="E305" t="s">
        <v>509</v>
      </c>
      <c r="F305" t="s">
        <v>3</v>
      </c>
      <c r="G305" t="s">
        <v>459</v>
      </c>
      <c r="H305" t="s">
        <v>345</v>
      </c>
      <c r="I305" t="s">
        <v>75</v>
      </c>
      <c r="J305" t="s">
        <v>76</v>
      </c>
      <c r="K305" t="s">
        <v>32</v>
      </c>
      <c r="L305" t="s">
        <v>56</v>
      </c>
      <c r="M305">
        <v>920</v>
      </c>
      <c r="N305">
        <v>3</v>
      </c>
      <c r="O305">
        <v>0</v>
      </c>
      <c r="P305">
        <v>395.76</v>
      </c>
      <c r="Q305">
        <v>45.77</v>
      </c>
      <c r="R305" t="s">
        <v>9</v>
      </c>
    </row>
    <row r="306" spans="1:18" x14ac:dyDescent="0.25">
      <c r="A306" t="s">
        <v>508</v>
      </c>
      <c r="B306" s="1">
        <v>40566</v>
      </c>
      <c r="C306" s="1">
        <v>40566</v>
      </c>
      <c r="D306" t="s">
        <v>41</v>
      </c>
      <c r="E306" t="s">
        <v>509</v>
      </c>
      <c r="F306" t="s">
        <v>3</v>
      </c>
      <c r="G306" t="s">
        <v>459</v>
      </c>
      <c r="H306" t="s">
        <v>345</v>
      </c>
      <c r="I306" t="s">
        <v>75</v>
      </c>
      <c r="J306" t="s">
        <v>76</v>
      </c>
      <c r="K306" t="s">
        <v>7</v>
      </c>
      <c r="L306" t="s">
        <v>16</v>
      </c>
      <c r="M306">
        <v>48</v>
      </c>
      <c r="N306">
        <v>2</v>
      </c>
      <c r="O306">
        <v>0</v>
      </c>
      <c r="P306">
        <v>15.8</v>
      </c>
      <c r="Q306">
        <v>5.55</v>
      </c>
      <c r="R306" t="s">
        <v>9</v>
      </c>
    </row>
    <row r="307" spans="1:18" x14ac:dyDescent="0.25">
      <c r="A307" t="s">
        <v>508</v>
      </c>
      <c r="B307" s="1">
        <v>40566</v>
      </c>
      <c r="C307" s="1">
        <v>40566</v>
      </c>
      <c r="D307" t="s">
        <v>41</v>
      </c>
      <c r="E307" t="s">
        <v>509</v>
      </c>
      <c r="F307" t="s">
        <v>3</v>
      </c>
      <c r="G307" t="s">
        <v>459</v>
      </c>
      <c r="H307" t="s">
        <v>345</v>
      </c>
      <c r="I307" t="s">
        <v>75</v>
      </c>
      <c r="J307" t="s">
        <v>76</v>
      </c>
      <c r="K307" t="s">
        <v>7</v>
      </c>
      <c r="L307" t="s">
        <v>87</v>
      </c>
      <c r="M307">
        <v>26</v>
      </c>
      <c r="N307">
        <v>3</v>
      </c>
      <c r="O307">
        <v>0</v>
      </c>
      <c r="P307">
        <v>9.7799999999999994</v>
      </c>
      <c r="Q307">
        <v>3.61</v>
      </c>
      <c r="R307" t="s">
        <v>9</v>
      </c>
    </row>
    <row r="308" spans="1:18" x14ac:dyDescent="0.25">
      <c r="A308" t="s">
        <v>508</v>
      </c>
      <c r="B308" s="1">
        <v>40566</v>
      </c>
      <c r="C308" s="1">
        <v>40566</v>
      </c>
      <c r="D308" t="s">
        <v>41</v>
      </c>
      <c r="E308" t="s">
        <v>509</v>
      </c>
      <c r="F308" t="s">
        <v>3</v>
      </c>
      <c r="G308" t="s">
        <v>459</v>
      </c>
      <c r="H308" t="s">
        <v>345</v>
      </c>
      <c r="I308" t="s">
        <v>75</v>
      </c>
      <c r="J308" t="s">
        <v>76</v>
      </c>
      <c r="K308" t="s">
        <v>7</v>
      </c>
      <c r="L308" t="s">
        <v>31</v>
      </c>
      <c r="M308">
        <v>24</v>
      </c>
      <c r="N308">
        <v>2</v>
      </c>
      <c r="O308">
        <v>0</v>
      </c>
      <c r="P308">
        <v>1.64</v>
      </c>
      <c r="Q308">
        <v>3.27</v>
      </c>
      <c r="R308" t="s">
        <v>9</v>
      </c>
    </row>
    <row r="309" spans="1:18" x14ac:dyDescent="0.25">
      <c r="A309" t="s">
        <v>510</v>
      </c>
      <c r="B309" s="1">
        <v>40566</v>
      </c>
      <c r="C309" s="1">
        <v>40570</v>
      </c>
      <c r="D309" t="s">
        <v>1</v>
      </c>
      <c r="E309" t="s">
        <v>511</v>
      </c>
      <c r="F309" t="s">
        <v>26</v>
      </c>
      <c r="G309" t="s">
        <v>512</v>
      </c>
      <c r="H309" t="s">
        <v>410</v>
      </c>
      <c r="I309" t="s">
        <v>22</v>
      </c>
      <c r="J309" t="s">
        <v>22</v>
      </c>
      <c r="K309" t="s">
        <v>7</v>
      </c>
      <c r="L309" t="s">
        <v>97</v>
      </c>
      <c r="M309">
        <v>34</v>
      </c>
      <c r="N309">
        <v>2</v>
      </c>
      <c r="O309">
        <v>0</v>
      </c>
      <c r="P309">
        <v>12.36</v>
      </c>
      <c r="Q309">
        <v>1.91</v>
      </c>
      <c r="R309" t="s">
        <v>9</v>
      </c>
    </row>
    <row r="310" spans="1:18" x14ac:dyDescent="0.25">
      <c r="A310" t="s">
        <v>510</v>
      </c>
      <c r="B310" s="1">
        <v>40566</v>
      </c>
      <c r="C310" s="1">
        <v>40570</v>
      </c>
      <c r="D310" t="s">
        <v>1</v>
      </c>
      <c r="E310" t="s">
        <v>511</v>
      </c>
      <c r="F310" t="s">
        <v>26</v>
      </c>
      <c r="G310" t="s">
        <v>512</v>
      </c>
      <c r="H310" t="s">
        <v>410</v>
      </c>
      <c r="I310" t="s">
        <v>22</v>
      </c>
      <c r="J310" t="s">
        <v>22</v>
      </c>
      <c r="K310" t="s">
        <v>7</v>
      </c>
      <c r="L310" t="s">
        <v>137</v>
      </c>
      <c r="M310">
        <v>9</v>
      </c>
      <c r="N310">
        <v>1</v>
      </c>
      <c r="O310">
        <v>0</v>
      </c>
      <c r="P310">
        <v>1.59</v>
      </c>
      <c r="Q310">
        <v>0.57999999999999996</v>
      </c>
      <c r="R310" t="s">
        <v>9</v>
      </c>
    </row>
    <row r="311" spans="1:18" x14ac:dyDescent="0.25">
      <c r="A311" t="s">
        <v>513</v>
      </c>
      <c r="B311" s="1">
        <v>40567</v>
      </c>
      <c r="C311" s="1">
        <v>40567</v>
      </c>
      <c r="D311" t="s">
        <v>41</v>
      </c>
      <c r="E311" t="s">
        <v>428</v>
      </c>
      <c r="F311" t="s">
        <v>43</v>
      </c>
      <c r="G311" t="s">
        <v>514</v>
      </c>
      <c r="H311" t="s">
        <v>515</v>
      </c>
      <c r="I311" t="s">
        <v>22</v>
      </c>
      <c r="J311" t="s">
        <v>22</v>
      </c>
      <c r="K311" t="s">
        <v>38</v>
      </c>
      <c r="L311" t="s">
        <v>77</v>
      </c>
      <c r="M311" s="2">
        <v>1303</v>
      </c>
      <c r="N311">
        <v>2</v>
      </c>
      <c r="O311">
        <v>0</v>
      </c>
      <c r="P311">
        <v>286.56</v>
      </c>
      <c r="Q311">
        <v>234.73</v>
      </c>
      <c r="R311" t="s">
        <v>9</v>
      </c>
    </row>
    <row r="312" spans="1:18" x14ac:dyDescent="0.25">
      <c r="A312" t="s">
        <v>513</v>
      </c>
      <c r="B312" s="1">
        <v>40567</v>
      </c>
      <c r="C312" s="1">
        <v>40567</v>
      </c>
      <c r="D312" t="s">
        <v>41</v>
      </c>
      <c r="E312" t="s">
        <v>428</v>
      </c>
      <c r="F312" t="s">
        <v>43</v>
      </c>
      <c r="G312" t="s">
        <v>514</v>
      </c>
      <c r="H312" t="s">
        <v>515</v>
      </c>
      <c r="I312" t="s">
        <v>22</v>
      </c>
      <c r="J312" t="s">
        <v>22</v>
      </c>
      <c r="K312" t="s">
        <v>7</v>
      </c>
      <c r="L312" t="s">
        <v>44</v>
      </c>
      <c r="M312">
        <v>561</v>
      </c>
      <c r="N312">
        <v>1</v>
      </c>
      <c r="O312">
        <v>0</v>
      </c>
      <c r="P312">
        <v>61.68</v>
      </c>
      <c r="Q312">
        <v>133.57</v>
      </c>
      <c r="R312" t="s">
        <v>9</v>
      </c>
    </row>
    <row r="313" spans="1:18" x14ac:dyDescent="0.25">
      <c r="A313" t="s">
        <v>516</v>
      </c>
      <c r="B313" s="1">
        <v>40567</v>
      </c>
      <c r="C313" s="1">
        <v>40572</v>
      </c>
      <c r="D313" t="s">
        <v>1</v>
      </c>
      <c r="E313" t="s">
        <v>517</v>
      </c>
      <c r="F313" t="s">
        <v>43</v>
      </c>
      <c r="G313" t="s">
        <v>471</v>
      </c>
      <c r="H313" t="s">
        <v>305</v>
      </c>
      <c r="I313" t="s">
        <v>29</v>
      </c>
      <c r="J313" t="s">
        <v>76</v>
      </c>
      <c r="K313" t="s">
        <v>38</v>
      </c>
      <c r="L313" t="s">
        <v>50</v>
      </c>
      <c r="M313">
        <v>591</v>
      </c>
      <c r="N313">
        <v>2</v>
      </c>
      <c r="O313">
        <v>0</v>
      </c>
      <c r="P313">
        <v>53.16</v>
      </c>
      <c r="Q313">
        <v>66.099999999999994</v>
      </c>
      <c r="R313" t="s">
        <v>9</v>
      </c>
    </row>
    <row r="314" spans="1:18" x14ac:dyDescent="0.25">
      <c r="A314" t="s">
        <v>518</v>
      </c>
      <c r="B314" s="1">
        <v>40567</v>
      </c>
      <c r="C314" s="1">
        <v>40569</v>
      </c>
      <c r="D314" t="s">
        <v>142</v>
      </c>
      <c r="E314" t="s">
        <v>519</v>
      </c>
      <c r="F314" t="s">
        <v>3</v>
      </c>
      <c r="G314" t="s">
        <v>520</v>
      </c>
      <c r="H314" t="s">
        <v>298</v>
      </c>
      <c r="I314" t="s">
        <v>29</v>
      </c>
      <c r="J314" t="s">
        <v>102</v>
      </c>
      <c r="K314" t="s">
        <v>32</v>
      </c>
      <c r="L314" t="s">
        <v>56</v>
      </c>
      <c r="M314">
        <v>73</v>
      </c>
      <c r="N314">
        <v>1</v>
      </c>
      <c r="O314">
        <v>0.6</v>
      </c>
      <c r="P314">
        <v>-56.561999999999998</v>
      </c>
      <c r="Q314">
        <v>29.86</v>
      </c>
      <c r="R314" t="s">
        <v>45</v>
      </c>
    </row>
    <row r="315" spans="1:18" x14ac:dyDescent="0.25">
      <c r="A315" t="s">
        <v>521</v>
      </c>
      <c r="B315" s="1">
        <v>40567</v>
      </c>
      <c r="C315" s="1">
        <v>40573</v>
      </c>
      <c r="D315" t="s">
        <v>1</v>
      </c>
      <c r="E315" t="s">
        <v>522</v>
      </c>
      <c r="F315" t="s">
        <v>3</v>
      </c>
      <c r="G315" t="s">
        <v>523</v>
      </c>
      <c r="H315" t="s">
        <v>49</v>
      </c>
      <c r="I315" t="s">
        <v>14</v>
      </c>
      <c r="J315" t="s">
        <v>15</v>
      </c>
      <c r="K315" t="s">
        <v>7</v>
      </c>
      <c r="L315" t="s">
        <v>96</v>
      </c>
      <c r="M315">
        <v>420</v>
      </c>
      <c r="N315">
        <v>14</v>
      </c>
      <c r="O315">
        <v>0</v>
      </c>
      <c r="P315">
        <v>147</v>
      </c>
      <c r="Q315">
        <v>20.03</v>
      </c>
      <c r="R315" t="s">
        <v>9</v>
      </c>
    </row>
    <row r="316" spans="1:18" x14ac:dyDescent="0.25">
      <c r="A316" t="s">
        <v>521</v>
      </c>
      <c r="B316" s="1">
        <v>40567</v>
      </c>
      <c r="C316" s="1">
        <v>40573</v>
      </c>
      <c r="D316" t="s">
        <v>1</v>
      </c>
      <c r="E316" t="s">
        <v>522</v>
      </c>
      <c r="F316" t="s">
        <v>3</v>
      </c>
      <c r="G316" t="s">
        <v>523</v>
      </c>
      <c r="H316" t="s">
        <v>49</v>
      </c>
      <c r="I316" t="s">
        <v>14</v>
      </c>
      <c r="J316" t="s">
        <v>15</v>
      </c>
      <c r="K316" t="s">
        <v>32</v>
      </c>
      <c r="L316" t="s">
        <v>33</v>
      </c>
      <c r="M316">
        <v>220</v>
      </c>
      <c r="N316">
        <v>2</v>
      </c>
      <c r="O316">
        <v>0</v>
      </c>
      <c r="P316">
        <v>8.76</v>
      </c>
      <c r="Q316">
        <v>16.920000000000002</v>
      </c>
      <c r="R316" t="s">
        <v>9</v>
      </c>
    </row>
    <row r="317" spans="1:18" x14ac:dyDescent="0.25">
      <c r="A317" t="s">
        <v>513</v>
      </c>
      <c r="B317" s="1">
        <v>40567</v>
      </c>
      <c r="C317" s="1">
        <v>40567</v>
      </c>
      <c r="D317" t="s">
        <v>41</v>
      </c>
      <c r="E317" t="s">
        <v>428</v>
      </c>
      <c r="F317" t="s">
        <v>43</v>
      </c>
      <c r="G317" t="s">
        <v>514</v>
      </c>
      <c r="H317" t="s">
        <v>515</v>
      </c>
      <c r="I317" t="s">
        <v>22</v>
      </c>
      <c r="J317" t="s">
        <v>22</v>
      </c>
      <c r="K317" t="s">
        <v>32</v>
      </c>
      <c r="L317" t="s">
        <v>56</v>
      </c>
      <c r="M317">
        <v>133</v>
      </c>
      <c r="N317">
        <v>1</v>
      </c>
      <c r="O317">
        <v>0</v>
      </c>
      <c r="P317">
        <v>63.87</v>
      </c>
      <c r="Q317">
        <v>15.16</v>
      </c>
      <c r="R317" t="s">
        <v>9</v>
      </c>
    </row>
    <row r="318" spans="1:18" x14ac:dyDescent="0.25">
      <c r="A318" t="s">
        <v>518</v>
      </c>
      <c r="B318" s="1">
        <v>40567</v>
      </c>
      <c r="C318" s="1">
        <v>40569</v>
      </c>
      <c r="D318" t="s">
        <v>142</v>
      </c>
      <c r="E318" t="s">
        <v>519</v>
      </c>
      <c r="F318" t="s">
        <v>3</v>
      </c>
      <c r="G318" t="s">
        <v>520</v>
      </c>
      <c r="H318" t="s">
        <v>298</v>
      </c>
      <c r="I318" t="s">
        <v>29</v>
      </c>
      <c r="J318" t="s">
        <v>102</v>
      </c>
      <c r="K318" t="s">
        <v>32</v>
      </c>
      <c r="L318" t="s">
        <v>56</v>
      </c>
      <c r="M318">
        <v>69</v>
      </c>
      <c r="N318">
        <v>3</v>
      </c>
      <c r="O318">
        <v>0.6</v>
      </c>
      <c r="P318">
        <v>-95.201999999999998</v>
      </c>
      <c r="Q318">
        <v>12.7</v>
      </c>
      <c r="R318" t="s">
        <v>45</v>
      </c>
    </row>
    <row r="319" spans="1:18" x14ac:dyDescent="0.25">
      <c r="A319" t="s">
        <v>521</v>
      </c>
      <c r="B319" s="1">
        <v>40567</v>
      </c>
      <c r="C319" s="1">
        <v>40573</v>
      </c>
      <c r="D319" t="s">
        <v>1</v>
      </c>
      <c r="E319" t="s">
        <v>522</v>
      </c>
      <c r="F319" t="s">
        <v>3</v>
      </c>
      <c r="G319" t="s">
        <v>523</v>
      </c>
      <c r="H319" t="s">
        <v>49</v>
      </c>
      <c r="I319" t="s">
        <v>14</v>
      </c>
      <c r="J319" t="s">
        <v>15</v>
      </c>
      <c r="K319" t="s">
        <v>7</v>
      </c>
      <c r="L319" t="s">
        <v>91</v>
      </c>
      <c r="M319">
        <v>139</v>
      </c>
      <c r="N319">
        <v>8</v>
      </c>
      <c r="O319">
        <v>0</v>
      </c>
      <c r="P319">
        <v>65.28</v>
      </c>
      <c r="Q319">
        <v>11.94</v>
      </c>
      <c r="R319" t="s">
        <v>9</v>
      </c>
    </row>
    <row r="320" spans="1:18" x14ac:dyDescent="0.25">
      <c r="A320" t="s">
        <v>518</v>
      </c>
      <c r="B320" s="1">
        <v>40567</v>
      </c>
      <c r="C320" s="1">
        <v>40569</v>
      </c>
      <c r="D320" t="s">
        <v>142</v>
      </c>
      <c r="E320" t="s">
        <v>519</v>
      </c>
      <c r="F320" t="s">
        <v>3</v>
      </c>
      <c r="G320" t="s">
        <v>520</v>
      </c>
      <c r="H320" t="s">
        <v>298</v>
      </c>
      <c r="I320" t="s">
        <v>29</v>
      </c>
      <c r="J320" t="s">
        <v>102</v>
      </c>
      <c r="K320" t="s">
        <v>7</v>
      </c>
      <c r="L320" t="s">
        <v>31</v>
      </c>
      <c r="M320">
        <v>55</v>
      </c>
      <c r="N320">
        <v>3</v>
      </c>
      <c r="O320">
        <v>0</v>
      </c>
      <c r="P320">
        <v>2.7</v>
      </c>
      <c r="Q320">
        <v>11.16</v>
      </c>
      <c r="R320" t="s">
        <v>45</v>
      </c>
    </row>
    <row r="321" spans="1:18" x14ac:dyDescent="0.25">
      <c r="A321" t="s">
        <v>524</v>
      </c>
      <c r="B321" s="1">
        <v>40567</v>
      </c>
      <c r="C321" s="1">
        <v>40572</v>
      </c>
      <c r="D321" t="s">
        <v>1</v>
      </c>
      <c r="E321" t="s">
        <v>525</v>
      </c>
      <c r="F321" t="s">
        <v>3</v>
      </c>
      <c r="G321" t="s">
        <v>526</v>
      </c>
      <c r="H321" t="s">
        <v>13</v>
      </c>
      <c r="I321" t="s">
        <v>14</v>
      </c>
      <c r="J321" t="s">
        <v>15</v>
      </c>
      <c r="K321" t="s">
        <v>38</v>
      </c>
      <c r="L321" t="s">
        <v>82</v>
      </c>
      <c r="M321">
        <v>111</v>
      </c>
      <c r="N321">
        <v>3</v>
      </c>
      <c r="O321">
        <v>0.1</v>
      </c>
      <c r="P321">
        <v>8.5679999999999996</v>
      </c>
      <c r="Q321">
        <v>9.92</v>
      </c>
      <c r="R321" t="s">
        <v>9</v>
      </c>
    </row>
    <row r="322" spans="1:18" x14ac:dyDescent="0.25">
      <c r="A322" t="s">
        <v>518</v>
      </c>
      <c r="B322" s="1">
        <v>40567</v>
      </c>
      <c r="C322" s="1">
        <v>40569</v>
      </c>
      <c r="D322" t="s">
        <v>142</v>
      </c>
      <c r="E322" t="s">
        <v>519</v>
      </c>
      <c r="F322" t="s">
        <v>3</v>
      </c>
      <c r="G322" t="s">
        <v>520</v>
      </c>
      <c r="H322" t="s">
        <v>298</v>
      </c>
      <c r="I322" t="s">
        <v>29</v>
      </c>
      <c r="J322" t="s">
        <v>102</v>
      </c>
      <c r="K322" t="s">
        <v>7</v>
      </c>
      <c r="L322" t="s">
        <v>97</v>
      </c>
      <c r="M322">
        <v>41</v>
      </c>
      <c r="N322">
        <v>4</v>
      </c>
      <c r="O322">
        <v>0</v>
      </c>
      <c r="P322">
        <v>2.88</v>
      </c>
      <c r="Q322">
        <v>5.24</v>
      </c>
      <c r="R322" t="s">
        <v>45</v>
      </c>
    </row>
    <row r="323" spans="1:18" x14ac:dyDescent="0.25">
      <c r="A323" t="s">
        <v>518</v>
      </c>
      <c r="B323" s="1">
        <v>40567</v>
      </c>
      <c r="C323" s="1">
        <v>40569</v>
      </c>
      <c r="D323" t="s">
        <v>142</v>
      </c>
      <c r="E323" t="s">
        <v>519</v>
      </c>
      <c r="F323" t="s">
        <v>3</v>
      </c>
      <c r="G323" t="s">
        <v>520</v>
      </c>
      <c r="H323" t="s">
        <v>298</v>
      </c>
      <c r="I323" t="s">
        <v>29</v>
      </c>
      <c r="J323" t="s">
        <v>102</v>
      </c>
      <c r="K323" t="s">
        <v>7</v>
      </c>
      <c r="L323" t="s">
        <v>87</v>
      </c>
      <c r="M323">
        <v>54</v>
      </c>
      <c r="N323">
        <v>5</v>
      </c>
      <c r="O323">
        <v>0</v>
      </c>
      <c r="P323">
        <v>7.5</v>
      </c>
      <c r="Q323">
        <v>4.72</v>
      </c>
      <c r="R323" t="s">
        <v>45</v>
      </c>
    </row>
    <row r="324" spans="1:18" x14ac:dyDescent="0.25">
      <c r="A324" t="s">
        <v>527</v>
      </c>
      <c r="B324" s="1">
        <v>40567</v>
      </c>
      <c r="C324" s="1">
        <v>40572</v>
      </c>
      <c r="D324" t="s">
        <v>1</v>
      </c>
      <c r="E324" t="s">
        <v>528</v>
      </c>
      <c r="F324" t="s">
        <v>3</v>
      </c>
      <c r="G324" t="s">
        <v>529</v>
      </c>
      <c r="H324" t="s">
        <v>126</v>
      </c>
      <c r="I324" t="s">
        <v>127</v>
      </c>
      <c r="J324" t="s">
        <v>192</v>
      </c>
      <c r="K324" t="s">
        <v>7</v>
      </c>
      <c r="L324" t="s">
        <v>31</v>
      </c>
      <c r="M324">
        <v>40</v>
      </c>
      <c r="N324">
        <v>6</v>
      </c>
      <c r="O324">
        <v>0</v>
      </c>
      <c r="P324">
        <v>19.238399999999999</v>
      </c>
      <c r="Q324">
        <v>4.3099999999999996</v>
      </c>
      <c r="R324" t="s">
        <v>9</v>
      </c>
    </row>
    <row r="325" spans="1:18" x14ac:dyDescent="0.25">
      <c r="A325" t="s">
        <v>530</v>
      </c>
      <c r="B325" s="1">
        <v>40567</v>
      </c>
      <c r="C325" s="1">
        <v>40573</v>
      </c>
      <c r="D325" t="s">
        <v>1</v>
      </c>
      <c r="E325" t="s">
        <v>531</v>
      </c>
      <c r="F325" t="s">
        <v>26</v>
      </c>
      <c r="G325" t="s">
        <v>532</v>
      </c>
      <c r="H325" t="s">
        <v>280</v>
      </c>
      <c r="I325" t="s">
        <v>14</v>
      </c>
      <c r="J325" t="s">
        <v>281</v>
      </c>
      <c r="K325" t="s">
        <v>7</v>
      </c>
      <c r="L325" t="s">
        <v>87</v>
      </c>
      <c r="M325">
        <v>59</v>
      </c>
      <c r="N325">
        <v>5</v>
      </c>
      <c r="O325">
        <v>0</v>
      </c>
      <c r="P325">
        <v>27.75</v>
      </c>
      <c r="Q325">
        <v>4.2699999999999996</v>
      </c>
      <c r="R325" t="s">
        <v>9</v>
      </c>
    </row>
    <row r="326" spans="1:18" x14ac:dyDescent="0.25">
      <c r="A326" t="s">
        <v>533</v>
      </c>
      <c r="B326" s="1">
        <v>40567</v>
      </c>
      <c r="C326" s="1">
        <v>40573</v>
      </c>
      <c r="D326" t="s">
        <v>1</v>
      </c>
      <c r="E326" t="s">
        <v>534</v>
      </c>
      <c r="F326" t="s">
        <v>3</v>
      </c>
      <c r="G326" t="s">
        <v>535</v>
      </c>
      <c r="H326" t="s">
        <v>536</v>
      </c>
      <c r="I326" t="s">
        <v>6</v>
      </c>
      <c r="J326" t="s">
        <v>6</v>
      </c>
      <c r="K326" t="s">
        <v>7</v>
      </c>
      <c r="L326" t="s">
        <v>87</v>
      </c>
      <c r="M326">
        <v>42</v>
      </c>
      <c r="N326">
        <v>6</v>
      </c>
      <c r="O326">
        <v>0</v>
      </c>
      <c r="P326">
        <v>9.18</v>
      </c>
      <c r="Q326">
        <v>3.57</v>
      </c>
      <c r="R326" t="s">
        <v>9</v>
      </c>
    </row>
    <row r="327" spans="1:18" x14ac:dyDescent="0.25">
      <c r="A327" t="s">
        <v>537</v>
      </c>
      <c r="B327" s="1">
        <v>40567</v>
      </c>
      <c r="C327" s="1">
        <v>40569</v>
      </c>
      <c r="D327" t="s">
        <v>18</v>
      </c>
      <c r="E327" t="s">
        <v>538</v>
      </c>
      <c r="F327" t="s">
        <v>26</v>
      </c>
      <c r="G327" t="s">
        <v>417</v>
      </c>
      <c r="H327" t="s">
        <v>298</v>
      </c>
      <c r="I327" t="s">
        <v>29</v>
      </c>
      <c r="J327" t="s">
        <v>102</v>
      </c>
      <c r="K327" t="s">
        <v>7</v>
      </c>
      <c r="L327" t="s">
        <v>91</v>
      </c>
      <c r="M327">
        <v>28</v>
      </c>
      <c r="N327">
        <v>1</v>
      </c>
      <c r="O327">
        <v>0</v>
      </c>
      <c r="P327">
        <v>4.1399999999999997</v>
      </c>
      <c r="Q327">
        <v>3.33</v>
      </c>
      <c r="R327" t="s">
        <v>23</v>
      </c>
    </row>
    <row r="328" spans="1:18" x14ac:dyDescent="0.25">
      <c r="A328" t="s">
        <v>539</v>
      </c>
      <c r="B328" s="1">
        <v>40567</v>
      </c>
      <c r="C328" s="1">
        <v>40572</v>
      </c>
      <c r="D328" t="s">
        <v>1</v>
      </c>
      <c r="E328" t="s">
        <v>540</v>
      </c>
      <c r="F328" t="s">
        <v>3</v>
      </c>
      <c r="G328" t="s">
        <v>541</v>
      </c>
      <c r="H328" t="s">
        <v>157</v>
      </c>
      <c r="I328" t="s">
        <v>14</v>
      </c>
      <c r="J328" t="s">
        <v>61</v>
      </c>
      <c r="K328" t="s">
        <v>7</v>
      </c>
      <c r="L328" t="s">
        <v>137</v>
      </c>
      <c r="M328">
        <v>12</v>
      </c>
      <c r="N328">
        <v>3</v>
      </c>
      <c r="O328">
        <v>0.17</v>
      </c>
      <c r="P328">
        <v>4.2272999999999996</v>
      </c>
      <c r="Q328">
        <v>1.2</v>
      </c>
      <c r="R328" t="s">
        <v>9</v>
      </c>
    </row>
    <row r="329" spans="1:18" x14ac:dyDescent="0.25">
      <c r="A329" t="s">
        <v>542</v>
      </c>
      <c r="B329" s="1">
        <v>40567</v>
      </c>
      <c r="C329" s="1">
        <v>40571</v>
      </c>
      <c r="D329" t="s">
        <v>1</v>
      </c>
      <c r="E329" t="s">
        <v>543</v>
      </c>
      <c r="F329" t="s">
        <v>3</v>
      </c>
      <c r="G329" t="s">
        <v>544</v>
      </c>
      <c r="H329" t="s">
        <v>126</v>
      </c>
      <c r="I329" t="s">
        <v>127</v>
      </c>
      <c r="J329" t="s">
        <v>76</v>
      </c>
      <c r="K329" t="s">
        <v>7</v>
      </c>
      <c r="L329" t="s">
        <v>97</v>
      </c>
      <c r="M329">
        <v>6</v>
      </c>
      <c r="N329">
        <v>3</v>
      </c>
      <c r="O329">
        <v>0</v>
      </c>
      <c r="P329">
        <v>0</v>
      </c>
      <c r="Q329">
        <v>0.95</v>
      </c>
      <c r="R329" t="s">
        <v>23</v>
      </c>
    </row>
    <row r="330" spans="1:18" x14ac:dyDescent="0.25">
      <c r="A330" t="s">
        <v>545</v>
      </c>
      <c r="B330" s="1">
        <v>40567</v>
      </c>
      <c r="C330" s="1">
        <v>40571</v>
      </c>
      <c r="D330" t="s">
        <v>1</v>
      </c>
      <c r="E330" t="s">
        <v>546</v>
      </c>
      <c r="F330" t="s">
        <v>3</v>
      </c>
      <c r="G330" t="s">
        <v>547</v>
      </c>
      <c r="H330" t="s">
        <v>285</v>
      </c>
      <c r="I330" t="s">
        <v>22</v>
      </c>
      <c r="J330" t="s">
        <v>22</v>
      </c>
      <c r="K330" t="s">
        <v>7</v>
      </c>
      <c r="L330" t="s">
        <v>97</v>
      </c>
      <c r="M330">
        <v>15</v>
      </c>
      <c r="N330">
        <v>2</v>
      </c>
      <c r="O330">
        <v>0.6</v>
      </c>
      <c r="P330">
        <v>-3.84</v>
      </c>
      <c r="Q330">
        <v>0.94</v>
      </c>
      <c r="R330" t="s">
        <v>9</v>
      </c>
    </row>
    <row r="331" spans="1:18" x14ac:dyDescent="0.25">
      <c r="A331" t="s">
        <v>516</v>
      </c>
      <c r="B331" s="1">
        <v>40567</v>
      </c>
      <c r="C331" s="1">
        <v>40572</v>
      </c>
      <c r="D331" t="s">
        <v>1</v>
      </c>
      <c r="E331" t="s">
        <v>517</v>
      </c>
      <c r="F331" t="s">
        <v>43</v>
      </c>
      <c r="G331" t="s">
        <v>471</v>
      </c>
      <c r="H331" t="s">
        <v>305</v>
      </c>
      <c r="I331" t="s">
        <v>29</v>
      </c>
      <c r="J331" t="s">
        <v>76</v>
      </c>
      <c r="K331" t="s">
        <v>7</v>
      </c>
      <c r="L331" t="s">
        <v>137</v>
      </c>
      <c r="M331">
        <v>11</v>
      </c>
      <c r="N331">
        <v>1</v>
      </c>
      <c r="O331">
        <v>0</v>
      </c>
      <c r="P331">
        <v>4.1100000000000003</v>
      </c>
      <c r="Q331">
        <v>0.62</v>
      </c>
      <c r="R331" t="s">
        <v>9</v>
      </c>
    </row>
    <row r="332" spans="1:18" x14ac:dyDescent="0.25">
      <c r="A332" t="s">
        <v>548</v>
      </c>
      <c r="B332" s="1">
        <v>40568</v>
      </c>
      <c r="C332" s="1">
        <v>40572</v>
      </c>
      <c r="D332" t="s">
        <v>1</v>
      </c>
      <c r="E332" t="s">
        <v>549</v>
      </c>
      <c r="F332" t="s">
        <v>3</v>
      </c>
      <c r="G332" t="s">
        <v>550</v>
      </c>
      <c r="H332" t="s">
        <v>115</v>
      </c>
      <c r="I332" t="s">
        <v>29</v>
      </c>
      <c r="J332" t="s">
        <v>76</v>
      </c>
      <c r="K332" t="s">
        <v>7</v>
      </c>
      <c r="L332" t="s">
        <v>91</v>
      </c>
      <c r="M332">
        <v>445</v>
      </c>
      <c r="N332">
        <v>9</v>
      </c>
      <c r="O332">
        <v>0</v>
      </c>
      <c r="P332">
        <v>71.010000000000005</v>
      </c>
      <c r="Q332">
        <v>33.54</v>
      </c>
      <c r="R332" t="s">
        <v>9</v>
      </c>
    </row>
    <row r="333" spans="1:18" x14ac:dyDescent="0.25">
      <c r="A333" t="s">
        <v>551</v>
      </c>
      <c r="B333" s="1">
        <v>40568</v>
      </c>
      <c r="C333" s="1">
        <v>40571</v>
      </c>
      <c r="D333" t="s">
        <v>18</v>
      </c>
      <c r="E333" t="s">
        <v>552</v>
      </c>
      <c r="F333" t="s">
        <v>3</v>
      </c>
      <c r="G333" t="s">
        <v>553</v>
      </c>
      <c r="H333" t="s">
        <v>223</v>
      </c>
      <c r="I333" t="s">
        <v>6</v>
      </c>
      <c r="J333" t="s">
        <v>6</v>
      </c>
      <c r="K333" t="s">
        <v>38</v>
      </c>
      <c r="L333" t="s">
        <v>39</v>
      </c>
      <c r="M333">
        <v>148</v>
      </c>
      <c r="N333">
        <v>6</v>
      </c>
      <c r="O333">
        <v>0.7</v>
      </c>
      <c r="P333">
        <v>-182.178</v>
      </c>
      <c r="Q333">
        <v>18.61</v>
      </c>
      <c r="R333" t="s">
        <v>9</v>
      </c>
    </row>
    <row r="334" spans="1:18" x14ac:dyDescent="0.25">
      <c r="A334" t="s">
        <v>554</v>
      </c>
      <c r="B334" s="1">
        <v>40568</v>
      </c>
      <c r="C334" s="1">
        <v>40573</v>
      </c>
      <c r="D334" t="s">
        <v>1</v>
      </c>
      <c r="E334" t="s">
        <v>555</v>
      </c>
      <c r="F334" t="s">
        <v>3</v>
      </c>
      <c r="G334" t="s">
        <v>153</v>
      </c>
      <c r="H334" t="s">
        <v>115</v>
      </c>
      <c r="I334" t="s">
        <v>29</v>
      </c>
      <c r="J334" t="s">
        <v>76</v>
      </c>
      <c r="K334" t="s">
        <v>7</v>
      </c>
      <c r="L334" t="s">
        <v>91</v>
      </c>
      <c r="M334">
        <v>178</v>
      </c>
      <c r="N334">
        <v>7</v>
      </c>
      <c r="O334">
        <v>0</v>
      </c>
      <c r="P334">
        <v>58.59</v>
      </c>
      <c r="Q334">
        <v>16.940000000000001</v>
      </c>
      <c r="R334" t="s">
        <v>9</v>
      </c>
    </row>
    <row r="335" spans="1:18" x14ac:dyDescent="0.25">
      <c r="A335" t="s">
        <v>556</v>
      </c>
      <c r="B335" s="1">
        <v>40568</v>
      </c>
      <c r="C335" s="1">
        <v>40575</v>
      </c>
      <c r="D335" t="s">
        <v>1</v>
      </c>
      <c r="E335" t="s">
        <v>557</v>
      </c>
      <c r="F335" t="s">
        <v>43</v>
      </c>
      <c r="G335" t="s">
        <v>471</v>
      </c>
      <c r="H335" t="s">
        <v>305</v>
      </c>
      <c r="I335" t="s">
        <v>29</v>
      </c>
      <c r="J335" t="s">
        <v>76</v>
      </c>
      <c r="K335" t="s">
        <v>7</v>
      </c>
      <c r="L335" t="s">
        <v>137</v>
      </c>
      <c r="M335">
        <v>133</v>
      </c>
      <c r="N335">
        <v>10</v>
      </c>
      <c r="O335">
        <v>0</v>
      </c>
      <c r="P335">
        <v>3.9</v>
      </c>
      <c r="Q335">
        <v>8.94</v>
      </c>
      <c r="R335" t="s">
        <v>9</v>
      </c>
    </row>
    <row r="336" spans="1:18" x14ac:dyDescent="0.25">
      <c r="A336" t="s">
        <v>548</v>
      </c>
      <c r="B336" s="1">
        <v>40568</v>
      </c>
      <c r="C336" s="1">
        <v>40572</v>
      </c>
      <c r="D336" t="s">
        <v>1</v>
      </c>
      <c r="E336" t="s">
        <v>549</v>
      </c>
      <c r="F336" t="s">
        <v>3</v>
      </c>
      <c r="G336" t="s">
        <v>550</v>
      </c>
      <c r="H336" t="s">
        <v>115</v>
      </c>
      <c r="I336" t="s">
        <v>29</v>
      </c>
      <c r="J336" t="s">
        <v>76</v>
      </c>
      <c r="K336" t="s">
        <v>7</v>
      </c>
      <c r="L336" t="s">
        <v>91</v>
      </c>
      <c r="M336">
        <v>71</v>
      </c>
      <c r="N336">
        <v>5</v>
      </c>
      <c r="O336">
        <v>0</v>
      </c>
      <c r="P336">
        <v>1.35</v>
      </c>
      <c r="Q336">
        <v>6.64</v>
      </c>
      <c r="R336" t="s">
        <v>9</v>
      </c>
    </row>
    <row r="337" spans="1:18" x14ac:dyDescent="0.25">
      <c r="A337" t="s">
        <v>558</v>
      </c>
      <c r="B337" s="1">
        <v>40568</v>
      </c>
      <c r="C337" s="1">
        <v>40569</v>
      </c>
      <c r="D337" t="s">
        <v>142</v>
      </c>
      <c r="E337" t="s">
        <v>559</v>
      </c>
      <c r="F337" t="s">
        <v>26</v>
      </c>
      <c r="G337" t="s">
        <v>560</v>
      </c>
      <c r="H337" t="s">
        <v>259</v>
      </c>
      <c r="I337" t="s">
        <v>6</v>
      </c>
      <c r="J337" t="s">
        <v>6</v>
      </c>
      <c r="K337" t="s">
        <v>7</v>
      </c>
      <c r="L337" t="s">
        <v>91</v>
      </c>
      <c r="M337">
        <v>45</v>
      </c>
      <c r="N337">
        <v>4</v>
      </c>
      <c r="O337">
        <v>0</v>
      </c>
      <c r="P337">
        <v>10.44</v>
      </c>
      <c r="Q337">
        <v>6.53</v>
      </c>
      <c r="R337" t="s">
        <v>23</v>
      </c>
    </row>
    <row r="338" spans="1:18" x14ac:dyDescent="0.25">
      <c r="A338" t="s">
        <v>561</v>
      </c>
      <c r="B338" s="1">
        <v>40568</v>
      </c>
      <c r="C338" s="1">
        <v>40572</v>
      </c>
      <c r="D338" t="s">
        <v>1</v>
      </c>
      <c r="E338" t="s">
        <v>343</v>
      </c>
      <c r="F338" t="s">
        <v>43</v>
      </c>
      <c r="G338" t="s">
        <v>140</v>
      </c>
      <c r="H338" t="s">
        <v>106</v>
      </c>
      <c r="I338" t="s">
        <v>75</v>
      </c>
      <c r="J338" t="s">
        <v>30</v>
      </c>
      <c r="K338" t="s">
        <v>7</v>
      </c>
      <c r="L338" t="s">
        <v>96</v>
      </c>
      <c r="M338">
        <v>32</v>
      </c>
      <c r="N338">
        <v>2</v>
      </c>
      <c r="O338">
        <v>0</v>
      </c>
      <c r="P338">
        <v>10.119999999999999</v>
      </c>
      <c r="Q338">
        <v>4.45</v>
      </c>
      <c r="R338" t="s">
        <v>23</v>
      </c>
    </row>
    <row r="339" spans="1:18" x14ac:dyDescent="0.25">
      <c r="A339" t="s">
        <v>562</v>
      </c>
      <c r="B339" s="1">
        <v>40568</v>
      </c>
      <c r="C339" s="1">
        <v>40570</v>
      </c>
      <c r="D339" t="s">
        <v>142</v>
      </c>
      <c r="E339" t="s">
        <v>563</v>
      </c>
      <c r="F339" t="s">
        <v>3</v>
      </c>
      <c r="G339" t="s">
        <v>564</v>
      </c>
      <c r="H339" t="s">
        <v>169</v>
      </c>
      <c r="I339" t="s">
        <v>14</v>
      </c>
      <c r="J339" t="s">
        <v>132</v>
      </c>
      <c r="K339" t="s">
        <v>7</v>
      </c>
      <c r="L339" t="s">
        <v>31</v>
      </c>
      <c r="M339">
        <v>98</v>
      </c>
      <c r="N339">
        <v>2</v>
      </c>
      <c r="O339">
        <v>0</v>
      </c>
      <c r="P339">
        <v>34.32</v>
      </c>
      <c r="Q339">
        <v>3.17</v>
      </c>
      <c r="R339" t="s">
        <v>23</v>
      </c>
    </row>
    <row r="340" spans="1:18" x14ac:dyDescent="0.25">
      <c r="A340" t="s">
        <v>565</v>
      </c>
      <c r="B340" s="1">
        <v>40568</v>
      </c>
      <c r="C340" s="1">
        <v>40572</v>
      </c>
      <c r="D340" t="s">
        <v>18</v>
      </c>
      <c r="E340" t="s">
        <v>566</v>
      </c>
      <c r="F340" t="s">
        <v>3</v>
      </c>
      <c r="G340" t="s">
        <v>567</v>
      </c>
      <c r="H340" t="s">
        <v>110</v>
      </c>
      <c r="I340" t="s">
        <v>75</v>
      </c>
      <c r="J340" t="s">
        <v>111</v>
      </c>
      <c r="K340" t="s">
        <v>7</v>
      </c>
      <c r="L340" t="s">
        <v>31</v>
      </c>
      <c r="M340">
        <v>18</v>
      </c>
      <c r="N340">
        <v>1</v>
      </c>
      <c r="O340">
        <v>0</v>
      </c>
      <c r="P340">
        <v>5.98</v>
      </c>
      <c r="Q340">
        <v>1.76</v>
      </c>
      <c r="R340" t="s">
        <v>9</v>
      </c>
    </row>
    <row r="341" spans="1:18" x14ac:dyDescent="0.25">
      <c r="A341" t="s">
        <v>556</v>
      </c>
      <c r="B341" s="1">
        <v>40568</v>
      </c>
      <c r="C341" s="1">
        <v>40575</v>
      </c>
      <c r="D341" t="s">
        <v>1</v>
      </c>
      <c r="E341" t="s">
        <v>557</v>
      </c>
      <c r="F341" t="s">
        <v>43</v>
      </c>
      <c r="G341" t="s">
        <v>471</v>
      </c>
      <c r="H341" t="s">
        <v>305</v>
      </c>
      <c r="I341" t="s">
        <v>29</v>
      </c>
      <c r="J341" t="s">
        <v>76</v>
      </c>
      <c r="K341" t="s">
        <v>32</v>
      </c>
      <c r="L341" t="s">
        <v>33</v>
      </c>
      <c r="M341">
        <v>20</v>
      </c>
      <c r="N341">
        <v>1</v>
      </c>
      <c r="O341">
        <v>0</v>
      </c>
      <c r="P341">
        <v>4.0199999999999996</v>
      </c>
      <c r="Q341">
        <v>1.1499999999999999</v>
      </c>
      <c r="R341" t="s">
        <v>9</v>
      </c>
    </row>
    <row r="342" spans="1:18" x14ac:dyDescent="0.25">
      <c r="A342" t="s">
        <v>551</v>
      </c>
      <c r="B342" s="1">
        <v>40568</v>
      </c>
      <c r="C342" s="1">
        <v>40571</v>
      </c>
      <c r="D342" t="s">
        <v>18</v>
      </c>
      <c r="E342" t="s">
        <v>552</v>
      </c>
      <c r="F342" t="s">
        <v>3</v>
      </c>
      <c r="G342" t="s">
        <v>553</v>
      </c>
      <c r="H342" t="s">
        <v>223</v>
      </c>
      <c r="I342" t="s">
        <v>6</v>
      </c>
      <c r="J342" t="s">
        <v>6</v>
      </c>
      <c r="K342" t="s">
        <v>7</v>
      </c>
      <c r="L342" t="s">
        <v>91</v>
      </c>
      <c r="M342">
        <v>4</v>
      </c>
      <c r="N342">
        <v>1</v>
      </c>
      <c r="O342">
        <v>0.7</v>
      </c>
      <c r="P342">
        <v>-9</v>
      </c>
      <c r="Q342">
        <v>0.28000000000000003</v>
      </c>
      <c r="R342" t="s">
        <v>9</v>
      </c>
    </row>
    <row r="343" spans="1:18" x14ac:dyDescent="0.25">
      <c r="A343" t="s">
        <v>568</v>
      </c>
      <c r="B343" s="1">
        <v>40569</v>
      </c>
      <c r="C343" s="1">
        <v>40570</v>
      </c>
      <c r="D343" t="s">
        <v>142</v>
      </c>
      <c r="E343" t="s">
        <v>569</v>
      </c>
      <c r="F343" t="s">
        <v>43</v>
      </c>
      <c r="G343" t="s">
        <v>271</v>
      </c>
      <c r="H343" t="s">
        <v>157</v>
      </c>
      <c r="I343" t="s">
        <v>14</v>
      </c>
      <c r="J343" t="s">
        <v>61</v>
      </c>
      <c r="K343" t="s">
        <v>32</v>
      </c>
      <c r="L343" t="s">
        <v>56</v>
      </c>
      <c r="M343">
        <v>334</v>
      </c>
      <c r="N343">
        <v>1</v>
      </c>
      <c r="O343">
        <v>0.27</v>
      </c>
      <c r="P343">
        <v>-109.9365</v>
      </c>
      <c r="Q343">
        <v>92.67</v>
      </c>
      <c r="R343" t="s">
        <v>23</v>
      </c>
    </row>
    <row r="344" spans="1:18" x14ac:dyDescent="0.25">
      <c r="A344" t="s">
        <v>570</v>
      </c>
      <c r="B344" s="1">
        <v>40569</v>
      </c>
      <c r="C344" s="1">
        <v>40574</v>
      </c>
      <c r="D344" t="s">
        <v>1</v>
      </c>
      <c r="E344" t="s">
        <v>571</v>
      </c>
      <c r="F344" t="s">
        <v>3</v>
      </c>
      <c r="G344" t="s">
        <v>572</v>
      </c>
      <c r="H344" t="s">
        <v>285</v>
      </c>
      <c r="I344" t="s">
        <v>22</v>
      </c>
      <c r="J344" t="s">
        <v>22</v>
      </c>
      <c r="K344" t="s">
        <v>32</v>
      </c>
      <c r="L344" t="s">
        <v>56</v>
      </c>
      <c r="M344" s="2">
        <v>1113</v>
      </c>
      <c r="N344">
        <v>6</v>
      </c>
      <c r="O344">
        <v>0.6</v>
      </c>
      <c r="P344">
        <v>-1475.3520000000001</v>
      </c>
      <c r="Q344">
        <v>47.35</v>
      </c>
      <c r="R344" t="s">
        <v>9</v>
      </c>
    </row>
    <row r="345" spans="1:18" x14ac:dyDescent="0.25">
      <c r="A345" t="s">
        <v>573</v>
      </c>
      <c r="B345" s="1">
        <v>40569</v>
      </c>
      <c r="C345" s="1">
        <v>40573</v>
      </c>
      <c r="D345" t="s">
        <v>1</v>
      </c>
      <c r="E345" t="s">
        <v>574</v>
      </c>
      <c r="F345" t="s">
        <v>43</v>
      </c>
      <c r="G345" t="s">
        <v>575</v>
      </c>
      <c r="H345" t="s">
        <v>576</v>
      </c>
      <c r="I345" t="s">
        <v>29</v>
      </c>
      <c r="J345" t="s">
        <v>102</v>
      </c>
      <c r="K345" t="s">
        <v>38</v>
      </c>
      <c r="L345" t="s">
        <v>50</v>
      </c>
      <c r="M345">
        <v>570</v>
      </c>
      <c r="N345">
        <v>3</v>
      </c>
      <c r="O345">
        <v>0.5</v>
      </c>
      <c r="P345">
        <v>-216.76499999999999</v>
      </c>
      <c r="Q345">
        <v>33.99</v>
      </c>
      <c r="R345" t="s">
        <v>9</v>
      </c>
    </row>
    <row r="346" spans="1:18" x14ac:dyDescent="0.25">
      <c r="A346" t="s">
        <v>577</v>
      </c>
      <c r="B346" s="1">
        <v>40569</v>
      </c>
      <c r="C346" s="1">
        <v>40574</v>
      </c>
      <c r="D346" t="s">
        <v>1</v>
      </c>
      <c r="E346" t="s">
        <v>578</v>
      </c>
      <c r="F346" t="s">
        <v>3</v>
      </c>
      <c r="G346" t="s">
        <v>579</v>
      </c>
      <c r="H346" t="s">
        <v>580</v>
      </c>
      <c r="I346" t="s">
        <v>6</v>
      </c>
      <c r="J346" t="s">
        <v>6</v>
      </c>
      <c r="K346" t="s">
        <v>38</v>
      </c>
      <c r="L346" t="s">
        <v>39</v>
      </c>
      <c r="M346">
        <v>311</v>
      </c>
      <c r="N346">
        <v>1</v>
      </c>
      <c r="O346">
        <v>0</v>
      </c>
      <c r="P346">
        <v>118.02</v>
      </c>
      <c r="Q346">
        <v>27.7</v>
      </c>
      <c r="R346" t="s">
        <v>23</v>
      </c>
    </row>
    <row r="347" spans="1:18" x14ac:dyDescent="0.25">
      <c r="A347" t="s">
        <v>581</v>
      </c>
      <c r="B347" s="1">
        <v>40569</v>
      </c>
      <c r="C347" s="1">
        <v>40573</v>
      </c>
      <c r="D347" t="s">
        <v>1</v>
      </c>
      <c r="E347" t="s">
        <v>461</v>
      </c>
      <c r="F347" t="s">
        <v>43</v>
      </c>
      <c r="G347" t="s">
        <v>582</v>
      </c>
      <c r="H347" t="s">
        <v>583</v>
      </c>
      <c r="I347" t="s">
        <v>6</v>
      </c>
      <c r="J347" t="s">
        <v>6</v>
      </c>
      <c r="K347" t="s">
        <v>7</v>
      </c>
      <c r="L347" t="s">
        <v>44</v>
      </c>
      <c r="M347">
        <v>285</v>
      </c>
      <c r="N347">
        <v>4</v>
      </c>
      <c r="O347">
        <v>0</v>
      </c>
      <c r="P347">
        <v>59.76</v>
      </c>
      <c r="Q347">
        <v>25.63</v>
      </c>
      <c r="R347" t="s">
        <v>9</v>
      </c>
    </row>
    <row r="348" spans="1:18" x14ac:dyDescent="0.25">
      <c r="A348" t="s">
        <v>584</v>
      </c>
      <c r="B348" s="1">
        <v>40569</v>
      </c>
      <c r="C348" s="1">
        <v>40569</v>
      </c>
      <c r="D348" t="s">
        <v>41</v>
      </c>
      <c r="E348" t="s">
        <v>585</v>
      </c>
      <c r="F348" t="s">
        <v>3</v>
      </c>
      <c r="G348" t="s">
        <v>495</v>
      </c>
      <c r="H348" t="s">
        <v>115</v>
      </c>
      <c r="I348" t="s">
        <v>29</v>
      </c>
      <c r="J348" t="s">
        <v>76</v>
      </c>
      <c r="K348" t="s">
        <v>32</v>
      </c>
      <c r="L348" t="s">
        <v>67</v>
      </c>
      <c r="M348">
        <v>119</v>
      </c>
      <c r="N348">
        <v>2</v>
      </c>
      <c r="O348">
        <v>0.6</v>
      </c>
      <c r="P348">
        <v>-143.07599999999999</v>
      </c>
      <c r="Q348">
        <v>24.75</v>
      </c>
      <c r="R348" t="s">
        <v>9</v>
      </c>
    </row>
    <row r="349" spans="1:18" x14ac:dyDescent="0.25">
      <c r="A349" t="s">
        <v>570</v>
      </c>
      <c r="B349" s="1">
        <v>40569</v>
      </c>
      <c r="C349" s="1">
        <v>40574</v>
      </c>
      <c r="D349" t="s">
        <v>1</v>
      </c>
      <c r="E349" t="s">
        <v>571</v>
      </c>
      <c r="F349" t="s">
        <v>3</v>
      </c>
      <c r="G349" t="s">
        <v>572</v>
      </c>
      <c r="H349" t="s">
        <v>285</v>
      </c>
      <c r="I349" t="s">
        <v>22</v>
      </c>
      <c r="J349" t="s">
        <v>22</v>
      </c>
      <c r="K349" t="s">
        <v>7</v>
      </c>
      <c r="L349" t="s">
        <v>8</v>
      </c>
      <c r="M349">
        <v>318</v>
      </c>
      <c r="N349">
        <v>4</v>
      </c>
      <c r="O349">
        <v>0.6</v>
      </c>
      <c r="P349">
        <v>-254.64</v>
      </c>
      <c r="Q349">
        <v>19.93</v>
      </c>
      <c r="R349" t="s">
        <v>9</v>
      </c>
    </row>
    <row r="350" spans="1:18" x14ac:dyDescent="0.25">
      <c r="A350" t="s">
        <v>586</v>
      </c>
      <c r="B350" s="1">
        <v>40569</v>
      </c>
      <c r="C350" s="1">
        <v>40571</v>
      </c>
      <c r="D350" t="s">
        <v>142</v>
      </c>
      <c r="E350" t="s">
        <v>587</v>
      </c>
      <c r="F350" t="s">
        <v>26</v>
      </c>
      <c r="G350" t="s">
        <v>588</v>
      </c>
      <c r="H350" t="s">
        <v>81</v>
      </c>
      <c r="I350" t="s">
        <v>22</v>
      </c>
      <c r="J350" t="s">
        <v>22</v>
      </c>
      <c r="K350" t="s">
        <v>38</v>
      </c>
      <c r="L350" t="s">
        <v>82</v>
      </c>
      <c r="M350">
        <v>256</v>
      </c>
      <c r="N350">
        <v>1</v>
      </c>
      <c r="O350">
        <v>0</v>
      </c>
      <c r="P350">
        <v>102.45</v>
      </c>
      <c r="Q350">
        <v>19.7</v>
      </c>
      <c r="R350" t="s">
        <v>23</v>
      </c>
    </row>
    <row r="351" spans="1:18" x14ac:dyDescent="0.25">
      <c r="A351" t="s">
        <v>577</v>
      </c>
      <c r="B351" s="1">
        <v>40569</v>
      </c>
      <c r="C351" s="1">
        <v>40574</v>
      </c>
      <c r="D351" t="s">
        <v>1</v>
      </c>
      <c r="E351" t="s">
        <v>578</v>
      </c>
      <c r="F351" t="s">
        <v>3</v>
      </c>
      <c r="G351" t="s">
        <v>579</v>
      </c>
      <c r="H351" t="s">
        <v>580</v>
      </c>
      <c r="I351" t="s">
        <v>6</v>
      </c>
      <c r="J351" t="s">
        <v>6</v>
      </c>
      <c r="K351" t="s">
        <v>38</v>
      </c>
      <c r="L351" t="s">
        <v>50</v>
      </c>
      <c r="M351">
        <v>124</v>
      </c>
      <c r="N351">
        <v>1</v>
      </c>
      <c r="O351">
        <v>0</v>
      </c>
      <c r="P351">
        <v>42.24</v>
      </c>
      <c r="Q351">
        <v>17.14</v>
      </c>
      <c r="R351" t="s">
        <v>23</v>
      </c>
    </row>
    <row r="352" spans="1:18" x14ac:dyDescent="0.25">
      <c r="A352" t="s">
        <v>589</v>
      </c>
      <c r="B352" s="1">
        <v>40569</v>
      </c>
      <c r="C352" s="1">
        <v>40571</v>
      </c>
      <c r="D352" t="s">
        <v>18</v>
      </c>
      <c r="E352" t="s">
        <v>590</v>
      </c>
      <c r="F352" t="s">
        <v>26</v>
      </c>
      <c r="G352" t="s">
        <v>591</v>
      </c>
      <c r="H352" t="s">
        <v>280</v>
      </c>
      <c r="I352" t="s">
        <v>14</v>
      </c>
      <c r="J352" t="s">
        <v>281</v>
      </c>
      <c r="K352" t="s">
        <v>7</v>
      </c>
      <c r="L352" t="s">
        <v>31</v>
      </c>
      <c r="M352">
        <v>79</v>
      </c>
      <c r="N352">
        <v>3</v>
      </c>
      <c r="O352">
        <v>0</v>
      </c>
      <c r="P352">
        <v>25.38</v>
      </c>
      <c r="Q352">
        <v>13.82</v>
      </c>
      <c r="R352" t="s">
        <v>23</v>
      </c>
    </row>
    <row r="353" spans="1:18" x14ac:dyDescent="0.25">
      <c r="A353" t="s">
        <v>592</v>
      </c>
      <c r="B353" s="1">
        <v>40569</v>
      </c>
      <c r="C353" s="1">
        <v>40575</v>
      </c>
      <c r="D353" t="s">
        <v>1</v>
      </c>
      <c r="E353" t="s">
        <v>593</v>
      </c>
      <c r="F353" t="s">
        <v>3</v>
      </c>
      <c r="G353" t="s">
        <v>591</v>
      </c>
      <c r="H353" t="s">
        <v>280</v>
      </c>
      <c r="I353" t="s">
        <v>14</v>
      </c>
      <c r="J353" t="s">
        <v>281</v>
      </c>
      <c r="K353" t="s">
        <v>7</v>
      </c>
      <c r="L353" t="s">
        <v>91</v>
      </c>
      <c r="M353">
        <v>343</v>
      </c>
      <c r="N353">
        <v>7</v>
      </c>
      <c r="O353">
        <v>0</v>
      </c>
      <c r="P353">
        <v>54.6</v>
      </c>
      <c r="Q353">
        <v>13.22</v>
      </c>
      <c r="R353" t="s">
        <v>51</v>
      </c>
    </row>
    <row r="354" spans="1:18" x14ac:dyDescent="0.25">
      <c r="A354" t="s">
        <v>594</v>
      </c>
      <c r="B354" s="1">
        <v>40569</v>
      </c>
      <c r="C354" s="1">
        <v>40572</v>
      </c>
      <c r="D354" t="s">
        <v>18</v>
      </c>
      <c r="E354" t="s">
        <v>595</v>
      </c>
      <c r="F354" t="s">
        <v>3</v>
      </c>
      <c r="G354" t="s">
        <v>596</v>
      </c>
      <c r="H354" t="s">
        <v>115</v>
      </c>
      <c r="I354" t="s">
        <v>29</v>
      </c>
      <c r="J354" t="s">
        <v>76</v>
      </c>
      <c r="K354" t="s">
        <v>7</v>
      </c>
      <c r="L354" t="s">
        <v>16</v>
      </c>
      <c r="M354">
        <v>345</v>
      </c>
      <c r="N354">
        <v>9</v>
      </c>
      <c r="O354">
        <v>0</v>
      </c>
      <c r="P354">
        <v>162.27000000000001</v>
      </c>
      <c r="Q354">
        <v>12.46</v>
      </c>
      <c r="R354" t="s">
        <v>9</v>
      </c>
    </row>
    <row r="355" spans="1:18" x14ac:dyDescent="0.25">
      <c r="A355" t="s">
        <v>597</v>
      </c>
      <c r="B355" s="1">
        <v>40569</v>
      </c>
      <c r="C355" s="1">
        <v>40574</v>
      </c>
      <c r="D355" t="s">
        <v>1</v>
      </c>
      <c r="E355" t="s">
        <v>598</v>
      </c>
      <c r="F355" t="s">
        <v>3</v>
      </c>
      <c r="G355" t="s">
        <v>599</v>
      </c>
      <c r="H355" t="s">
        <v>157</v>
      </c>
      <c r="I355" t="s">
        <v>14</v>
      </c>
      <c r="J355" t="s">
        <v>61</v>
      </c>
      <c r="K355" t="s">
        <v>7</v>
      </c>
      <c r="L355" t="s">
        <v>8</v>
      </c>
      <c r="M355">
        <v>142</v>
      </c>
      <c r="N355">
        <v>3</v>
      </c>
      <c r="O355">
        <v>0.17</v>
      </c>
      <c r="P355">
        <v>51.165900000000001</v>
      </c>
      <c r="Q355">
        <v>12.24</v>
      </c>
      <c r="R355" t="s">
        <v>9</v>
      </c>
    </row>
    <row r="356" spans="1:18" x14ac:dyDescent="0.25">
      <c r="A356" t="s">
        <v>570</v>
      </c>
      <c r="B356" s="1">
        <v>40569</v>
      </c>
      <c r="C356" s="1">
        <v>40574</v>
      </c>
      <c r="D356" t="s">
        <v>1</v>
      </c>
      <c r="E356" t="s">
        <v>571</v>
      </c>
      <c r="F356" t="s">
        <v>3</v>
      </c>
      <c r="G356" t="s">
        <v>572</v>
      </c>
      <c r="H356" t="s">
        <v>285</v>
      </c>
      <c r="I356" t="s">
        <v>22</v>
      </c>
      <c r="J356" t="s">
        <v>22</v>
      </c>
      <c r="K356" t="s">
        <v>7</v>
      </c>
      <c r="L356" t="s">
        <v>44</v>
      </c>
      <c r="M356">
        <v>115</v>
      </c>
      <c r="N356">
        <v>4</v>
      </c>
      <c r="O356">
        <v>0.6</v>
      </c>
      <c r="P356">
        <v>-68.975999999999999</v>
      </c>
      <c r="Q356">
        <v>11.17</v>
      </c>
      <c r="R356" t="s">
        <v>9</v>
      </c>
    </row>
    <row r="357" spans="1:18" x14ac:dyDescent="0.25">
      <c r="A357" t="s">
        <v>594</v>
      </c>
      <c r="B357" s="1">
        <v>40569</v>
      </c>
      <c r="C357" s="1">
        <v>40572</v>
      </c>
      <c r="D357" t="s">
        <v>18</v>
      </c>
      <c r="E357" t="s">
        <v>595</v>
      </c>
      <c r="F357" t="s">
        <v>3</v>
      </c>
      <c r="G357" t="s">
        <v>596</v>
      </c>
      <c r="H357" t="s">
        <v>115</v>
      </c>
      <c r="I357" t="s">
        <v>29</v>
      </c>
      <c r="J357" t="s">
        <v>76</v>
      </c>
      <c r="K357" t="s">
        <v>7</v>
      </c>
      <c r="L357" t="s">
        <v>8</v>
      </c>
      <c r="M357">
        <v>108</v>
      </c>
      <c r="N357">
        <v>5</v>
      </c>
      <c r="O357">
        <v>0.1</v>
      </c>
      <c r="P357">
        <v>2.4</v>
      </c>
      <c r="Q357">
        <v>11.06</v>
      </c>
      <c r="R357" t="s">
        <v>9</v>
      </c>
    </row>
    <row r="358" spans="1:18" x14ac:dyDescent="0.25">
      <c r="A358" t="s">
        <v>594</v>
      </c>
      <c r="B358" s="1">
        <v>40569</v>
      </c>
      <c r="C358" s="1">
        <v>40572</v>
      </c>
      <c r="D358" t="s">
        <v>18</v>
      </c>
      <c r="E358" t="s">
        <v>595</v>
      </c>
      <c r="F358" t="s">
        <v>3</v>
      </c>
      <c r="G358" t="s">
        <v>596</v>
      </c>
      <c r="H358" t="s">
        <v>115</v>
      </c>
      <c r="I358" t="s">
        <v>29</v>
      </c>
      <c r="J358" t="s">
        <v>76</v>
      </c>
      <c r="K358" t="s">
        <v>7</v>
      </c>
      <c r="L358" t="s">
        <v>137</v>
      </c>
      <c r="M358">
        <v>136</v>
      </c>
      <c r="N358">
        <v>9</v>
      </c>
      <c r="O358">
        <v>0</v>
      </c>
      <c r="P358">
        <v>16.2</v>
      </c>
      <c r="Q358">
        <v>9.44</v>
      </c>
      <c r="R358" t="s">
        <v>9</v>
      </c>
    </row>
    <row r="359" spans="1:18" x14ac:dyDescent="0.25">
      <c r="A359" t="s">
        <v>594</v>
      </c>
      <c r="B359" s="1">
        <v>40569</v>
      </c>
      <c r="C359" s="1">
        <v>40572</v>
      </c>
      <c r="D359" t="s">
        <v>18</v>
      </c>
      <c r="E359" t="s">
        <v>595</v>
      </c>
      <c r="F359" t="s">
        <v>3</v>
      </c>
      <c r="G359" t="s">
        <v>596</v>
      </c>
      <c r="H359" t="s">
        <v>115</v>
      </c>
      <c r="I359" t="s">
        <v>29</v>
      </c>
      <c r="J359" t="s">
        <v>76</v>
      </c>
      <c r="K359" t="s">
        <v>7</v>
      </c>
      <c r="L359" t="s">
        <v>91</v>
      </c>
      <c r="M359">
        <v>88</v>
      </c>
      <c r="N359">
        <v>4</v>
      </c>
      <c r="O359">
        <v>0</v>
      </c>
      <c r="P359">
        <v>15.84</v>
      </c>
      <c r="Q359">
        <v>7.14</v>
      </c>
      <c r="R359" t="s">
        <v>9</v>
      </c>
    </row>
    <row r="360" spans="1:18" x14ac:dyDescent="0.25">
      <c r="A360" t="s">
        <v>600</v>
      </c>
      <c r="B360" s="1">
        <v>40569</v>
      </c>
      <c r="C360" s="1">
        <v>40573</v>
      </c>
      <c r="D360" t="s">
        <v>1</v>
      </c>
      <c r="E360" t="s">
        <v>358</v>
      </c>
      <c r="F360" t="s">
        <v>3</v>
      </c>
      <c r="G360" t="s">
        <v>601</v>
      </c>
      <c r="H360" t="s">
        <v>602</v>
      </c>
      <c r="I360" t="s">
        <v>29</v>
      </c>
      <c r="J360" t="s">
        <v>30</v>
      </c>
      <c r="K360" t="s">
        <v>38</v>
      </c>
      <c r="L360" t="s">
        <v>82</v>
      </c>
      <c r="M360">
        <v>88</v>
      </c>
      <c r="N360">
        <v>3</v>
      </c>
      <c r="O360">
        <v>0</v>
      </c>
      <c r="P360">
        <v>18.45</v>
      </c>
      <c r="Q360">
        <v>5.54</v>
      </c>
      <c r="R360" t="s">
        <v>9</v>
      </c>
    </row>
    <row r="361" spans="1:18" x14ac:dyDescent="0.25">
      <c r="A361" t="s">
        <v>600</v>
      </c>
      <c r="B361" s="1">
        <v>40569</v>
      </c>
      <c r="C361" s="1">
        <v>40573</v>
      </c>
      <c r="D361" t="s">
        <v>1</v>
      </c>
      <c r="E361" t="s">
        <v>358</v>
      </c>
      <c r="F361" t="s">
        <v>3</v>
      </c>
      <c r="G361" t="s">
        <v>601</v>
      </c>
      <c r="H361" t="s">
        <v>602</v>
      </c>
      <c r="I361" t="s">
        <v>29</v>
      </c>
      <c r="J361" t="s">
        <v>30</v>
      </c>
      <c r="K361" t="s">
        <v>7</v>
      </c>
      <c r="L361" t="s">
        <v>137</v>
      </c>
      <c r="M361">
        <v>52</v>
      </c>
      <c r="N361">
        <v>4</v>
      </c>
      <c r="O361">
        <v>0</v>
      </c>
      <c r="P361">
        <v>20.04</v>
      </c>
      <c r="Q361">
        <v>4.88</v>
      </c>
      <c r="R361" t="s">
        <v>9</v>
      </c>
    </row>
    <row r="362" spans="1:18" x14ac:dyDescent="0.25">
      <c r="A362" t="s">
        <v>603</v>
      </c>
      <c r="B362" s="1">
        <v>40569</v>
      </c>
      <c r="C362" s="1">
        <v>40573</v>
      </c>
      <c r="D362" t="s">
        <v>1</v>
      </c>
      <c r="E362" t="s">
        <v>604</v>
      </c>
      <c r="F362" t="s">
        <v>3</v>
      </c>
      <c r="G362" t="s">
        <v>605</v>
      </c>
      <c r="H362" t="s">
        <v>276</v>
      </c>
      <c r="I362" t="s">
        <v>29</v>
      </c>
      <c r="J362" t="s">
        <v>102</v>
      </c>
      <c r="K362" t="s">
        <v>7</v>
      </c>
      <c r="L362" t="s">
        <v>87</v>
      </c>
      <c r="M362">
        <v>32</v>
      </c>
      <c r="N362">
        <v>3</v>
      </c>
      <c r="O362">
        <v>0</v>
      </c>
      <c r="P362">
        <v>10.08</v>
      </c>
      <c r="Q362">
        <v>4.82</v>
      </c>
      <c r="R362" t="s">
        <v>23</v>
      </c>
    </row>
    <row r="363" spans="1:18" x14ac:dyDescent="0.25">
      <c r="A363" t="s">
        <v>584</v>
      </c>
      <c r="B363" s="1">
        <v>40569</v>
      </c>
      <c r="C363" s="1">
        <v>40569</v>
      </c>
      <c r="D363" t="s">
        <v>41</v>
      </c>
      <c r="E363" t="s">
        <v>585</v>
      </c>
      <c r="F363" t="s">
        <v>3</v>
      </c>
      <c r="G363" t="s">
        <v>495</v>
      </c>
      <c r="H363" t="s">
        <v>115</v>
      </c>
      <c r="I363" t="s">
        <v>29</v>
      </c>
      <c r="J363" t="s">
        <v>76</v>
      </c>
      <c r="K363" t="s">
        <v>7</v>
      </c>
      <c r="L363" t="s">
        <v>137</v>
      </c>
      <c r="M363">
        <v>41</v>
      </c>
      <c r="N363">
        <v>6</v>
      </c>
      <c r="O363">
        <v>0.5</v>
      </c>
      <c r="P363">
        <v>-10.89</v>
      </c>
      <c r="Q363">
        <v>3.98</v>
      </c>
      <c r="R363" t="s">
        <v>9</v>
      </c>
    </row>
    <row r="364" spans="1:18" x14ac:dyDescent="0.25">
      <c r="A364" t="s">
        <v>570</v>
      </c>
      <c r="B364" s="1">
        <v>40569</v>
      </c>
      <c r="C364" s="1">
        <v>40574</v>
      </c>
      <c r="D364" t="s">
        <v>1</v>
      </c>
      <c r="E364" t="s">
        <v>571</v>
      </c>
      <c r="F364" t="s">
        <v>3</v>
      </c>
      <c r="G364" t="s">
        <v>572</v>
      </c>
      <c r="H364" t="s">
        <v>285</v>
      </c>
      <c r="I364" t="s">
        <v>22</v>
      </c>
      <c r="J364" t="s">
        <v>22</v>
      </c>
      <c r="K364" t="s">
        <v>32</v>
      </c>
      <c r="L364" t="s">
        <v>56</v>
      </c>
      <c r="M364">
        <v>34</v>
      </c>
      <c r="N364">
        <v>1</v>
      </c>
      <c r="O364">
        <v>0.6</v>
      </c>
      <c r="P364">
        <v>-38.981999999999999</v>
      </c>
      <c r="Q364">
        <v>3.08</v>
      </c>
      <c r="R364" t="s">
        <v>9</v>
      </c>
    </row>
    <row r="365" spans="1:18" x14ac:dyDescent="0.25">
      <c r="A365" t="s">
        <v>594</v>
      </c>
      <c r="B365" s="1">
        <v>40569</v>
      </c>
      <c r="C365" s="1">
        <v>40572</v>
      </c>
      <c r="D365" t="s">
        <v>18</v>
      </c>
      <c r="E365" t="s">
        <v>595</v>
      </c>
      <c r="F365" t="s">
        <v>3</v>
      </c>
      <c r="G365" t="s">
        <v>596</v>
      </c>
      <c r="H365" t="s">
        <v>115</v>
      </c>
      <c r="I365" t="s">
        <v>29</v>
      </c>
      <c r="J365" t="s">
        <v>76</v>
      </c>
      <c r="K365" t="s">
        <v>7</v>
      </c>
      <c r="L365" t="s">
        <v>8</v>
      </c>
      <c r="M365">
        <v>86</v>
      </c>
      <c r="N365">
        <v>2</v>
      </c>
      <c r="O365">
        <v>0.1</v>
      </c>
      <c r="P365">
        <v>2.85</v>
      </c>
      <c r="Q365">
        <v>2.65</v>
      </c>
      <c r="R365" t="s">
        <v>9</v>
      </c>
    </row>
    <row r="366" spans="1:18" x14ac:dyDescent="0.25">
      <c r="A366" t="s">
        <v>584</v>
      </c>
      <c r="B366" s="1">
        <v>40569</v>
      </c>
      <c r="C366" s="1">
        <v>40569</v>
      </c>
      <c r="D366" t="s">
        <v>41</v>
      </c>
      <c r="E366" t="s">
        <v>585</v>
      </c>
      <c r="F366" t="s">
        <v>3</v>
      </c>
      <c r="G366" t="s">
        <v>495</v>
      </c>
      <c r="H366" t="s">
        <v>115</v>
      </c>
      <c r="I366" t="s">
        <v>29</v>
      </c>
      <c r="J366" t="s">
        <v>76</v>
      </c>
      <c r="K366" t="s">
        <v>7</v>
      </c>
      <c r="L366" t="s">
        <v>96</v>
      </c>
      <c r="M366">
        <v>12</v>
      </c>
      <c r="N366">
        <v>3</v>
      </c>
      <c r="O366">
        <v>0.5</v>
      </c>
      <c r="P366">
        <v>-8.01</v>
      </c>
      <c r="Q366">
        <v>1.75</v>
      </c>
      <c r="R366" t="s">
        <v>9</v>
      </c>
    </row>
    <row r="367" spans="1:18" x14ac:dyDescent="0.25">
      <c r="A367" t="s">
        <v>594</v>
      </c>
      <c r="B367" s="1">
        <v>40569</v>
      </c>
      <c r="C367" s="1">
        <v>40572</v>
      </c>
      <c r="D367" t="s">
        <v>18</v>
      </c>
      <c r="E367" t="s">
        <v>595</v>
      </c>
      <c r="F367" t="s">
        <v>3</v>
      </c>
      <c r="G367" t="s">
        <v>596</v>
      </c>
      <c r="H367" t="s">
        <v>115</v>
      </c>
      <c r="I367" t="s">
        <v>29</v>
      </c>
      <c r="J367" t="s">
        <v>76</v>
      </c>
      <c r="K367" t="s">
        <v>7</v>
      </c>
      <c r="L367" t="s">
        <v>31</v>
      </c>
      <c r="M367">
        <v>60</v>
      </c>
      <c r="N367">
        <v>2</v>
      </c>
      <c r="O367">
        <v>0</v>
      </c>
      <c r="P367">
        <v>21.42</v>
      </c>
      <c r="Q367">
        <v>1.74</v>
      </c>
      <c r="R367" t="s">
        <v>9</v>
      </c>
    </row>
    <row r="368" spans="1:18" x14ac:dyDescent="0.25">
      <c r="A368" t="s">
        <v>577</v>
      </c>
      <c r="B368" s="1">
        <v>40569</v>
      </c>
      <c r="C368" s="1">
        <v>40574</v>
      </c>
      <c r="D368" t="s">
        <v>1</v>
      </c>
      <c r="E368" t="s">
        <v>578</v>
      </c>
      <c r="F368" t="s">
        <v>3</v>
      </c>
      <c r="G368" t="s">
        <v>579</v>
      </c>
      <c r="H368" t="s">
        <v>580</v>
      </c>
      <c r="I368" t="s">
        <v>6</v>
      </c>
      <c r="J368" t="s">
        <v>6</v>
      </c>
      <c r="K368" t="s">
        <v>7</v>
      </c>
      <c r="L368" t="s">
        <v>137</v>
      </c>
      <c r="M368">
        <v>9</v>
      </c>
      <c r="N368">
        <v>1</v>
      </c>
      <c r="O368">
        <v>0</v>
      </c>
      <c r="P368">
        <v>4.0199999999999996</v>
      </c>
      <c r="Q368">
        <v>1.43</v>
      </c>
      <c r="R368" t="s">
        <v>23</v>
      </c>
    </row>
    <row r="369" spans="1:18" x14ac:dyDescent="0.25">
      <c r="A369" t="s">
        <v>570</v>
      </c>
      <c r="B369" s="1">
        <v>40569</v>
      </c>
      <c r="C369" s="1">
        <v>40574</v>
      </c>
      <c r="D369" t="s">
        <v>1</v>
      </c>
      <c r="E369" t="s">
        <v>571</v>
      </c>
      <c r="F369" t="s">
        <v>3</v>
      </c>
      <c r="G369" t="s">
        <v>572</v>
      </c>
      <c r="H369" t="s">
        <v>285</v>
      </c>
      <c r="I369" t="s">
        <v>22</v>
      </c>
      <c r="J369" t="s">
        <v>22</v>
      </c>
      <c r="K369" t="s">
        <v>7</v>
      </c>
      <c r="L369" t="s">
        <v>31</v>
      </c>
      <c r="M369">
        <v>16</v>
      </c>
      <c r="N369">
        <v>2</v>
      </c>
      <c r="O369">
        <v>0.6</v>
      </c>
      <c r="P369">
        <v>-5.7240000000000002</v>
      </c>
      <c r="Q369">
        <v>1.28</v>
      </c>
      <c r="R369" t="s">
        <v>9</v>
      </c>
    </row>
    <row r="370" spans="1:18" x14ac:dyDescent="0.25">
      <c r="A370" t="s">
        <v>600</v>
      </c>
      <c r="B370" s="1">
        <v>40569</v>
      </c>
      <c r="C370" s="1">
        <v>40573</v>
      </c>
      <c r="D370" t="s">
        <v>1</v>
      </c>
      <c r="E370" t="s">
        <v>358</v>
      </c>
      <c r="F370" t="s">
        <v>3</v>
      </c>
      <c r="G370" t="s">
        <v>601</v>
      </c>
      <c r="H370" t="s">
        <v>602</v>
      </c>
      <c r="I370" t="s">
        <v>29</v>
      </c>
      <c r="J370" t="s">
        <v>30</v>
      </c>
      <c r="K370" t="s">
        <v>7</v>
      </c>
      <c r="L370" t="s">
        <v>137</v>
      </c>
      <c r="M370">
        <v>13</v>
      </c>
      <c r="N370">
        <v>1</v>
      </c>
      <c r="O370">
        <v>0</v>
      </c>
      <c r="P370">
        <v>5.49</v>
      </c>
      <c r="Q370">
        <v>1.2</v>
      </c>
      <c r="R370" t="s">
        <v>9</v>
      </c>
    </row>
    <row r="371" spans="1:18" x14ac:dyDescent="0.25">
      <c r="A371" t="s">
        <v>577</v>
      </c>
      <c r="B371" s="1">
        <v>40569</v>
      </c>
      <c r="C371" s="1">
        <v>40574</v>
      </c>
      <c r="D371" t="s">
        <v>1</v>
      </c>
      <c r="E371" t="s">
        <v>578</v>
      </c>
      <c r="F371" t="s">
        <v>3</v>
      </c>
      <c r="G371" t="s">
        <v>579</v>
      </c>
      <c r="H371" t="s">
        <v>580</v>
      </c>
      <c r="I371" t="s">
        <v>6</v>
      </c>
      <c r="J371" t="s">
        <v>6</v>
      </c>
      <c r="K371" t="s">
        <v>7</v>
      </c>
      <c r="L371" t="s">
        <v>87</v>
      </c>
      <c r="M371">
        <v>11</v>
      </c>
      <c r="N371">
        <v>1</v>
      </c>
      <c r="O371">
        <v>0</v>
      </c>
      <c r="P371">
        <v>4.83</v>
      </c>
      <c r="Q371">
        <v>0.88</v>
      </c>
      <c r="R371" t="s">
        <v>23</v>
      </c>
    </row>
    <row r="372" spans="1:18" x14ac:dyDescent="0.25">
      <c r="A372" t="s">
        <v>594</v>
      </c>
      <c r="B372" s="1">
        <v>40569</v>
      </c>
      <c r="C372" s="1">
        <v>40572</v>
      </c>
      <c r="D372" t="s">
        <v>18</v>
      </c>
      <c r="E372" t="s">
        <v>595</v>
      </c>
      <c r="F372" t="s">
        <v>3</v>
      </c>
      <c r="G372" t="s">
        <v>596</v>
      </c>
      <c r="H372" t="s">
        <v>115</v>
      </c>
      <c r="I372" t="s">
        <v>29</v>
      </c>
      <c r="J372" t="s">
        <v>76</v>
      </c>
      <c r="K372" t="s">
        <v>32</v>
      </c>
      <c r="L372" t="s">
        <v>33</v>
      </c>
      <c r="M372">
        <v>177</v>
      </c>
      <c r="N372">
        <v>8</v>
      </c>
      <c r="O372">
        <v>0</v>
      </c>
      <c r="P372">
        <v>0</v>
      </c>
      <c r="Q372">
        <v>0.61</v>
      </c>
      <c r="R372" t="s">
        <v>9</v>
      </c>
    </row>
    <row r="373" spans="1:18" x14ac:dyDescent="0.25">
      <c r="A373" t="s">
        <v>570</v>
      </c>
      <c r="B373" s="1">
        <v>40569</v>
      </c>
      <c r="C373" s="1">
        <v>40574</v>
      </c>
      <c r="D373" t="s">
        <v>1</v>
      </c>
      <c r="E373" t="s">
        <v>571</v>
      </c>
      <c r="F373" t="s">
        <v>3</v>
      </c>
      <c r="G373" t="s">
        <v>572</v>
      </c>
      <c r="H373" t="s">
        <v>285</v>
      </c>
      <c r="I373" t="s">
        <v>22</v>
      </c>
      <c r="J373" t="s">
        <v>22</v>
      </c>
      <c r="K373" t="s">
        <v>7</v>
      </c>
      <c r="L373" t="s">
        <v>87</v>
      </c>
      <c r="M373">
        <v>5</v>
      </c>
      <c r="N373">
        <v>1</v>
      </c>
      <c r="O373">
        <v>0.6</v>
      </c>
      <c r="P373">
        <v>-7.3380000000000001</v>
      </c>
      <c r="Q373">
        <v>0.34</v>
      </c>
      <c r="R373" t="s">
        <v>9</v>
      </c>
    </row>
    <row r="374" spans="1:18" x14ac:dyDescent="0.25">
      <c r="A374" t="s">
        <v>606</v>
      </c>
      <c r="B374" s="1">
        <v>40570</v>
      </c>
      <c r="C374" s="1">
        <v>40573</v>
      </c>
      <c r="D374" t="s">
        <v>142</v>
      </c>
      <c r="E374" t="s">
        <v>607</v>
      </c>
      <c r="F374" t="s">
        <v>43</v>
      </c>
      <c r="G374" t="s">
        <v>608</v>
      </c>
      <c r="H374" t="s">
        <v>126</v>
      </c>
      <c r="I374" t="s">
        <v>127</v>
      </c>
      <c r="J374" t="s">
        <v>76</v>
      </c>
      <c r="K374" t="s">
        <v>32</v>
      </c>
      <c r="L374" t="s">
        <v>67</v>
      </c>
      <c r="M374">
        <v>142</v>
      </c>
      <c r="N374">
        <v>2</v>
      </c>
      <c r="O374">
        <v>0</v>
      </c>
      <c r="P374">
        <v>39.748800000000003</v>
      </c>
      <c r="Q374">
        <v>24.59</v>
      </c>
      <c r="R374" t="s">
        <v>23</v>
      </c>
    </row>
    <row r="375" spans="1:18" x14ac:dyDescent="0.25">
      <c r="A375" t="s">
        <v>609</v>
      </c>
      <c r="B375" s="1">
        <v>40570</v>
      </c>
      <c r="C375" s="1">
        <v>40572</v>
      </c>
      <c r="D375" t="s">
        <v>18</v>
      </c>
      <c r="E375" t="s">
        <v>610</v>
      </c>
      <c r="F375" t="s">
        <v>3</v>
      </c>
      <c r="G375" t="s">
        <v>611</v>
      </c>
      <c r="H375" t="s">
        <v>106</v>
      </c>
      <c r="I375" t="s">
        <v>75</v>
      </c>
      <c r="J375" t="s">
        <v>30</v>
      </c>
      <c r="K375" t="s">
        <v>7</v>
      </c>
      <c r="L375" t="s">
        <v>137</v>
      </c>
      <c r="M375">
        <v>115</v>
      </c>
      <c r="N375">
        <v>13</v>
      </c>
      <c r="O375">
        <v>0</v>
      </c>
      <c r="P375">
        <v>10.14</v>
      </c>
      <c r="Q375">
        <v>24.52</v>
      </c>
      <c r="R375" t="s">
        <v>45</v>
      </c>
    </row>
    <row r="376" spans="1:18" x14ac:dyDescent="0.25">
      <c r="A376" t="s">
        <v>612</v>
      </c>
      <c r="B376" s="1">
        <v>40570</v>
      </c>
      <c r="C376" s="1">
        <v>40575</v>
      </c>
      <c r="D376" t="s">
        <v>1</v>
      </c>
      <c r="E376" t="s">
        <v>392</v>
      </c>
      <c r="F376" t="s">
        <v>26</v>
      </c>
      <c r="G376" t="s">
        <v>294</v>
      </c>
      <c r="H376" t="s">
        <v>126</v>
      </c>
      <c r="I376" t="s">
        <v>127</v>
      </c>
      <c r="J376" t="s">
        <v>102</v>
      </c>
      <c r="K376" t="s">
        <v>7</v>
      </c>
      <c r="L376" t="s">
        <v>8</v>
      </c>
      <c r="M376">
        <v>490</v>
      </c>
      <c r="N376">
        <v>8</v>
      </c>
      <c r="O376">
        <v>0</v>
      </c>
      <c r="P376">
        <v>0</v>
      </c>
      <c r="Q376">
        <v>21.48</v>
      </c>
      <c r="R376" t="s">
        <v>9</v>
      </c>
    </row>
    <row r="377" spans="1:18" x14ac:dyDescent="0.25">
      <c r="A377" t="s">
        <v>612</v>
      </c>
      <c r="B377" s="1">
        <v>40570</v>
      </c>
      <c r="C377" s="1">
        <v>40575</v>
      </c>
      <c r="D377" t="s">
        <v>1</v>
      </c>
      <c r="E377" t="s">
        <v>392</v>
      </c>
      <c r="F377" t="s">
        <v>26</v>
      </c>
      <c r="G377" t="s">
        <v>294</v>
      </c>
      <c r="H377" t="s">
        <v>126</v>
      </c>
      <c r="I377" t="s">
        <v>127</v>
      </c>
      <c r="J377" t="s">
        <v>102</v>
      </c>
      <c r="K377" t="s">
        <v>38</v>
      </c>
      <c r="L377" t="s">
        <v>77</v>
      </c>
      <c r="M377">
        <v>188</v>
      </c>
      <c r="N377">
        <v>2</v>
      </c>
      <c r="O377">
        <v>0</v>
      </c>
      <c r="P377">
        <v>52.634399999999999</v>
      </c>
      <c r="Q377">
        <v>17.66</v>
      </c>
      <c r="R377" t="s">
        <v>9</v>
      </c>
    </row>
    <row r="378" spans="1:18" x14ac:dyDescent="0.25">
      <c r="A378" t="s">
        <v>613</v>
      </c>
      <c r="B378" s="1">
        <v>40570</v>
      </c>
      <c r="C378" s="1">
        <v>40575</v>
      </c>
      <c r="D378" t="s">
        <v>1</v>
      </c>
      <c r="E378" t="s">
        <v>42</v>
      </c>
      <c r="F378" t="s">
        <v>43</v>
      </c>
      <c r="G378" t="s">
        <v>614</v>
      </c>
      <c r="H378" t="s">
        <v>169</v>
      </c>
      <c r="I378" t="s">
        <v>14</v>
      </c>
      <c r="J378" t="s">
        <v>132</v>
      </c>
      <c r="K378" t="s">
        <v>38</v>
      </c>
      <c r="L378" t="s">
        <v>39</v>
      </c>
      <c r="M378">
        <v>367</v>
      </c>
      <c r="N378">
        <v>7</v>
      </c>
      <c r="O378">
        <v>0</v>
      </c>
      <c r="P378">
        <v>106.26</v>
      </c>
      <c r="Q378">
        <v>17.61</v>
      </c>
      <c r="R378" t="s">
        <v>9</v>
      </c>
    </row>
    <row r="379" spans="1:18" x14ac:dyDescent="0.25">
      <c r="A379" t="s">
        <v>615</v>
      </c>
      <c r="B379" s="1">
        <v>40570</v>
      </c>
      <c r="C379" s="1">
        <v>40572</v>
      </c>
      <c r="D379" t="s">
        <v>18</v>
      </c>
      <c r="E379" t="s">
        <v>616</v>
      </c>
      <c r="F379" t="s">
        <v>43</v>
      </c>
      <c r="G379" t="s">
        <v>617</v>
      </c>
      <c r="H379" t="s">
        <v>618</v>
      </c>
      <c r="I379" t="s">
        <v>6</v>
      </c>
      <c r="J379" t="s">
        <v>6</v>
      </c>
      <c r="K379" t="s">
        <v>7</v>
      </c>
      <c r="L379" t="s">
        <v>16</v>
      </c>
      <c r="M379">
        <v>76</v>
      </c>
      <c r="N379">
        <v>2</v>
      </c>
      <c r="O379">
        <v>0</v>
      </c>
      <c r="P379">
        <v>20.58</v>
      </c>
      <c r="Q379">
        <v>16.59</v>
      </c>
      <c r="R379" t="s">
        <v>45</v>
      </c>
    </row>
    <row r="380" spans="1:18" x14ac:dyDescent="0.25">
      <c r="A380" t="s">
        <v>612</v>
      </c>
      <c r="B380" s="1">
        <v>40570</v>
      </c>
      <c r="C380" s="1">
        <v>40575</v>
      </c>
      <c r="D380" t="s">
        <v>1</v>
      </c>
      <c r="E380" t="s">
        <v>392</v>
      </c>
      <c r="F380" t="s">
        <v>26</v>
      </c>
      <c r="G380" t="s">
        <v>294</v>
      </c>
      <c r="H380" t="s">
        <v>126</v>
      </c>
      <c r="I380" t="s">
        <v>127</v>
      </c>
      <c r="J380" t="s">
        <v>102</v>
      </c>
      <c r="K380" t="s">
        <v>38</v>
      </c>
      <c r="L380" t="s">
        <v>77</v>
      </c>
      <c r="M380">
        <v>155</v>
      </c>
      <c r="N380">
        <v>13</v>
      </c>
      <c r="O380">
        <v>0</v>
      </c>
      <c r="P380">
        <v>0</v>
      </c>
      <c r="Q380">
        <v>11.95</v>
      </c>
      <c r="R380" t="s">
        <v>9</v>
      </c>
    </row>
    <row r="381" spans="1:18" x14ac:dyDescent="0.25">
      <c r="A381" t="s">
        <v>619</v>
      </c>
      <c r="B381" s="1">
        <v>40570</v>
      </c>
      <c r="C381" s="1">
        <v>40575</v>
      </c>
      <c r="D381" t="s">
        <v>1</v>
      </c>
      <c r="E381" t="s">
        <v>620</v>
      </c>
      <c r="F381" t="s">
        <v>3</v>
      </c>
      <c r="G381" t="s">
        <v>621</v>
      </c>
      <c r="H381" t="s">
        <v>622</v>
      </c>
      <c r="I381" t="s">
        <v>22</v>
      </c>
      <c r="J381" t="s">
        <v>22</v>
      </c>
      <c r="K381" t="s">
        <v>7</v>
      </c>
      <c r="L381" t="s">
        <v>8</v>
      </c>
      <c r="M381">
        <v>230</v>
      </c>
      <c r="N381">
        <v>4</v>
      </c>
      <c r="O381">
        <v>0</v>
      </c>
      <c r="P381">
        <v>15.96</v>
      </c>
      <c r="Q381">
        <v>10.73</v>
      </c>
      <c r="R381" t="s">
        <v>9</v>
      </c>
    </row>
    <row r="382" spans="1:18" x14ac:dyDescent="0.25">
      <c r="A382" t="s">
        <v>609</v>
      </c>
      <c r="B382" s="1">
        <v>40570</v>
      </c>
      <c r="C382" s="1">
        <v>40572</v>
      </c>
      <c r="D382" t="s">
        <v>18</v>
      </c>
      <c r="E382" t="s">
        <v>610</v>
      </c>
      <c r="F382" t="s">
        <v>3</v>
      </c>
      <c r="G382" t="s">
        <v>611</v>
      </c>
      <c r="H382" t="s">
        <v>106</v>
      </c>
      <c r="I382" t="s">
        <v>75</v>
      </c>
      <c r="J382" t="s">
        <v>30</v>
      </c>
      <c r="K382" t="s">
        <v>7</v>
      </c>
      <c r="L382" t="s">
        <v>16</v>
      </c>
      <c r="M382">
        <v>31</v>
      </c>
      <c r="N382">
        <v>2</v>
      </c>
      <c r="O382">
        <v>0</v>
      </c>
      <c r="P382">
        <v>13.8</v>
      </c>
      <c r="Q382">
        <v>6.7</v>
      </c>
      <c r="R382" t="s">
        <v>45</v>
      </c>
    </row>
    <row r="383" spans="1:18" x14ac:dyDescent="0.25">
      <c r="A383" t="s">
        <v>612</v>
      </c>
      <c r="B383" s="1">
        <v>40570</v>
      </c>
      <c r="C383" s="1">
        <v>40575</v>
      </c>
      <c r="D383" t="s">
        <v>1</v>
      </c>
      <c r="E383" t="s">
        <v>392</v>
      </c>
      <c r="F383" t="s">
        <v>26</v>
      </c>
      <c r="G383" t="s">
        <v>294</v>
      </c>
      <c r="H383" t="s">
        <v>126</v>
      </c>
      <c r="I383" t="s">
        <v>127</v>
      </c>
      <c r="J383" t="s">
        <v>102</v>
      </c>
      <c r="K383" t="s">
        <v>32</v>
      </c>
      <c r="L383" t="s">
        <v>33</v>
      </c>
      <c r="M383">
        <v>63</v>
      </c>
      <c r="N383">
        <v>3</v>
      </c>
      <c r="O383">
        <v>0</v>
      </c>
      <c r="P383">
        <v>30.7818</v>
      </c>
      <c r="Q383">
        <v>6.15</v>
      </c>
      <c r="R383" t="s">
        <v>9</v>
      </c>
    </row>
    <row r="384" spans="1:18" x14ac:dyDescent="0.25">
      <c r="A384" t="s">
        <v>623</v>
      </c>
      <c r="B384" s="1">
        <v>40570</v>
      </c>
      <c r="C384" s="1">
        <v>40576</v>
      </c>
      <c r="D384" t="s">
        <v>1</v>
      </c>
      <c r="E384" t="s">
        <v>624</v>
      </c>
      <c r="F384" t="s">
        <v>26</v>
      </c>
      <c r="G384" t="s">
        <v>625</v>
      </c>
      <c r="H384" t="s">
        <v>157</v>
      </c>
      <c r="I384" t="s">
        <v>14</v>
      </c>
      <c r="J384" t="s">
        <v>61</v>
      </c>
      <c r="K384" t="s">
        <v>7</v>
      </c>
      <c r="L384" t="s">
        <v>96</v>
      </c>
      <c r="M384">
        <v>82</v>
      </c>
      <c r="N384">
        <v>13</v>
      </c>
      <c r="O384">
        <v>0.47</v>
      </c>
      <c r="P384">
        <v>-17.3901</v>
      </c>
      <c r="Q384">
        <v>5.67</v>
      </c>
      <c r="R384" t="s">
        <v>9</v>
      </c>
    </row>
    <row r="385" spans="1:18" x14ac:dyDescent="0.25">
      <c r="A385" t="s">
        <v>626</v>
      </c>
      <c r="B385" s="1">
        <v>40570</v>
      </c>
      <c r="C385" s="1">
        <v>40572</v>
      </c>
      <c r="D385" t="s">
        <v>142</v>
      </c>
      <c r="E385" t="s">
        <v>627</v>
      </c>
      <c r="F385" t="s">
        <v>3</v>
      </c>
      <c r="G385" t="s">
        <v>628</v>
      </c>
      <c r="H385" t="s">
        <v>580</v>
      </c>
      <c r="I385" t="s">
        <v>6</v>
      </c>
      <c r="J385" t="s">
        <v>6</v>
      </c>
      <c r="K385" t="s">
        <v>32</v>
      </c>
      <c r="L385" t="s">
        <v>33</v>
      </c>
      <c r="M385">
        <v>51</v>
      </c>
      <c r="N385">
        <v>2</v>
      </c>
      <c r="O385">
        <v>0</v>
      </c>
      <c r="P385">
        <v>22.8</v>
      </c>
      <c r="Q385">
        <v>4.24</v>
      </c>
      <c r="R385" t="s">
        <v>23</v>
      </c>
    </row>
    <row r="386" spans="1:18" x14ac:dyDescent="0.25">
      <c r="A386" t="s">
        <v>626</v>
      </c>
      <c r="B386" s="1">
        <v>40570</v>
      </c>
      <c r="C386" s="1">
        <v>40572</v>
      </c>
      <c r="D386" t="s">
        <v>142</v>
      </c>
      <c r="E386" t="s">
        <v>627</v>
      </c>
      <c r="F386" t="s">
        <v>3</v>
      </c>
      <c r="G386" t="s">
        <v>628</v>
      </c>
      <c r="H386" t="s">
        <v>580</v>
      </c>
      <c r="I386" t="s">
        <v>6</v>
      </c>
      <c r="J386" t="s">
        <v>6</v>
      </c>
      <c r="K386" t="s">
        <v>7</v>
      </c>
      <c r="L386" t="s">
        <v>91</v>
      </c>
      <c r="M386">
        <v>20</v>
      </c>
      <c r="N386">
        <v>1</v>
      </c>
      <c r="O386">
        <v>0</v>
      </c>
      <c r="P386">
        <v>5.22</v>
      </c>
      <c r="Q386">
        <v>3.73</v>
      </c>
      <c r="R386" t="s">
        <v>23</v>
      </c>
    </row>
    <row r="387" spans="1:18" x14ac:dyDescent="0.25">
      <c r="A387" t="s">
        <v>626</v>
      </c>
      <c r="B387" s="1">
        <v>40570</v>
      </c>
      <c r="C387" s="1">
        <v>40572</v>
      </c>
      <c r="D387" t="s">
        <v>142</v>
      </c>
      <c r="E387" t="s">
        <v>627</v>
      </c>
      <c r="F387" t="s">
        <v>3</v>
      </c>
      <c r="G387" t="s">
        <v>628</v>
      </c>
      <c r="H387" t="s">
        <v>580</v>
      </c>
      <c r="I387" t="s">
        <v>6</v>
      </c>
      <c r="J387" t="s">
        <v>6</v>
      </c>
      <c r="K387" t="s">
        <v>7</v>
      </c>
      <c r="L387" t="s">
        <v>91</v>
      </c>
      <c r="M387">
        <v>17</v>
      </c>
      <c r="N387">
        <v>1</v>
      </c>
      <c r="O387">
        <v>0</v>
      </c>
      <c r="P387">
        <v>2.46</v>
      </c>
      <c r="Q387">
        <v>3.44</v>
      </c>
      <c r="R387" t="s">
        <v>23</v>
      </c>
    </row>
    <row r="388" spans="1:18" x14ac:dyDescent="0.25">
      <c r="A388" t="s">
        <v>629</v>
      </c>
      <c r="B388" s="1">
        <v>40570</v>
      </c>
      <c r="C388" s="1">
        <v>40575</v>
      </c>
      <c r="D388" t="s">
        <v>1</v>
      </c>
      <c r="E388" t="s">
        <v>254</v>
      </c>
      <c r="F388" t="s">
        <v>3</v>
      </c>
      <c r="G388" t="s">
        <v>630</v>
      </c>
      <c r="H388" t="s">
        <v>169</v>
      </c>
      <c r="I388" t="s">
        <v>14</v>
      </c>
      <c r="J388" t="s">
        <v>132</v>
      </c>
      <c r="K388" t="s">
        <v>7</v>
      </c>
      <c r="L388" t="s">
        <v>96</v>
      </c>
      <c r="M388">
        <v>40</v>
      </c>
      <c r="N388">
        <v>2</v>
      </c>
      <c r="O388">
        <v>0</v>
      </c>
      <c r="P388">
        <v>15.18</v>
      </c>
      <c r="Q388">
        <v>2.6</v>
      </c>
      <c r="R388" t="s">
        <v>9</v>
      </c>
    </row>
    <row r="389" spans="1:18" x14ac:dyDescent="0.25">
      <c r="A389" t="s">
        <v>631</v>
      </c>
      <c r="B389" s="1">
        <v>40570</v>
      </c>
      <c r="C389" s="1">
        <v>40574</v>
      </c>
      <c r="D389" t="s">
        <v>1</v>
      </c>
      <c r="E389" t="s">
        <v>632</v>
      </c>
      <c r="F389" t="s">
        <v>3</v>
      </c>
      <c r="G389" t="s">
        <v>633</v>
      </c>
      <c r="H389" t="s">
        <v>368</v>
      </c>
      <c r="I389" t="s">
        <v>75</v>
      </c>
      <c r="J389" t="s">
        <v>111</v>
      </c>
      <c r="K389" t="s">
        <v>7</v>
      </c>
      <c r="L389" t="s">
        <v>97</v>
      </c>
      <c r="M389">
        <v>35</v>
      </c>
      <c r="N389">
        <v>5</v>
      </c>
      <c r="O389">
        <v>0.2</v>
      </c>
      <c r="P389">
        <v>7.26</v>
      </c>
      <c r="Q389">
        <v>1.98</v>
      </c>
      <c r="R389" t="s">
        <v>9</v>
      </c>
    </row>
    <row r="390" spans="1:18" x14ac:dyDescent="0.25">
      <c r="A390" t="s">
        <v>612</v>
      </c>
      <c r="B390" s="1">
        <v>40570</v>
      </c>
      <c r="C390" s="1">
        <v>40575</v>
      </c>
      <c r="D390" t="s">
        <v>1</v>
      </c>
      <c r="E390" t="s">
        <v>392</v>
      </c>
      <c r="F390" t="s">
        <v>26</v>
      </c>
      <c r="G390" t="s">
        <v>294</v>
      </c>
      <c r="H390" t="s">
        <v>126</v>
      </c>
      <c r="I390" t="s">
        <v>127</v>
      </c>
      <c r="J390" t="s">
        <v>102</v>
      </c>
      <c r="K390" t="s">
        <v>7</v>
      </c>
      <c r="L390" t="s">
        <v>31</v>
      </c>
      <c r="M390">
        <v>19</v>
      </c>
      <c r="N390">
        <v>3</v>
      </c>
      <c r="O390">
        <v>0</v>
      </c>
      <c r="P390">
        <v>9.3312000000000008</v>
      </c>
      <c r="Q390">
        <v>1.53</v>
      </c>
      <c r="R390" t="s">
        <v>9</v>
      </c>
    </row>
    <row r="391" spans="1:18" x14ac:dyDescent="0.25">
      <c r="A391" t="s">
        <v>606</v>
      </c>
      <c r="B391" s="1">
        <v>40570</v>
      </c>
      <c r="C391" s="1">
        <v>40573</v>
      </c>
      <c r="D391" t="s">
        <v>142</v>
      </c>
      <c r="E391" t="s">
        <v>607</v>
      </c>
      <c r="F391" t="s">
        <v>43</v>
      </c>
      <c r="G391" t="s">
        <v>608</v>
      </c>
      <c r="H391" t="s">
        <v>126</v>
      </c>
      <c r="I391" t="s">
        <v>127</v>
      </c>
      <c r="J391" t="s">
        <v>76</v>
      </c>
      <c r="K391" t="s">
        <v>7</v>
      </c>
      <c r="L391" t="s">
        <v>137</v>
      </c>
      <c r="M391">
        <v>11</v>
      </c>
      <c r="N391">
        <v>2</v>
      </c>
      <c r="O391">
        <v>0</v>
      </c>
      <c r="P391">
        <v>5.0195999999999996</v>
      </c>
      <c r="Q391">
        <v>1.39</v>
      </c>
      <c r="R391" t="s">
        <v>23</v>
      </c>
    </row>
    <row r="392" spans="1:18" x14ac:dyDescent="0.25">
      <c r="A392" t="s">
        <v>612</v>
      </c>
      <c r="B392" s="1">
        <v>40570</v>
      </c>
      <c r="C392" s="1">
        <v>40575</v>
      </c>
      <c r="D392" t="s">
        <v>1</v>
      </c>
      <c r="E392" t="s">
        <v>392</v>
      </c>
      <c r="F392" t="s">
        <v>26</v>
      </c>
      <c r="G392" t="s">
        <v>294</v>
      </c>
      <c r="H392" t="s">
        <v>126</v>
      </c>
      <c r="I392" t="s">
        <v>127</v>
      </c>
      <c r="J392" t="s">
        <v>102</v>
      </c>
      <c r="K392" t="s">
        <v>7</v>
      </c>
      <c r="L392" t="s">
        <v>31</v>
      </c>
      <c r="M392">
        <v>17</v>
      </c>
      <c r="N392">
        <v>2</v>
      </c>
      <c r="O392">
        <v>0</v>
      </c>
      <c r="P392">
        <v>8.34</v>
      </c>
      <c r="Q392">
        <v>1.1299999999999999</v>
      </c>
      <c r="R392" t="s">
        <v>9</v>
      </c>
    </row>
    <row r="393" spans="1:18" x14ac:dyDescent="0.25">
      <c r="A393" t="s">
        <v>626</v>
      </c>
      <c r="B393" s="1">
        <v>40570</v>
      </c>
      <c r="C393" s="1">
        <v>40572</v>
      </c>
      <c r="D393" t="s">
        <v>142</v>
      </c>
      <c r="E393" t="s">
        <v>627</v>
      </c>
      <c r="F393" t="s">
        <v>3</v>
      </c>
      <c r="G393" t="s">
        <v>628</v>
      </c>
      <c r="H393" t="s">
        <v>580</v>
      </c>
      <c r="I393" t="s">
        <v>6</v>
      </c>
      <c r="J393" t="s">
        <v>6</v>
      </c>
      <c r="K393" t="s">
        <v>7</v>
      </c>
      <c r="L393" t="s">
        <v>137</v>
      </c>
      <c r="M393">
        <v>5</v>
      </c>
      <c r="N393">
        <v>1</v>
      </c>
      <c r="O393">
        <v>0</v>
      </c>
      <c r="P393">
        <v>2.16</v>
      </c>
      <c r="Q393">
        <v>0.54</v>
      </c>
      <c r="R393" t="s">
        <v>23</v>
      </c>
    </row>
    <row r="394" spans="1:18" x14ac:dyDescent="0.25">
      <c r="A394" t="s">
        <v>612</v>
      </c>
      <c r="B394" s="1">
        <v>40570</v>
      </c>
      <c r="C394" s="1">
        <v>40575</v>
      </c>
      <c r="D394" t="s">
        <v>1</v>
      </c>
      <c r="E394" t="s">
        <v>392</v>
      </c>
      <c r="F394" t="s">
        <v>26</v>
      </c>
      <c r="G394" t="s">
        <v>294</v>
      </c>
      <c r="H394" t="s">
        <v>126</v>
      </c>
      <c r="I394" t="s">
        <v>127</v>
      </c>
      <c r="J394" t="s">
        <v>102</v>
      </c>
      <c r="K394" t="s">
        <v>32</v>
      </c>
      <c r="L394" t="s">
        <v>33</v>
      </c>
      <c r="M394">
        <v>12</v>
      </c>
      <c r="N394">
        <v>3</v>
      </c>
      <c r="O394">
        <v>0</v>
      </c>
      <c r="P394">
        <v>4.4711999999999996</v>
      </c>
      <c r="Q394">
        <v>0.43</v>
      </c>
      <c r="R394" t="s">
        <v>9</v>
      </c>
    </row>
    <row r="395" spans="1:18" x14ac:dyDescent="0.25">
      <c r="A395" t="s">
        <v>634</v>
      </c>
      <c r="B395" s="1">
        <v>40571</v>
      </c>
      <c r="C395" s="1">
        <v>40576</v>
      </c>
      <c r="D395" t="s">
        <v>18</v>
      </c>
      <c r="E395" t="s">
        <v>245</v>
      </c>
      <c r="F395" t="s">
        <v>3</v>
      </c>
      <c r="G395" t="s">
        <v>235</v>
      </c>
      <c r="H395" t="s">
        <v>13</v>
      </c>
      <c r="I395" t="s">
        <v>14</v>
      </c>
      <c r="J395" t="s">
        <v>15</v>
      </c>
      <c r="K395" t="s">
        <v>38</v>
      </c>
      <c r="L395" t="s">
        <v>50</v>
      </c>
      <c r="M395">
        <v>532</v>
      </c>
      <c r="N395">
        <v>2</v>
      </c>
      <c r="O395">
        <v>0.1</v>
      </c>
      <c r="P395">
        <v>47.201999999999998</v>
      </c>
      <c r="Q395">
        <v>51.51</v>
      </c>
      <c r="R395" t="s">
        <v>9</v>
      </c>
    </row>
    <row r="396" spans="1:18" x14ac:dyDescent="0.25">
      <c r="A396" t="s">
        <v>635</v>
      </c>
      <c r="B396" s="1">
        <v>40571</v>
      </c>
      <c r="C396" s="1">
        <v>40577</v>
      </c>
      <c r="D396" t="s">
        <v>1</v>
      </c>
      <c r="E396" t="s">
        <v>636</v>
      </c>
      <c r="F396" t="s">
        <v>3</v>
      </c>
      <c r="G396" t="s">
        <v>191</v>
      </c>
      <c r="H396" t="s">
        <v>126</v>
      </c>
      <c r="I396" t="s">
        <v>127</v>
      </c>
      <c r="J396" t="s">
        <v>192</v>
      </c>
      <c r="K396" t="s">
        <v>32</v>
      </c>
      <c r="L396" t="s">
        <v>62</v>
      </c>
      <c r="M396">
        <v>333</v>
      </c>
      <c r="N396">
        <v>3</v>
      </c>
      <c r="O396">
        <v>0.2</v>
      </c>
      <c r="P396">
        <v>-16.649999999999999</v>
      </c>
      <c r="Q396">
        <v>23.43</v>
      </c>
      <c r="R396" t="s">
        <v>9</v>
      </c>
    </row>
    <row r="397" spans="1:18" x14ac:dyDescent="0.25">
      <c r="A397" t="s">
        <v>637</v>
      </c>
      <c r="B397" s="1">
        <v>40571</v>
      </c>
      <c r="C397" s="1">
        <v>40574</v>
      </c>
      <c r="D397" t="s">
        <v>142</v>
      </c>
      <c r="E397" t="s">
        <v>500</v>
      </c>
      <c r="F397" t="s">
        <v>43</v>
      </c>
      <c r="G397" t="s">
        <v>599</v>
      </c>
      <c r="H397" t="s">
        <v>157</v>
      </c>
      <c r="I397" t="s">
        <v>14</v>
      </c>
      <c r="J397" t="s">
        <v>61</v>
      </c>
      <c r="K397" t="s">
        <v>7</v>
      </c>
      <c r="L397" t="s">
        <v>96</v>
      </c>
      <c r="M397">
        <v>132</v>
      </c>
      <c r="N397">
        <v>5</v>
      </c>
      <c r="O397">
        <v>0.47</v>
      </c>
      <c r="P397">
        <v>-5.0505000000000004</v>
      </c>
      <c r="Q397">
        <v>9.82</v>
      </c>
      <c r="R397" t="s">
        <v>9</v>
      </c>
    </row>
    <row r="398" spans="1:18" x14ac:dyDescent="0.25">
      <c r="A398" t="s">
        <v>637</v>
      </c>
      <c r="B398" s="1">
        <v>40571</v>
      </c>
      <c r="C398" s="1">
        <v>40574</v>
      </c>
      <c r="D398" t="s">
        <v>142</v>
      </c>
      <c r="E398" t="s">
        <v>500</v>
      </c>
      <c r="F398" t="s">
        <v>43</v>
      </c>
      <c r="G398" t="s">
        <v>599</v>
      </c>
      <c r="H398" t="s">
        <v>157</v>
      </c>
      <c r="I398" t="s">
        <v>14</v>
      </c>
      <c r="J398" t="s">
        <v>61</v>
      </c>
      <c r="K398" t="s">
        <v>7</v>
      </c>
      <c r="L398" t="s">
        <v>16</v>
      </c>
      <c r="M398">
        <v>90</v>
      </c>
      <c r="N398">
        <v>5</v>
      </c>
      <c r="O398">
        <v>0.47</v>
      </c>
      <c r="P398">
        <v>-51.217500000000001</v>
      </c>
      <c r="Q398">
        <v>4.8600000000000003</v>
      </c>
      <c r="R398" t="s">
        <v>9</v>
      </c>
    </row>
    <row r="399" spans="1:18" x14ac:dyDescent="0.25">
      <c r="A399" t="s">
        <v>635</v>
      </c>
      <c r="B399" s="1">
        <v>40571</v>
      </c>
      <c r="C399" s="1">
        <v>40577</v>
      </c>
      <c r="D399" t="s">
        <v>1</v>
      </c>
      <c r="E399" t="s">
        <v>636</v>
      </c>
      <c r="F399" t="s">
        <v>3</v>
      </c>
      <c r="G399" t="s">
        <v>191</v>
      </c>
      <c r="H399" t="s">
        <v>126</v>
      </c>
      <c r="I399" t="s">
        <v>127</v>
      </c>
      <c r="J399" t="s">
        <v>192</v>
      </c>
      <c r="K399" t="s">
        <v>7</v>
      </c>
      <c r="L399" t="s">
        <v>8</v>
      </c>
      <c r="M399">
        <v>57</v>
      </c>
      <c r="N399">
        <v>1</v>
      </c>
      <c r="O399">
        <v>0</v>
      </c>
      <c r="P399">
        <v>14.307499999999999</v>
      </c>
      <c r="Q399">
        <v>4</v>
      </c>
      <c r="R399" t="s">
        <v>9</v>
      </c>
    </row>
    <row r="400" spans="1:18" x14ac:dyDescent="0.25">
      <c r="A400" t="s">
        <v>635</v>
      </c>
      <c r="B400" s="1">
        <v>40571</v>
      </c>
      <c r="C400" s="1">
        <v>40577</v>
      </c>
      <c r="D400" t="s">
        <v>1</v>
      </c>
      <c r="E400" t="s">
        <v>636</v>
      </c>
      <c r="F400" t="s">
        <v>3</v>
      </c>
      <c r="G400" t="s">
        <v>191</v>
      </c>
      <c r="H400" t="s">
        <v>126</v>
      </c>
      <c r="I400" t="s">
        <v>127</v>
      </c>
      <c r="J400" t="s">
        <v>192</v>
      </c>
      <c r="K400" t="s">
        <v>7</v>
      </c>
      <c r="L400" t="s">
        <v>91</v>
      </c>
      <c r="M400">
        <v>36</v>
      </c>
      <c r="N400">
        <v>4</v>
      </c>
      <c r="O400">
        <v>0</v>
      </c>
      <c r="P400">
        <v>12.0252</v>
      </c>
      <c r="Q400">
        <v>3.25</v>
      </c>
      <c r="R400" t="s">
        <v>9</v>
      </c>
    </row>
    <row r="401" spans="1:18" x14ac:dyDescent="0.25">
      <c r="A401" t="s">
        <v>638</v>
      </c>
      <c r="B401" s="1">
        <v>40571</v>
      </c>
      <c r="C401" s="1">
        <v>40577</v>
      </c>
      <c r="D401" t="s">
        <v>1</v>
      </c>
      <c r="E401" t="s">
        <v>639</v>
      </c>
      <c r="F401" t="s">
        <v>3</v>
      </c>
      <c r="G401" t="s">
        <v>184</v>
      </c>
      <c r="H401" t="s">
        <v>115</v>
      </c>
      <c r="I401" t="s">
        <v>29</v>
      </c>
      <c r="J401" t="s">
        <v>76</v>
      </c>
      <c r="K401" t="s">
        <v>7</v>
      </c>
      <c r="L401" t="s">
        <v>8</v>
      </c>
      <c r="M401">
        <v>28</v>
      </c>
      <c r="N401">
        <v>1</v>
      </c>
      <c r="O401">
        <v>0.1</v>
      </c>
      <c r="P401">
        <v>-0.64200000000000002</v>
      </c>
      <c r="Q401">
        <v>1.1499999999999999</v>
      </c>
      <c r="R401" t="s">
        <v>9</v>
      </c>
    </row>
    <row r="402" spans="1:18" x14ac:dyDescent="0.25">
      <c r="A402" t="s">
        <v>640</v>
      </c>
      <c r="B402" s="1">
        <v>40572</v>
      </c>
      <c r="C402" s="1">
        <v>40577</v>
      </c>
      <c r="D402" t="s">
        <v>1</v>
      </c>
      <c r="E402" t="s">
        <v>641</v>
      </c>
      <c r="F402" t="s">
        <v>3</v>
      </c>
      <c r="G402" t="s">
        <v>197</v>
      </c>
      <c r="H402" t="s">
        <v>101</v>
      </c>
      <c r="I402" t="s">
        <v>75</v>
      </c>
      <c r="J402" t="s">
        <v>102</v>
      </c>
      <c r="K402" t="s">
        <v>32</v>
      </c>
      <c r="L402" t="s">
        <v>62</v>
      </c>
      <c r="M402">
        <v>493</v>
      </c>
      <c r="N402">
        <v>2</v>
      </c>
      <c r="O402">
        <v>0.6</v>
      </c>
      <c r="P402">
        <v>-468.01600000000002</v>
      </c>
      <c r="Q402">
        <v>31.54</v>
      </c>
      <c r="R402" t="s">
        <v>9</v>
      </c>
    </row>
    <row r="403" spans="1:18" x14ac:dyDescent="0.25">
      <c r="A403" t="s">
        <v>642</v>
      </c>
      <c r="B403" s="1">
        <v>40572</v>
      </c>
      <c r="C403" s="1">
        <v>40577</v>
      </c>
      <c r="D403" t="s">
        <v>1</v>
      </c>
      <c r="E403" t="s">
        <v>641</v>
      </c>
      <c r="F403" t="s">
        <v>3</v>
      </c>
      <c r="G403" t="s">
        <v>643</v>
      </c>
      <c r="H403" t="s">
        <v>247</v>
      </c>
      <c r="I403" t="s">
        <v>75</v>
      </c>
      <c r="J403" t="s">
        <v>102</v>
      </c>
      <c r="K403" t="s">
        <v>32</v>
      </c>
      <c r="L403" t="s">
        <v>62</v>
      </c>
      <c r="M403">
        <v>369</v>
      </c>
      <c r="N403">
        <v>2</v>
      </c>
      <c r="O403">
        <v>0.7</v>
      </c>
      <c r="P403">
        <v>-591.17200000000003</v>
      </c>
      <c r="Q403">
        <v>18.73</v>
      </c>
      <c r="R403" t="s">
        <v>9</v>
      </c>
    </row>
    <row r="404" spans="1:18" x14ac:dyDescent="0.25">
      <c r="A404" t="s">
        <v>644</v>
      </c>
      <c r="B404" s="1">
        <v>40572</v>
      </c>
      <c r="C404" s="1">
        <v>40578</v>
      </c>
      <c r="D404" t="s">
        <v>1</v>
      </c>
      <c r="E404" t="s">
        <v>645</v>
      </c>
      <c r="F404" t="s">
        <v>43</v>
      </c>
      <c r="G404" t="s">
        <v>646</v>
      </c>
      <c r="H404" t="s">
        <v>647</v>
      </c>
      <c r="I404" t="s">
        <v>6</v>
      </c>
      <c r="J404" t="s">
        <v>6</v>
      </c>
      <c r="K404" t="s">
        <v>7</v>
      </c>
      <c r="L404" t="s">
        <v>16</v>
      </c>
      <c r="M404">
        <v>44</v>
      </c>
      <c r="N404">
        <v>1</v>
      </c>
      <c r="O404">
        <v>0</v>
      </c>
      <c r="P404">
        <v>16.23</v>
      </c>
      <c r="Q404">
        <v>3.35</v>
      </c>
      <c r="R404" t="s">
        <v>9</v>
      </c>
    </row>
    <row r="405" spans="1:18" x14ac:dyDescent="0.25">
      <c r="A405" t="s">
        <v>648</v>
      </c>
      <c r="B405" s="1">
        <v>40572</v>
      </c>
      <c r="C405" s="1">
        <v>40578</v>
      </c>
      <c r="D405" t="s">
        <v>1</v>
      </c>
      <c r="E405" t="s">
        <v>134</v>
      </c>
      <c r="F405" t="s">
        <v>3</v>
      </c>
      <c r="G405" t="s">
        <v>649</v>
      </c>
      <c r="H405" t="s">
        <v>126</v>
      </c>
      <c r="I405" t="s">
        <v>127</v>
      </c>
      <c r="J405" t="s">
        <v>173</v>
      </c>
      <c r="K405" t="s">
        <v>7</v>
      </c>
      <c r="L405" t="s">
        <v>137</v>
      </c>
      <c r="M405">
        <v>4</v>
      </c>
      <c r="N405">
        <v>1</v>
      </c>
      <c r="O405">
        <v>0.2</v>
      </c>
      <c r="P405">
        <v>1.3257000000000001</v>
      </c>
      <c r="Q405">
        <v>0.36</v>
      </c>
      <c r="R405" t="s">
        <v>9</v>
      </c>
    </row>
    <row r="406" spans="1:18" x14ac:dyDescent="0.25">
      <c r="A406" t="s">
        <v>650</v>
      </c>
      <c r="B406" s="1">
        <v>40573</v>
      </c>
      <c r="C406" s="1">
        <v>40573</v>
      </c>
      <c r="D406" t="s">
        <v>41</v>
      </c>
      <c r="E406" t="s">
        <v>651</v>
      </c>
      <c r="F406" t="s">
        <v>43</v>
      </c>
      <c r="G406" t="s">
        <v>48</v>
      </c>
      <c r="H406" t="s">
        <v>49</v>
      </c>
      <c r="I406" t="s">
        <v>14</v>
      </c>
      <c r="J406" t="s">
        <v>15</v>
      </c>
      <c r="K406" t="s">
        <v>32</v>
      </c>
      <c r="L406" t="s">
        <v>56</v>
      </c>
      <c r="M406">
        <v>162</v>
      </c>
      <c r="N406">
        <v>2</v>
      </c>
      <c r="O406">
        <v>0.4</v>
      </c>
      <c r="P406">
        <v>-29.687999999999999</v>
      </c>
      <c r="Q406">
        <v>63.14</v>
      </c>
      <c r="R406" t="s">
        <v>23</v>
      </c>
    </row>
    <row r="407" spans="1:18" x14ac:dyDescent="0.25">
      <c r="A407" t="s">
        <v>652</v>
      </c>
      <c r="B407" s="1">
        <v>40573</v>
      </c>
      <c r="C407" s="1">
        <v>40578</v>
      </c>
      <c r="D407" t="s">
        <v>18</v>
      </c>
      <c r="E407" t="s">
        <v>653</v>
      </c>
      <c r="F407" t="s">
        <v>3</v>
      </c>
      <c r="G407" t="s">
        <v>450</v>
      </c>
      <c r="H407" t="s">
        <v>223</v>
      </c>
      <c r="I407" t="s">
        <v>6</v>
      </c>
      <c r="J407" t="s">
        <v>6</v>
      </c>
      <c r="K407" t="s">
        <v>38</v>
      </c>
      <c r="L407" t="s">
        <v>50</v>
      </c>
      <c r="M407">
        <v>191</v>
      </c>
      <c r="N407">
        <v>2</v>
      </c>
      <c r="O407">
        <v>0.7</v>
      </c>
      <c r="P407">
        <v>-382.08600000000001</v>
      </c>
      <c r="Q407">
        <v>19.190000000000001</v>
      </c>
      <c r="R407" t="s">
        <v>9</v>
      </c>
    </row>
    <row r="408" spans="1:18" x14ac:dyDescent="0.25">
      <c r="A408" t="s">
        <v>652</v>
      </c>
      <c r="B408" s="1">
        <v>40573</v>
      </c>
      <c r="C408" s="1">
        <v>40578</v>
      </c>
      <c r="D408" t="s">
        <v>18</v>
      </c>
      <c r="E408" t="s">
        <v>653</v>
      </c>
      <c r="F408" t="s">
        <v>3</v>
      </c>
      <c r="G408" t="s">
        <v>450</v>
      </c>
      <c r="H408" t="s">
        <v>223</v>
      </c>
      <c r="I408" t="s">
        <v>6</v>
      </c>
      <c r="J408" t="s">
        <v>6</v>
      </c>
      <c r="K408" t="s">
        <v>7</v>
      </c>
      <c r="L408" t="s">
        <v>31</v>
      </c>
      <c r="M408">
        <v>18</v>
      </c>
      <c r="N408">
        <v>4</v>
      </c>
      <c r="O408">
        <v>0.7</v>
      </c>
      <c r="P408">
        <v>-32.22</v>
      </c>
      <c r="Q408">
        <v>2.36</v>
      </c>
      <c r="R408" t="s">
        <v>9</v>
      </c>
    </row>
    <row r="409" spans="1:18" x14ac:dyDescent="0.25">
      <c r="A409" t="s">
        <v>652</v>
      </c>
      <c r="B409" s="1">
        <v>40573</v>
      </c>
      <c r="C409" s="1">
        <v>40578</v>
      </c>
      <c r="D409" t="s">
        <v>18</v>
      </c>
      <c r="E409" t="s">
        <v>653</v>
      </c>
      <c r="F409" t="s">
        <v>3</v>
      </c>
      <c r="G409" t="s">
        <v>450</v>
      </c>
      <c r="H409" t="s">
        <v>223</v>
      </c>
      <c r="I409" t="s">
        <v>6</v>
      </c>
      <c r="J409" t="s">
        <v>6</v>
      </c>
      <c r="K409" t="s">
        <v>38</v>
      </c>
      <c r="L409" t="s">
        <v>77</v>
      </c>
      <c r="M409">
        <v>42</v>
      </c>
      <c r="N409">
        <v>1</v>
      </c>
      <c r="O409">
        <v>0.7</v>
      </c>
      <c r="P409">
        <v>-62.79</v>
      </c>
      <c r="Q409">
        <v>2.27</v>
      </c>
      <c r="R409" t="s">
        <v>9</v>
      </c>
    </row>
    <row r="410" spans="1:18" x14ac:dyDescent="0.25">
      <c r="A410" t="s">
        <v>654</v>
      </c>
      <c r="B410" s="1">
        <v>40573</v>
      </c>
      <c r="C410" s="1">
        <v>40574</v>
      </c>
      <c r="D410" t="s">
        <v>142</v>
      </c>
      <c r="E410" t="s">
        <v>655</v>
      </c>
      <c r="F410" t="s">
        <v>3</v>
      </c>
      <c r="G410" t="s">
        <v>450</v>
      </c>
      <c r="H410" t="s">
        <v>223</v>
      </c>
      <c r="I410" t="s">
        <v>6</v>
      </c>
      <c r="J410" t="s">
        <v>6</v>
      </c>
      <c r="K410" t="s">
        <v>7</v>
      </c>
      <c r="L410" t="s">
        <v>137</v>
      </c>
      <c r="M410">
        <v>5</v>
      </c>
      <c r="N410">
        <v>2</v>
      </c>
      <c r="O410">
        <v>0.7</v>
      </c>
      <c r="P410">
        <v>-5.5380000000000003</v>
      </c>
      <c r="Q410">
        <v>1.01</v>
      </c>
      <c r="R410" t="s">
        <v>45</v>
      </c>
    </row>
    <row r="411" spans="1:18" x14ac:dyDescent="0.25">
      <c r="A411" t="s">
        <v>654</v>
      </c>
      <c r="B411" s="1">
        <v>40573</v>
      </c>
      <c r="C411" s="1">
        <v>40574</v>
      </c>
      <c r="D411" t="s">
        <v>142</v>
      </c>
      <c r="E411" t="s">
        <v>655</v>
      </c>
      <c r="F411" t="s">
        <v>3</v>
      </c>
      <c r="G411" t="s">
        <v>450</v>
      </c>
      <c r="H411" t="s">
        <v>223</v>
      </c>
      <c r="I411" t="s">
        <v>6</v>
      </c>
      <c r="J411" t="s">
        <v>6</v>
      </c>
      <c r="K411" t="s">
        <v>7</v>
      </c>
      <c r="L411" t="s">
        <v>87</v>
      </c>
      <c r="M411">
        <v>4</v>
      </c>
      <c r="N411">
        <v>1</v>
      </c>
      <c r="O411">
        <v>0.7</v>
      </c>
      <c r="P411">
        <v>-8.6010000000000009</v>
      </c>
      <c r="Q411">
        <v>0.6</v>
      </c>
      <c r="R411" t="s">
        <v>45</v>
      </c>
    </row>
    <row r="412" spans="1:18" x14ac:dyDescent="0.25">
      <c r="A412" t="s">
        <v>652</v>
      </c>
      <c r="B412" s="1">
        <v>40573</v>
      </c>
      <c r="C412" s="1">
        <v>40578</v>
      </c>
      <c r="D412" t="s">
        <v>18</v>
      </c>
      <c r="E412" t="s">
        <v>653</v>
      </c>
      <c r="F412" t="s">
        <v>3</v>
      </c>
      <c r="G412" t="s">
        <v>450</v>
      </c>
      <c r="H412" t="s">
        <v>223</v>
      </c>
      <c r="I412" t="s">
        <v>6</v>
      </c>
      <c r="J412" t="s">
        <v>6</v>
      </c>
      <c r="K412" t="s">
        <v>7</v>
      </c>
      <c r="L412" t="s">
        <v>137</v>
      </c>
      <c r="M412">
        <v>20</v>
      </c>
      <c r="N412">
        <v>6</v>
      </c>
      <c r="O412">
        <v>0.7</v>
      </c>
      <c r="P412">
        <v>-29.718</v>
      </c>
      <c r="Q412">
        <v>0.39</v>
      </c>
      <c r="R412" t="s">
        <v>9</v>
      </c>
    </row>
    <row r="413" spans="1:18" x14ac:dyDescent="0.25">
      <c r="A413" t="s">
        <v>652</v>
      </c>
      <c r="B413" s="1">
        <v>40573</v>
      </c>
      <c r="C413" s="1">
        <v>40578</v>
      </c>
      <c r="D413" t="s">
        <v>18</v>
      </c>
      <c r="E413" t="s">
        <v>653</v>
      </c>
      <c r="F413" t="s">
        <v>3</v>
      </c>
      <c r="G413" t="s">
        <v>450</v>
      </c>
      <c r="H413" t="s">
        <v>223</v>
      </c>
      <c r="I413" t="s">
        <v>6</v>
      </c>
      <c r="J413" t="s">
        <v>6</v>
      </c>
      <c r="K413" t="s">
        <v>7</v>
      </c>
      <c r="L413" t="s">
        <v>96</v>
      </c>
      <c r="M413">
        <v>12</v>
      </c>
      <c r="N413">
        <v>1</v>
      </c>
      <c r="O413">
        <v>0.7</v>
      </c>
      <c r="P413">
        <v>-8.2829999999999995</v>
      </c>
      <c r="Q413">
        <v>0.32</v>
      </c>
      <c r="R413" t="s">
        <v>9</v>
      </c>
    </row>
    <row r="414" spans="1:18" x14ac:dyDescent="0.25">
      <c r="A414" t="s">
        <v>652</v>
      </c>
      <c r="B414" s="1">
        <v>40573</v>
      </c>
      <c r="C414" s="1">
        <v>40578</v>
      </c>
      <c r="D414" t="s">
        <v>18</v>
      </c>
      <c r="E414" t="s">
        <v>653</v>
      </c>
      <c r="F414" t="s">
        <v>3</v>
      </c>
      <c r="G414" t="s">
        <v>450</v>
      </c>
      <c r="H414" t="s">
        <v>223</v>
      </c>
      <c r="I414" t="s">
        <v>6</v>
      </c>
      <c r="J414" t="s">
        <v>6</v>
      </c>
      <c r="K414" t="s">
        <v>7</v>
      </c>
      <c r="L414" t="s">
        <v>137</v>
      </c>
      <c r="M414">
        <v>1</v>
      </c>
      <c r="N414">
        <v>1</v>
      </c>
      <c r="O414">
        <v>0.7</v>
      </c>
      <c r="P414">
        <v>-2.3490000000000002</v>
      </c>
      <c r="Q414">
        <v>0.12</v>
      </c>
      <c r="R414" t="s">
        <v>9</v>
      </c>
    </row>
    <row r="415" spans="1:18" x14ac:dyDescent="0.25">
      <c r="A415" t="s">
        <v>656</v>
      </c>
      <c r="B415" s="1">
        <v>40574</v>
      </c>
      <c r="C415" s="1">
        <v>40580</v>
      </c>
      <c r="D415" t="s">
        <v>1</v>
      </c>
      <c r="E415" t="s">
        <v>657</v>
      </c>
      <c r="F415" t="s">
        <v>3</v>
      </c>
      <c r="G415" t="s">
        <v>523</v>
      </c>
      <c r="H415" t="s">
        <v>49</v>
      </c>
      <c r="I415" t="s">
        <v>14</v>
      </c>
      <c r="J415" t="s">
        <v>15</v>
      </c>
      <c r="K415" t="s">
        <v>38</v>
      </c>
      <c r="L415" t="s">
        <v>77</v>
      </c>
      <c r="M415" s="2">
        <v>2571</v>
      </c>
      <c r="N415">
        <v>4</v>
      </c>
      <c r="O415">
        <v>0</v>
      </c>
      <c r="P415">
        <v>102.84</v>
      </c>
      <c r="Q415">
        <v>129</v>
      </c>
      <c r="R415" t="s">
        <v>9</v>
      </c>
    </row>
    <row r="416" spans="1:18" x14ac:dyDescent="0.25">
      <c r="A416" t="s">
        <v>656</v>
      </c>
      <c r="B416" s="1">
        <v>40574</v>
      </c>
      <c r="C416" s="1">
        <v>40580</v>
      </c>
      <c r="D416" t="s">
        <v>1</v>
      </c>
      <c r="E416" t="s">
        <v>657</v>
      </c>
      <c r="F416" t="s">
        <v>3</v>
      </c>
      <c r="G416" t="s">
        <v>523</v>
      </c>
      <c r="H416" t="s">
        <v>49</v>
      </c>
      <c r="I416" t="s">
        <v>14</v>
      </c>
      <c r="J416" t="s">
        <v>15</v>
      </c>
      <c r="K416" t="s">
        <v>32</v>
      </c>
      <c r="L416" t="s">
        <v>62</v>
      </c>
      <c r="M416" s="2">
        <v>1917</v>
      </c>
      <c r="N416">
        <v>4</v>
      </c>
      <c r="O416">
        <v>0</v>
      </c>
      <c r="P416">
        <v>517.55999999999995</v>
      </c>
      <c r="Q416">
        <v>104.29</v>
      </c>
      <c r="R416" t="s">
        <v>9</v>
      </c>
    </row>
    <row r="417" spans="1:18" x14ac:dyDescent="0.25">
      <c r="A417" t="s">
        <v>658</v>
      </c>
      <c r="B417" s="1">
        <v>40574</v>
      </c>
      <c r="C417" s="1">
        <v>40579</v>
      </c>
      <c r="D417" t="s">
        <v>1</v>
      </c>
      <c r="E417" t="s">
        <v>659</v>
      </c>
      <c r="F417" t="s">
        <v>43</v>
      </c>
      <c r="G417" t="s">
        <v>660</v>
      </c>
      <c r="H417" t="s">
        <v>13</v>
      </c>
      <c r="I417" t="s">
        <v>14</v>
      </c>
      <c r="J417" t="s">
        <v>15</v>
      </c>
      <c r="K417" t="s">
        <v>38</v>
      </c>
      <c r="L417" t="s">
        <v>39</v>
      </c>
      <c r="M417">
        <v>839</v>
      </c>
      <c r="N417">
        <v>3</v>
      </c>
      <c r="O417">
        <v>0.1</v>
      </c>
      <c r="P417">
        <v>121.113</v>
      </c>
      <c r="Q417">
        <v>54.17</v>
      </c>
      <c r="R417" t="s">
        <v>23</v>
      </c>
    </row>
    <row r="418" spans="1:18" x14ac:dyDescent="0.25">
      <c r="A418" t="s">
        <v>661</v>
      </c>
      <c r="B418" s="1">
        <v>40574</v>
      </c>
      <c r="C418" s="1">
        <v>40579</v>
      </c>
      <c r="D418" t="s">
        <v>1</v>
      </c>
      <c r="E418" t="s">
        <v>662</v>
      </c>
      <c r="F418" t="s">
        <v>3</v>
      </c>
      <c r="G418" t="s">
        <v>468</v>
      </c>
      <c r="H418" t="s">
        <v>126</v>
      </c>
      <c r="I418" t="s">
        <v>127</v>
      </c>
      <c r="J418" t="s">
        <v>76</v>
      </c>
      <c r="K418" t="s">
        <v>7</v>
      </c>
      <c r="L418" t="s">
        <v>8</v>
      </c>
      <c r="M418">
        <v>230</v>
      </c>
      <c r="N418">
        <v>2</v>
      </c>
      <c r="O418">
        <v>0</v>
      </c>
      <c r="P418">
        <v>6.8982000000000001</v>
      </c>
      <c r="Q418">
        <v>22.58</v>
      </c>
      <c r="R418" t="s">
        <v>23</v>
      </c>
    </row>
    <row r="419" spans="1:18" x14ac:dyDescent="0.25">
      <c r="A419" t="s">
        <v>663</v>
      </c>
      <c r="B419" s="1">
        <v>40574</v>
      </c>
      <c r="C419" s="1">
        <v>40578</v>
      </c>
      <c r="D419" t="s">
        <v>1</v>
      </c>
      <c r="E419" t="s">
        <v>664</v>
      </c>
      <c r="F419" t="s">
        <v>3</v>
      </c>
      <c r="G419" t="s">
        <v>665</v>
      </c>
      <c r="H419" t="s">
        <v>580</v>
      </c>
      <c r="I419" t="s">
        <v>6</v>
      </c>
      <c r="J419" t="s">
        <v>6</v>
      </c>
      <c r="K419" t="s">
        <v>32</v>
      </c>
      <c r="L419" t="s">
        <v>67</v>
      </c>
      <c r="M419">
        <v>436</v>
      </c>
      <c r="N419">
        <v>1</v>
      </c>
      <c r="O419">
        <v>0</v>
      </c>
      <c r="P419">
        <v>178.74</v>
      </c>
      <c r="Q419">
        <v>22.32</v>
      </c>
      <c r="R419" t="s">
        <v>9</v>
      </c>
    </row>
    <row r="420" spans="1:18" x14ac:dyDescent="0.25">
      <c r="A420" t="s">
        <v>663</v>
      </c>
      <c r="B420" s="1">
        <v>40574</v>
      </c>
      <c r="C420" s="1">
        <v>40578</v>
      </c>
      <c r="D420" t="s">
        <v>1</v>
      </c>
      <c r="E420" t="s">
        <v>664</v>
      </c>
      <c r="F420" t="s">
        <v>3</v>
      </c>
      <c r="G420" t="s">
        <v>665</v>
      </c>
      <c r="H420" t="s">
        <v>580</v>
      </c>
      <c r="I420" t="s">
        <v>6</v>
      </c>
      <c r="J420" t="s">
        <v>6</v>
      </c>
      <c r="K420" t="s">
        <v>32</v>
      </c>
      <c r="L420" t="s">
        <v>56</v>
      </c>
      <c r="M420">
        <v>334</v>
      </c>
      <c r="N420">
        <v>2</v>
      </c>
      <c r="O420">
        <v>0</v>
      </c>
      <c r="P420">
        <v>26.7</v>
      </c>
      <c r="Q420">
        <v>19.34</v>
      </c>
      <c r="R420" t="s">
        <v>9</v>
      </c>
    </row>
    <row r="421" spans="1:18" x14ac:dyDescent="0.25">
      <c r="A421" t="s">
        <v>658</v>
      </c>
      <c r="B421" s="1">
        <v>40574</v>
      </c>
      <c r="C421" s="1">
        <v>40579</v>
      </c>
      <c r="D421" t="s">
        <v>1</v>
      </c>
      <c r="E421" t="s">
        <v>659</v>
      </c>
      <c r="F421" t="s">
        <v>43</v>
      </c>
      <c r="G421" t="s">
        <v>660</v>
      </c>
      <c r="H421" t="s">
        <v>13</v>
      </c>
      <c r="I421" t="s">
        <v>14</v>
      </c>
      <c r="J421" t="s">
        <v>15</v>
      </c>
      <c r="K421" t="s">
        <v>32</v>
      </c>
      <c r="L421" t="s">
        <v>56</v>
      </c>
      <c r="M421">
        <v>374</v>
      </c>
      <c r="N421">
        <v>8</v>
      </c>
      <c r="O421">
        <v>0.1</v>
      </c>
      <c r="P421">
        <v>24.696000000000002</v>
      </c>
      <c r="Q421">
        <v>15.85</v>
      </c>
      <c r="R421" t="s">
        <v>23</v>
      </c>
    </row>
    <row r="422" spans="1:18" x14ac:dyDescent="0.25">
      <c r="A422" t="s">
        <v>666</v>
      </c>
      <c r="B422" s="1">
        <v>40574</v>
      </c>
      <c r="C422" s="1">
        <v>40577</v>
      </c>
      <c r="D422" t="s">
        <v>142</v>
      </c>
      <c r="E422" t="s">
        <v>667</v>
      </c>
      <c r="F422" t="s">
        <v>3</v>
      </c>
      <c r="G422" t="s">
        <v>344</v>
      </c>
      <c r="H422" t="s">
        <v>345</v>
      </c>
      <c r="I422" t="s">
        <v>75</v>
      </c>
      <c r="J422" t="s">
        <v>76</v>
      </c>
      <c r="K422" t="s">
        <v>7</v>
      </c>
      <c r="L422" t="s">
        <v>31</v>
      </c>
      <c r="M422">
        <v>35</v>
      </c>
      <c r="N422">
        <v>3</v>
      </c>
      <c r="O422">
        <v>0</v>
      </c>
      <c r="P422">
        <v>12.66</v>
      </c>
      <c r="Q422">
        <v>12.7</v>
      </c>
      <c r="R422" t="s">
        <v>45</v>
      </c>
    </row>
    <row r="423" spans="1:18" x14ac:dyDescent="0.25">
      <c r="A423" t="s">
        <v>668</v>
      </c>
      <c r="B423" s="1">
        <v>40574</v>
      </c>
      <c r="C423" s="1">
        <v>40580</v>
      </c>
      <c r="D423" t="s">
        <v>1</v>
      </c>
      <c r="E423" t="s">
        <v>669</v>
      </c>
      <c r="F423" t="s">
        <v>3</v>
      </c>
      <c r="G423" t="s">
        <v>670</v>
      </c>
      <c r="H423" t="s">
        <v>169</v>
      </c>
      <c r="I423" t="s">
        <v>14</v>
      </c>
      <c r="J423" t="s">
        <v>132</v>
      </c>
      <c r="K423" t="s">
        <v>7</v>
      </c>
      <c r="L423" t="s">
        <v>137</v>
      </c>
      <c r="M423">
        <v>164</v>
      </c>
      <c r="N423">
        <v>6</v>
      </c>
      <c r="O423">
        <v>0</v>
      </c>
      <c r="P423">
        <v>18</v>
      </c>
      <c r="Q423">
        <v>10.65</v>
      </c>
      <c r="R423" t="s">
        <v>9</v>
      </c>
    </row>
    <row r="424" spans="1:18" x14ac:dyDescent="0.25">
      <c r="A424" t="s">
        <v>671</v>
      </c>
      <c r="B424" s="1">
        <v>40574</v>
      </c>
      <c r="C424" s="1">
        <v>40580</v>
      </c>
      <c r="D424" t="s">
        <v>1</v>
      </c>
      <c r="E424" t="s">
        <v>672</v>
      </c>
      <c r="F424" t="s">
        <v>43</v>
      </c>
      <c r="G424" t="s">
        <v>673</v>
      </c>
      <c r="H424" t="s">
        <v>368</v>
      </c>
      <c r="I424" t="s">
        <v>75</v>
      </c>
      <c r="J424" t="s">
        <v>111</v>
      </c>
      <c r="K424" t="s">
        <v>7</v>
      </c>
      <c r="L424" t="s">
        <v>137</v>
      </c>
      <c r="M424">
        <v>85</v>
      </c>
      <c r="N424">
        <v>3</v>
      </c>
      <c r="O424">
        <v>0.2</v>
      </c>
      <c r="P424">
        <v>-20.148</v>
      </c>
      <c r="Q424">
        <v>8.52</v>
      </c>
      <c r="R424" t="s">
        <v>9</v>
      </c>
    </row>
    <row r="425" spans="1:18" x14ac:dyDescent="0.25">
      <c r="A425" t="s">
        <v>663</v>
      </c>
      <c r="B425" s="1">
        <v>40574</v>
      </c>
      <c r="C425" s="1">
        <v>40578</v>
      </c>
      <c r="D425" t="s">
        <v>1</v>
      </c>
      <c r="E425" t="s">
        <v>664</v>
      </c>
      <c r="F425" t="s">
        <v>3</v>
      </c>
      <c r="G425" t="s">
        <v>665</v>
      </c>
      <c r="H425" t="s">
        <v>580</v>
      </c>
      <c r="I425" t="s">
        <v>6</v>
      </c>
      <c r="J425" t="s">
        <v>6</v>
      </c>
      <c r="K425" t="s">
        <v>7</v>
      </c>
      <c r="L425" t="s">
        <v>16</v>
      </c>
      <c r="M425">
        <v>95</v>
      </c>
      <c r="N425">
        <v>4</v>
      </c>
      <c r="O425">
        <v>0</v>
      </c>
      <c r="P425">
        <v>23.76</v>
      </c>
      <c r="Q425">
        <v>6.18</v>
      </c>
      <c r="R425" t="s">
        <v>9</v>
      </c>
    </row>
    <row r="426" spans="1:18" x14ac:dyDescent="0.25">
      <c r="A426" t="s">
        <v>656</v>
      </c>
      <c r="B426" s="1">
        <v>40574</v>
      </c>
      <c r="C426" s="1">
        <v>40580</v>
      </c>
      <c r="D426" t="s">
        <v>1</v>
      </c>
      <c r="E426" t="s">
        <v>657</v>
      </c>
      <c r="F426" t="s">
        <v>3</v>
      </c>
      <c r="G426" t="s">
        <v>523</v>
      </c>
      <c r="H426" t="s">
        <v>49</v>
      </c>
      <c r="I426" t="s">
        <v>14</v>
      </c>
      <c r="J426" t="s">
        <v>15</v>
      </c>
      <c r="K426" t="s">
        <v>7</v>
      </c>
      <c r="L426" t="s">
        <v>31</v>
      </c>
      <c r="M426">
        <v>122</v>
      </c>
      <c r="N426">
        <v>4</v>
      </c>
      <c r="O426">
        <v>0</v>
      </c>
      <c r="P426">
        <v>32.880000000000003</v>
      </c>
      <c r="Q426">
        <v>5.85</v>
      </c>
      <c r="R426" t="s">
        <v>9</v>
      </c>
    </row>
    <row r="427" spans="1:18" x14ac:dyDescent="0.25">
      <c r="A427" t="s">
        <v>656</v>
      </c>
      <c r="B427" s="1">
        <v>40574</v>
      </c>
      <c r="C427" s="1">
        <v>40580</v>
      </c>
      <c r="D427" t="s">
        <v>1</v>
      </c>
      <c r="E427" t="s">
        <v>657</v>
      </c>
      <c r="F427" t="s">
        <v>3</v>
      </c>
      <c r="G427" t="s">
        <v>523</v>
      </c>
      <c r="H427" t="s">
        <v>49</v>
      </c>
      <c r="I427" t="s">
        <v>14</v>
      </c>
      <c r="J427" t="s">
        <v>15</v>
      </c>
      <c r="K427" t="s">
        <v>7</v>
      </c>
      <c r="L427" t="s">
        <v>87</v>
      </c>
      <c r="M427">
        <v>62</v>
      </c>
      <c r="N427">
        <v>6</v>
      </c>
      <c r="O427">
        <v>0</v>
      </c>
      <c r="P427">
        <v>18.54</v>
      </c>
      <c r="Q427">
        <v>5.18</v>
      </c>
      <c r="R427" t="s">
        <v>9</v>
      </c>
    </row>
    <row r="428" spans="1:18" x14ac:dyDescent="0.25">
      <c r="A428" t="s">
        <v>656</v>
      </c>
      <c r="B428" s="1">
        <v>40574</v>
      </c>
      <c r="C428" s="1">
        <v>40580</v>
      </c>
      <c r="D428" t="s">
        <v>1</v>
      </c>
      <c r="E428" t="s">
        <v>657</v>
      </c>
      <c r="F428" t="s">
        <v>3</v>
      </c>
      <c r="G428" t="s">
        <v>523</v>
      </c>
      <c r="H428" t="s">
        <v>49</v>
      </c>
      <c r="I428" t="s">
        <v>14</v>
      </c>
      <c r="J428" t="s">
        <v>15</v>
      </c>
      <c r="K428" t="s">
        <v>7</v>
      </c>
      <c r="L428" t="s">
        <v>31</v>
      </c>
      <c r="M428">
        <v>106</v>
      </c>
      <c r="N428">
        <v>6</v>
      </c>
      <c r="O428">
        <v>0</v>
      </c>
      <c r="P428">
        <v>48.6</v>
      </c>
      <c r="Q428">
        <v>5.01</v>
      </c>
      <c r="R428" t="s">
        <v>9</v>
      </c>
    </row>
    <row r="429" spans="1:18" x14ac:dyDescent="0.25">
      <c r="A429" t="s">
        <v>674</v>
      </c>
      <c r="B429" s="1">
        <v>40574</v>
      </c>
      <c r="C429" s="1">
        <v>40579</v>
      </c>
      <c r="D429" t="s">
        <v>1</v>
      </c>
      <c r="E429" t="s">
        <v>675</v>
      </c>
      <c r="F429" t="s">
        <v>26</v>
      </c>
      <c r="G429" t="s">
        <v>203</v>
      </c>
      <c r="H429" t="s">
        <v>203</v>
      </c>
      <c r="I429" t="s">
        <v>14</v>
      </c>
      <c r="J429" t="s">
        <v>61</v>
      </c>
      <c r="K429" t="s">
        <v>7</v>
      </c>
      <c r="L429" t="s">
        <v>137</v>
      </c>
      <c r="M429">
        <v>113</v>
      </c>
      <c r="N429">
        <v>4</v>
      </c>
      <c r="O429">
        <v>0</v>
      </c>
      <c r="P429">
        <v>55.56</v>
      </c>
      <c r="Q429">
        <v>4.51</v>
      </c>
      <c r="R429" t="s">
        <v>9</v>
      </c>
    </row>
    <row r="430" spans="1:18" x14ac:dyDescent="0.25">
      <c r="A430" t="s">
        <v>663</v>
      </c>
      <c r="B430" s="1">
        <v>40574</v>
      </c>
      <c r="C430" s="1">
        <v>40578</v>
      </c>
      <c r="D430" t="s">
        <v>1</v>
      </c>
      <c r="E430" t="s">
        <v>664</v>
      </c>
      <c r="F430" t="s">
        <v>3</v>
      </c>
      <c r="G430" t="s">
        <v>665</v>
      </c>
      <c r="H430" t="s">
        <v>580</v>
      </c>
      <c r="I430" t="s">
        <v>6</v>
      </c>
      <c r="J430" t="s">
        <v>6</v>
      </c>
      <c r="K430" t="s">
        <v>7</v>
      </c>
      <c r="L430" t="s">
        <v>16</v>
      </c>
      <c r="M430">
        <v>63</v>
      </c>
      <c r="N430">
        <v>6</v>
      </c>
      <c r="O430">
        <v>0</v>
      </c>
      <c r="P430">
        <v>11.34</v>
      </c>
      <c r="Q430">
        <v>3.6</v>
      </c>
      <c r="R430" t="s">
        <v>9</v>
      </c>
    </row>
    <row r="431" spans="1:18" x14ac:dyDescent="0.25">
      <c r="A431" t="s">
        <v>663</v>
      </c>
      <c r="B431" s="1">
        <v>40574</v>
      </c>
      <c r="C431" s="1">
        <v>40578</v>
      </c>
      <c r="D431" t="s">
        <v>1</v>
      </c>
      <c r="E431" t="s">
        <v>664</v>
      </c>
      <c r="F431" t="s">
        <v>3</v>
      </c>
      <c r="G431" t="s">
        <v>665</v>
      </c>
      <c r="H431" t="s">
        <v>580</v>
      </c>
      <c r="I431" t="s">
        <v>6</v>
      </c>
      <c r="J431" t="s">
        <v>6</v>
      </c>
      <c r="K431" t="s">
        <v>7</v>
      </c>
      <c r="L431" t="s">
        <v>96</v>
      </c>
      <c r="M431">
        <v>24</v>
      </c>
      <c r="N431">
        <v>1</v>
      </c>
      <c r="O431">
        <v>0</v>
      </c>
      <c r="P431">
        <v>2.85</v>
      </c>
      <c r="Q431">
        <v>2.12</v>
      </c>
      <c r="R431" t="s">
        <v>9</v>
      </c>
    </row>
    <row r="432" spans="1:18" x14ac:dyDescent="0.25">
      <c r="A432" t="s">
        <v>671</v>
      </c>
      <c r="B432" s="1">
        <v>40574</v>
      </c>
      <c r="C432" s="1">
        <v>40580</v>
      </c>
      <c r="D432" t="s">
        <v>1</v>
      </c>
      <c r="E432" t="s">
        <v>672</v>
      </c>
      <c r="F432" t="s">
        <v>43</v>
      </c>
      <c r="G432" t="s">
        <v>673</v>
      </c>
      <c r="H432" t="s">
        <v>368</v>
      </c>
      <c r="I432" t="s">
        <v>75</v>
      </c>
      <c r="J432" t="s">
        <v>111</v>
      </c>
      <c r="K432" t="s">
        <v>7</v>
      </c>
      <c r="L432" t="s">
        <v>91</v>
      </c>
      <c r="M432">
        <v>30</v>
      </c>
      <c r="N432">
        <v>4</v>
      </c>
      <c r="O432">
        <v>0.2</v>
      </c>
      <c r="P432">
        <v>-7.2960000000000003</v>
      </c>
      <c r="Q432">
        <v>1.99</v>
      </c>
      <c r="R432" t="s">
        <v>9</v>
      </c>
    </row>
    <row r="433" spans="1:18" x14ac:dyDescent="0.25">
      <c r="A433" t="s">
        <v>656</v>
      </c>
      <c r="B433" s="1">
        <v>40574</v>
      </c>
      <c r="C433" s="1">
        <v>40580</v>
      </c>
      <c r="D433" t="s">
        <v>1</v>
      </c>
      <c r="E433" t="s">
        <v>657</v>
      </c>
      <c r="F433" t="s">
        <v>3</v>
      </c>
      <c r="G433" t="s">
        <v>523</v>
      </c>
      <c r="H433" t="s">
        <v>49</v>
      </c>
      <c r="I433" t="s">
        <v>14</v>
      </c>
      <c r="J433" t="s">
        <v>15</v>
      </c>
      <c r="K433" t="s">
        <v>7</v>
      </c>
      <c r="L433" t="s">
        <v>8</v>
      </c>
      <c r="M433">
        <v>32</v>
      </c>
      <c r="N433">
        <v>2</v>
      </c>
      <c r="O433">
        <v>0</v>
      </c>
      <c r="P433">
        <v>9.3000000000000007</v>
      </c>
      <c r="Q433">
        <v>1.9</v>
      </c>
      <c r="R433" t="s">
        <v>9</v>
      </c>
    </row>
    <row r="434" spans="1:18" x14ac:dyDescent="0.25">
      <c r="A434" t="s">
        <v>661</v>
      </c>
      <c r="B434" s="1">
        <v>40574</v>
      </c>
      <c r="C434" s="1">
        <v>40579</v>
      </c>
      <c r="D434" t="s">
        <v>1</v>
      </c>
      <c r="E434" t="s">
        <v>662</v>
      </c>
      <c r="F434" t="s">
        <v>3</v>
      </c>
      <c r="G434" t="s">
        <v>468</v>
      </c>
      <c r="H434" t="s">
        <v>126</v>
      </c>
      <c r="I434" t="s">
        <v>127</v>
      </c>
      <c r="J434" t="s">
        <v>76</v>
      </c>
      <c r="K434" t="s">
        <v>7</v>
      </c>
      <c r="L434" t="s">
        <v>31</v>
      </c>
      <c r="M434">
        <v>11</v>
      </c>
      <c r="N434">
        <v>2</v>
      </c>
      <c r="O434">
        <v>0</v>
      </c>
      <c r="P434">
        <v>4.7519999999999998</v>
      </c>
      <c r="Q434">
        <v>1.2</v>
      </c>
      <c r="R434" t="s">
        <v>23</v>
      </c>
    </row>
    <row r="435" spans="1:18" x14ac:dyDescent="0.25">
      <c r="A435" t="s">
        <v>676</v>
      </c>
      <c r="B435" s="1">
        <v>40575</v>
      </c>
      <c r="C435" s="1">
        <v>40577</v>
      </c>
      <c r="D435" t="s">
        <v>18</v>
      </c>
      <c r="E435" t="s">
        <v>254</v>
      </c>
      <c r="F435" t="s">
        <v>3</v>
      </c>
      <c r="G435" t="s">
        <v>677</v>
      </c>
      <c r="H435" t="s">
        <v>678</v>
      </c>
      <c r="I435" t="s">
        <v>14</v>
      </c>
      <c r="J435" t="s">
        <v>281</v>
      </c>
      <c r="K435" t="s">
        <v>38</v>
      </c>
      <c r="L435" t="s">
        <v>50</v>
      </c>
      <c r="M435">
        <v>286</v>
      </c>
      <c r="N435">
        <v>2</v>
      </c>
      <c r="O435">
        <v>0</v>
      </c>
      <c r="P435">
        <v>71.400000000000006</v>
      </c>
      <c r="Q435">
        <v>57.3</v>
      </c>
      <c r="R435" t="s">
        <v>45</v>
      </c>
    </row>
    <row r="436" spans="1:18" x14ac:dyDescent="0.25">
      <c r="A436" t="s">
        <v>679</v>
      </c>
      <c r="B436" s="1">
        <v>40575</v>
      </c>
      <c r="C436" s="1">
        <v>40577</v>
      </c>
      <c r="D436" t="s">
        <v>142</v>
      </c>
      <c r="E436" t="s">
        <v>680</v>
      </c>
      <c r="F436" t="s">
        <v>3</v>
      </c>
      <c r="G436" t="s">
        <v>191</v>
      </c>
      <c r="H436" t="s">
        <v>126</v>
      </c>
      <c r="I436" t="s">
        <v>127</v>
      </c>
      <c r="J436" t="s">
        <v>192</v>
      </c>
      <c r="K436" t="s">
        <v>32</v>
      </c>
      <c r="L436" t="s">
        <v>67</v>
      </c>
      <c r="M436">
        <v>291</v>
      </c>
      <c r="N436">
        <v>2</v>
      </c>
      <c r="O436">
        <v>0.15</v>
      </c>
      <c r="P436">
        <v>3.4196</v>
      </c>
      <c r="Q436">
        <v>54.64</v>
      </c>
      <c r="R436" t="s">
        <v>23</v>
      </c>
    </row>
    <row r="437" spans="1:18" x14ac:dyDescent="0.25">
      <c r="A437" t="s">
        <v>681</v>
      </c>
      <c r="B437" s="1">
        <v>40575</v>
      </c>
      <c r="C437" s="1">
        <v>40578</v>
      </c>
      <c r="D437" t="s">
        <v>18</v>
      </c>
      <c r="E437" t="s">
        <v>682</v>
      </c>
      <c r="F437" t="s">
        <v>43</v>
      </c>
      <c r="G437" t="s">
        <v>164</v>
      </c>
      <c r="H437" t="s">
        <v>165</v>
      </c>
      <c r="I437" t="s">
        <v>6</v>
      </c>
      <c r="J437" t="s">
        <v>6</v>
      </c>
      <c r="K437" t="s">
        <v>7</v>
      </c>
      <c r="L437" t="s">
        <v>8</v>
      </c>
      <c r="M437">
        <v>206</v>
      </c>
      <c r="N437">
        <v>1</v>
      </c>
      <c r="O437">
        <v>0</v>
      </c>
      <c r="P437">
        <v>92.88</v>
      </c>
      <c r="Q437">
        <v>53.08</v>
      </c>
      <c r="R437" t="s">
        <v>45</v>
      </c>
    </row>
    <row r="438" spans="1:18" x14ac:dyDescent="0.25">
      <c r="A438" t="s">
        <v>683</v>
      </c>
      <c r="B438" s="1">
        <v>40575</v>
      </c>
      <c r="C438" s="1">
        <v>40577</v>
      </c>
      <c r="D438" t="s">
        <v>18</v>
      </c>
      <c r="E438" t="s">
        <v>684</v>
      </c>
      <c r="F438" t="s">
        <v>43</v>
      </c>
      <c r="G438" t="s">
        <v>685</v>
      </c>
      <c r="H438" t="s">
        <v>169</v>
      </c>
      <c r="I438" t="s">
        <v>14</v>
      </c>
      <c r="J438" t="s">
        <v>132</v>
      </c>
      <c r="K438" t="s">
        <v>7</v>
      </c>
      <c r="L438" t="s">
        <v>8</v>
      </c>
      <c r="M438">
        <v>163</v>
      </c>
      <c r="N438">
        <v>3</v>
      </c>
      <c r="O438">
        <v>0</v>
      </c>
      <c r="P438">
        <v>68.31</v>
      </c>
      <c r="Q438">
        <v>44.36</v>
      </c>
      <c r="R438" t="s">
        <v>45</v>
      </c>
    </row>
    <row r="439" spans="1:18" x14ac:dyDescent="0.25">
      <c r="A439" t="s">
        <v>686</v>
      </c>
      <c r="B439" s="1">
        <v>40575</v>
      </c>
      <c r="C439" s="1">
        <v>40579</v>
      </c>
      <c r="D439" t="s">
        <v>18</v>
      </c>
      <c r="E439" t="s">
        <v>682</v>
      </c>
      <c r="F439" t="s">
        <v>43</v>
      </c>
      <c r="G439" t="s">
        <v>670</v>
      </c>
      <c r="H439" t="s">
        <v>169</v>
      </c>
      <c r="I439" t="s">
        <v>14</v>
      </c>
      <c r="J439" t="s">
        <v>132</v>
      </c>
      <c r="K439" t="s">
        <v>7</v>
      </c>
      <c r="L439" t="s">
        <v>44</v>
      </c>
      <c r="M439">
        <v>352</v>
      </c>
      <c r="N439">
        <v>5</v>
      </c>
      <c r="O439">
        <v>0</v>
      </c>
      <c r="P439">
        <v>137.4</v>
      </c>
      <c r="Q439">
        <v>33.15</v>
      </c>
      <c r="R439" t="s">
        <v>9</v>
      </c>
    </row>
    <row r="440" spans="1:18" x14ac:dyDescent="0.25">
      <c r="A440" t="s">
        <v>687</v>
      </c>
      <c r="B440" s="1">
        <v>40575</v>
      </c>
      <c r="C440" s="1">
        <v>40580</v>
      </c>
      <c r="D440" t="s">
        <v>1</v>
      </c>
      <c r="E440" t="s">
        <v>688</v>
      </c>
      <c r="F440" t="s">
        <v>43</v>
      </c>
      <c r="G440" t="s">
        <v>689</v>
      </c>
      <c r="H440" t="s">
        <v>689</v>
      </c>
      <c r="I440" t="s">
        <v>75</v>
      </c>
      <c r="J440" t="s">
        <v>76</v>
      </c>
      <c r="K440" t="s">
        <v>7</v>
      </c>
      <c r="L440" t="s">
        <v>44</v>
      </c>
      <c r="M440">
        <v>401</v>
      </c>
      <c r="N440">
        <v>2</v>
      </c>
      <c r="O440">
        <v>0.4</v>
      </c>
      <c r="P440">
        <v>20.024000000000001</v>
      </c>
      <c r="Q440">
        <v>21.38</v>
      </c>
      <c r="R440" t="s">
        <v>9</v>
      </c>
    </row>
    <row r="441" spans="1:18" x14ac:dyDescent="0.25">
      <c r="A441" t="s">
        <v>690</v>
      </c>
      <c r="B441" s="1">
        <v>40575</v>
      </c>
      <c r="C441" s="1">
        <v>40580</v>
      </c>
      <c r="D441" t="s">
        <v>1</v>
      </c>
      <c r="E441" t="s">
        <v>604</v>
      </c>
      <c r="F441" t="s">
        <v>3</v>
      </c>
      <c r="G441" t="s">
        <v>90</v>
      </c>
      <c r="H441" t="s">
        <v>81</v>
      </c>
      <c r="I441" t="s">
        <v>22</v>
      </c>
      <c r="J441" t="s">
        <v>22</v>
      </c>
      <c r="K441" t="s">
        <v>32</v>
      </c>
      <c r="L441" t="s">
        <v>33</v>
      </c>
      <c r="M441">
        <v>310</v>
      </c>
      <c r="N441">
        <v>6</v>
      </c>
      <c r="O441">
        <v>0</v>
      </c>
      <c r="P441">
        <v>148.5</v>
      </c>
      <c r="Q441">
        <v>19.649999999999999</v>
      </c>
      <c r="R441" t="s">
        <v>23</v>
      </c>
    </row>
    <row r="442" spans="1:18" x14ac:dyDescent="0.25">
      <c r="A442" t="s">
        <v>691</v>
      </c>
      <c r="B442" s="1">
        <v>40575</v>
      </c>
      <c r="C442" s="1">
        <v>40577</v>
      </c>
      <c r="D442" t="s">
        <v>18</v>
      </c>
      <c r="E442" t="s">
        <v>692</v>
      </c>
      <c r="F442" t="s">
        <v>43</v>
      </c>
      <c r="G442" t="s">
        <v>550</v>
      </c>
      <c r="H442" t="s">
        <v>115</v>
      </c>
      <c r="I442" t="s">
        <v>29</v>
      </c>
      <c r="J442" t="s">
        <v>76</v>
      </c>
      <c r="K442" t="s">
        <v>7</v>
      </c>
      <c r="L442" t="s">
        <v>91</v>
      </c>
      <c r="M442">
        <v>140</v>
      </c>
      <c r="N442">
        <v>5</v>
      </c>
      <c r="O442">
        <v>0</v>
      </c>
      <c r="P442">
        <v>15.3</v>
      </c>
      <c r="Q442">
        <v>19.23</v>
      </c>
      <c r="R442" t="s">
        <v>23</v>
      </c>
    </row>
    <row r="443" spans="1:18" x14ac:dyDescent="0.25">
      <c r="A443" t="s">
        <v>676</v>
      </c>
      <c r="B443" s="1">
        <v>40575</v>
      </c>
      <c r="C443" s="1">
        <v>40577</v>
      </c>
      <c r="D443" t="s">
        <v>18</v>
      </c>
      <c r="E443" t="s">
        <v>254</v>
      </c>
      <c r="F443" t="s">
        <v>3</v>
      </c>
      <c r="G443" t="s">
        <v>677</v>
      </c>
      <c r="H443" t="s">
        <v>678</v>
      </c>
      <c r="I443" t="s">
        <v>14</v>
      </c>
      <c r="J443" t="s">
        <v>281</v>
      </c>
      <c r="K443" t="s">
        <v>7</v>
      </c>
      <c r="L443" t="s">
        <v>16</v>
      </c>
      <c r="M443">
        <v>41</v>
      </c>
      <c r="N443">
        <v>3</v>
      </c>
      <c r="O443">
        <v>0</v>
      </c>
      <c r="P443">
        <v>11.79</v>
      </c>
      <c r="Q443">
        <v>11.13</v>
      </c>
      <c r="R443" t="s">
        <v>45</v>
      </c>
    </row>
    <row r="444" spans="1:18" x14ac:dyDescent="0.25">
      <c r="A444" t="s">
        <v>687</v>
      </c>
      <c r="B444" s="1">
        <v>40575</v>
      </c>
      <c r="C444" s="1">
        <v>40580</v>
      </c>
      <c r="D444" t="s">
        <v>1</v>
      </c>
      <c r="E444" t="s">
        <v>688</v>
      </c>
      <c r="F444" t="s">
        <v>43</v>
      </c>
      <c r="G444" t="s">
        <v>689</v>
      </c>
      <c r="H444" t="s">
        <v>689</v>
      </c>
      <c r="I444" t="s">
        <v>75</v>
      </c>
      <c r="J444" t="s">
        <v>76</v>
      </c>
      <c r="K444" t="s">
        <v>38</v>
      </c>
      <c r="L444" t="s">
        <v>82</v>
      </c>
      <c r="M444">
        <v>82</v>
      </c>
      <c r="N444">
        <v>2</v>
      </c>
      <c r="O444">
        <v>0.4</v>
      </c>
      <c r="P444">
        <v>-19.135999999999999</v>
      </c>
      <c r="Q444">
        <v>6.21</v>
      </c>
      <c r="R444" t="s">
        <v>9</v>
      </c>
    </row>
    <row r="445" spans="1:18" x14ac:dyDescent="0.25">
      <c r="A445" t="s">
        <v>693</v>
      </c>
      <c r="B445" s="1">
        <v>40575</v>
      </c>
      <c r="C445" s="1">
        <v>40579</v>
      </c>
      <c r="D445" t="s">
        <v>1</v>
      </c>
      <c r="E445" t="s">
        <v>694</v>
      </c>
      <c r="F445" t="s">
        <v>3</v>
      </c>
      <c r="G445" t="s">
        <v>520</v>
      </c>
      <c r="H445" t="s">
        <v>298</v>
      </c>
      <c r="I445" t="s">
        <v>29</v>
      </c>
      <c r="J445" t="s">
        <v>102</v>
      </c>
      <c r="K445" t="s">
        <v>7</v>
      </c>
      <c r="L445" t="s">
        <v>91</v>
      </c>
      <c r="M445">
        <v>78</v>
      </c>
      <c r="N445">
        <v>3</v>
      </c>
      <c r="O445">
        <v>0</v>
      </c>
      <c r="P445">
        <v>20.34</v>
      </c>
      <c r="Q445">
        <v>6.03</v>
      </c>
      <c r="R445" t="s">
        <v>9</v>
      </c>
    </row>
    <row r="446" spans="1:18" x14ac:dyDescent="0.25">
      <c r="A446" t="s">
        <v>676</v>
      </c>
      <c r="B446" s="1">
        <v>40575</v>
      </c>
      <c r="C446" s="1">
        <v>40577</v>
      </c>
      <c r="D446" t="s">
        <v>18</v>
      </c>
      <c r="E446" t="s">
        <v>254</v>
      </c>
      <c r="F446" t="s">
        <v>3</v>
      </c>
      <c r="G446" t="s">
        <v>677</v>
      </c>
      <c r="H446" t="s">
        <v>678</v>
      </c>
      <c r="I446" t="s">
        <v>14</v>
      </c>
      <c r="J446" t="s">
        <v>281</v>
      </c>
      <c r="K446" t="s">
        <v>7</v>
      </c>
      <c r="L446" t="s">
        <v>137</v>
      </c>
      <c r="M446">
        <v>23</v>
      </c>
      <c r="N446">
        <v>5</v>
      </c>
      <c r="O446">
        <v>0</v>
      </c>
      <c r="P446">
        <v>9.6</v>
      </c>
      <c r="Q446">
        <v>5.29</v>
      </c>
      <c r="R446" t="s">
        <v>45</v>
      </c>
    </row>
    <row r="447" spans="1:18" x14ac:dyDescent="0.25">
      <c r="A447" t="s">
        <v>676</v>
      </c>
      <c r="B447" s="1">
        <v>40575</v>
      </c>
      <c r="C447" s="1">
        <v>40577</v>
      </c>
      <c r="D447" t="s">
        <v>18</v>
      </c>
      <c r="E447" t="s">
        <v>254</v>
      </c>
      <c r="F447" t="s">
        <v>3</v>
      </c>
      <c r="G447" t="s">
        <v>677</v>
      </c>
      <c r="H447" t="s">
        <v>678</v>
      </c>
      <c r="I447" t="s">
        <v>14</v>
      </c>
      <c r="J447" t="s">
        <v>281</v>
      </c>
      <c r="K447" t="s">
        <v>7</v>
      </c>
      <c r="L447" t="s">
        <v>87</v>
      </c>
      <c r="M447">
        <v>20</v>
      </c>
      <c r="N447">
        <v>3</v>
      </c>
      <c r="O447">
        <v>0</v>
      </c>
      <c r="P447">
        <v>9.9</v>
      </c>
      <c r="Q447">
        <v>3.78</v>
      </c>
      <c r="R447" t="s">
        <v>45</v>
      </c>
    </row>
    <row r="448" spans="1:18" x14ac:dyDescent="0.25">
      <c r="A448" t="s">
        <v>691</v>
      </c>
      <c r="B448" s="1">
        <v>40575</v>
      </c>
      <c r="C448" s="1">
        <v>40577</v>
      </c>
      <c r="D448" t="s">
        <v>18</v>
      </c>
      <c r="E448" t="s">
        <v>692</v>
      </c>
      <c r="F448" t="s">
        <v>43</v>
      </c>
      <c r="G448" t="s">
        <v>550</v>
      </c>
      <c r="H448" t="s">
        <v>115</v>
      </c>
      <c r="I448" t="s">
        <v>29</v>
      </c>
      <c r="J448" t="s">
        <v>76</v>
      </c>
      <c r="K448" t="s">
        <v>7</v>
      </c>
      <c r="L448" t="s">
        <v>96</v>
      </c>
      <c r="M448">
        <v>21</v>
      </c>
      <c r="N448">
        <v>1</v>
      </c>
      <c r="O448">
        <v>0</v>
      </c>
      <c r="P448">
        <v>0</v>
      </c>
      <c r="Q448">
        <v>3.34</v>
      </c>
      <c r="R448" t="s">
        <v>23</v>
      </c>
    </row>
    <row r="449" spans="1:18" x14ac:dyDescent="0.25">
      <c r="A449" t="s">
        <v>695</v>
      </c>
      <c r="B449" s="1">
        <v>40575</v>
      </c>
      <c r="C449" s="1">
        <v>40581</v>
      </c>
      <c r="D449" t="s">
        <v>1</v>
      </c>
      <c r="E449" t="s">
        <v>528</v>
      </c>
      <c r="F449" t="s">
        <v>3</v>
      </c>
      <c r="G449" t="s">
        <v>471</v>
      </c>
      <c r="H449" t="s">
        <v>305</v>
      </c>
      <c r="I449" t="s">
        <v>29</v>
      </c>
      <c r="J449" t="s">
        <v>76</v>
      </c>
      <c r="K449" t="s">
        <v>7</v>
      </c>
      <c r="L449" t="s">
        <v>137</v>
      </c>
      <c r="M449">
        <v>21</v>
      </c>
      <c r="N449">
        <v>3</v>
      </c>
      <c r="O449">
        <v>0</v>
      </c>
      <c r="P449">
        <v>10.53</v>
      </c>
      <c r="Q449">
        <v>1.86</v>
      </c>
      <c r="R449" t="s">
        <v>9</v>
      </c>
    </row>
    <row r="450" spans="1:18" x14ac:dyDescent="0.25">
      <c r="A450" t="s">
        <v>695</v>
      </c>
      <c r="B450" s="1">
        <v>40575</v>
      </c>
      <c r="C450" s="1">
        <v>40581</v>
      </c>
      <c r="D450" t="s">
        <v>1</v>
      </c>
      <c r="E450" t="s">
        <v>528</v>
      </c>
      <c r="F450" t="s">
        <v>3</v>
      </c>
      <c r="G450" t="s">
        <v>471</v>
      </c>
      <c r="H450" t="s">
        <v>305</v>
      </c>
      <c r="I450" t="s">
        <v>29</v>
      </c>
      <c r="J450" t="s">
        <v>76</v>
      </c>
      <c r="K450" t="s">
        <v>7</v>
      </c>
      <c r="L450" t="s">
        <v>137</v>
      </c>
      <c r="M450">
        <v>12</v>
      </c>
      <c r="N450">
        <v>2</v>
      </c>
      <c r="O450">
        <v>0</v>
      </c>
      <c r="P450">
        <v>4.2</v>
      </c>
      <c r="Q450">
        <v>0.93</v>
      </c>
      <c r="R450" t="s">
        <v>9</v>
      </c>
    </row>
    <row r="451" spans="1:18" x14ac:dyDescent="0.25">
      <c r="A451" t="s">
        <v>687</v>
      </c>
      <c r="B451" s="1">
        <v>40575</v>
      </c>
      <c r="C451" s="1">
        <v>40580</v>
      </c>
      <c r="D451" t="s">
        <v>1</v>
      </c>
      <c r="E451" t="s">
        <v>688</v>
      </c>
      <c r="F451" t="s">
        <v>43</v>
      </c>
      <c r="G451" t="s">
        <v>689</v>
      </c>
      <c r="H451" t="s">
        <v>689</v>
      </c>
      <c r="I451" t="s">
        <v>75</v>
      </c>
      <c r="J451" t="s">
        <v>76</v>
      </c>
      <c r="K451" t="s">
        <v>7</v>
      </c>
      <c r="L451" t="s">
        <v>137</v>
      </c>
      <c r="M451">
        <v>10</v>
      </c>
      <c r="N451">
        <v>6</v>
      </c>
      <c r="O451">
        <v>0.4</v>
      </c>
      <c r="P451">
        <v>-0.98399999999999999</v>
      </c>
      <c r="Q451">
        <v>0.81</v>
      </c>
      <c r="R451" t="s">
        <v>9</v>
      </c>
    </row>
    <row r="452" spans="1:18" x14ac:dyDescent="0.25">
      <c r="A452" t="s">
        <v>696</v>
      </c>
      <c r="B452" s="1">
        <v>40576</v>
      </c>
      <c r="C452" s="1">
        <v>40579</v>
      </c>
      <c r="D452" t="s">
        <v>142</v>
      </c>
      <c r="E452" t="s">
        <v>697</v>
      </c>
      <c r="F452" t="s">
        <v>43</v>
      </c>
      <c r="G452" t="s">
        <v>698</v>
      </c>
      <c r="H452" t="s">
        <v>169</v>
      </c>
      <c r="I452" t="s">
        <v>14</v>
      </c>
      <c r="J452" t="s">
        <v>132</v>
      </c>
      <c r="K452" t="s">
        <v>32</v>
      </c>
      <c r="L452" t="s">
        <v>67</v>
      </c>
      <c r="M452" s="2">
        <v>1052</v>
      </c>
      <c r="N452">
        <v>7</v>
      </c>
      <c r="O452">
        <v>0</v>
      </c>
      <c r="P452">
        <v>105.21</v>
      </c>
      <c r="Q452">
        <v>154.4</v>
      </c>
      <c r="R452" t="s">
        <v>9</v>
      </c>
    </row>
    <row r="453" spans="1:18" x14ac:dyDescent="0.25">
      <c r="A453" t="s">
        <v>699</v>
      </c>
      <c r="B453" s="1">
        <v>40576</v>
      </c>
      <c r="C453" s="1">
        <v>40579</v>
      </c>
      <c r="D453" t="s">
        <v>142</v>
      </c>
      <c r="E453" t="s">
        <v>700</v>
      </c>
      <c r="F453" t="s">
        <v>43</v>
      </c>
      <c r="G453" t="s">
        <v>701</v>
      </c>
      <c r="H453" t="s">
        <v>305</v>
      </c>
      <c r="I453" t="s">
        <v>29</v>
      </c>
      <c r="J453" t="s">
        <v>76</v>
      </c>
      <c r="K453" t="s">
        <v>38</v>
      </c>
      <c r="L453" t="s">
        <v>77</v>
      </c>
      <c r="M453">
        <v>584</v>
      </c>
      <c r="N453">
        <v>8</v>
      </c>
      <c r="O453">
        <v>0.5</v>
      </c>
      <c r="P453">
        <v>-58.56</v>
      </c>
      <c r="Q453">
        <v>109.14</v>
      </c>
      <c r="R453" t="s">
        <v>23</v>
      </c>
    </row>
    <row r="454" spans="1:18" x14ac:dyDescent="0.25">
      <c r="A454" t="s">
        <v>702</v>
      </c>
      <c r="B454" s="1">
        <v>40576</v>
      </c>
      <c r="C454" s="1">
        <v>40580</v>
      </c>
      <c r="D454" t="s">
        <v>1</v>
      </c>
      <c r="E454" t="s">
        <v>703</v>
      </c>
      <c r="F454" t="s">
        <v>3</v>
      </c>
      <c r="G454" t="s">
        <v>495</v>
      </c>
      <c r="H454" t="s">
        <v>115</v>
      </c>
      <c r="I454" t="s">
        <v>29</v>
      </c>
      <c r="J454" t="s">
        <v>76</v>
      </c>
      <c r="K454" t="s">
        <v>38</v>
      </c>
      <c r="L454" t="s">
        <v>50</v>
      </c>
      <c r="M454">
        <v>550</v>
      </c>
      <c r="N454">
        <v>6</v>
      </c>
      <c r="O454">
        <v>0.65</v>
      </c>
      <c r="P454">
        <v>-235.773</v>
      </c>
      <c r="Q454">
        <v>96.84</v>
      </c>
      <c r="R454" t="s">
        <v>23</v>
      </c>
    </row>
    <row r="455" spans="1:18" x14ac:dyDescent="0.25">
      <c r="A455" t="s">
        <v>696</v>
      </c>
      <c r="B455" s="1">
        <v>40576</v>
      </c>
      <c r="C455" s="1">
        <v>40579</v>
      </c>
      <c r="D455" t="s">
        <v>142</v>
      </c>
      <c r="E455" t="s">
        <v>697</v>
      </c>
      <c r="F455" t="s">
        <v>43</v>
      </c>
      <c r="G455" t="s">
        <v>698</v>
      </c>
      <c r="H455" t="s">
        <v>169</v>
      </c>
      <c r="I455" t="s">
        <v>14</v>
      </c>
      <c r="J455" t="s">
        <v>132</v>
      </c>
      <c r="K455" t="s">
        <v>7</v>
      </c>
      <c r="L455" t="s">
        <v>8</v>
      </c>
      <c r="M455">
        <v>381</v>
      </c>
      <c r="N455">
        <v>3</v>
      </c>
      <c r="O455">
        <v>0</v>
      </c>
      <c r="P455">
        <v>102.78</v>
      </c>
      <c r="Q455">
        <v>88.42</v>
      </c>
      <c r="R455" t="s">
        <v>9</v>
      </c>
    </row>
    <row r="456" spans="1:18" x14ac:dyDescent="0.25">
      <c r="A456" t="s">
        <v>704</v>
      </c>
      <c r="B456" s="1">
        <v>40576</v>
      </c>
      <c r="C456" s="1">
        <v>40580</v>
      </c>
      <c r="D456" t="s">
        <v>18</v>
      </c>
      <c r="E456" t="s">
        <v>225</v>
      </c>
      <c r="F456" t="s">
        <v>43</v>
      </c>
      <c r="G456" t="s">
        <v>705</v>
      </c>
      <c r="H456" t="s">
        <v>276</v>
      </c>
      <c r="I456" t="s">
        <v>29</v>
      </c>
      <c r="J456" t="s">
        <v>102</v>
      </c>
      <c r="K456" t="s">
        <v>38</v>
      </c>
      <c r="L456" t="s">
        <v>77</v>
      </c>
      <c r="M456">
        <v>587</v>
      </c>
      <c r="N456">
        <v>1</v>
      </c>
      <c r="O456">
        <v>0.1</v>
      </c>
      <c r="P456">
        <v>104.41200000000001</v>
      </c>
      <c r="Q456">
        <v>78</v>
      </c>
      <c r="R456" t="s">
        <v>23</v>
      </c>
    </row>
    <row r="457" spans="1:18" x14ac:dyDescent="0.25">
      <c r="A457" t="s">
        <v>706</v>
      </c>
      <c r="B457" s="1">
        <v>40576</v>
      </c>
      <c r="C457" s="1">
        <v>40576</v>
      </c>
      <c r="D457" t="s">
        <v>41</v>
      </c>
      <c r="E457" t="s">
        <v>707</v>
      </c>
      <c r="F457" t="s">
        <v>43</v>
      </c>
      <c r="G457" t="s">
        <v>708</v>
      </c>
      <c r="H457" t="s">
        <v>305</v>
      </c>
      <c r="I457" t="s">
        <v>29</v>
      </c>
      <c r="J457" t="s">
        <v>76</v>
      </c>
      <c r="K457" t="s">
        <v>38</v>
      </c>
      <c r="L457" t="s">
        <v>50</v>
      </c>
      <c r="M457">
        <v>379</v>
      </c>
      <c r="N457">
        <v>1</v>
      </c>
      <c r="O457">
        <v>0</v>
      </c>
      <c r="P457">
        <v>140.13</v>
      </c>
      <c r="Q457">
        <v>71.569999999999993</v>
      </c>
      <c r="R457" t="s">
        <v>23</v>
      </c>
    </row>
    <row r="458" spans="1:18" x14ac:dyDescent="0.25">
      <c r="A458" t="s">
        <v>696</v>
      </c>
      <c r="B458" s="1">
        <v>40576</v>
      </c>
      <c r="C458" s="1">
        <v>40579</v>
      </c>
      <c r="D458" t="s">
        <v>142</v>
      </c>
      <c r="E458" t="s">
        <v>697</v>
      </c>
      <c r="F458" t="s">
        <v>43</v>
      </c>
      <c r="G458" t="s">
        <v>698</v>
      </c>
      <c r="H458" t="s">
        <v>169</v>
      </c>
      <c r="I458" t="s">
        <v>14</v>
      </c>
      <c r="J458" t="s">
        <v>132</v>
      </c>
      <c r="K458" t="s">
        <v>32</v>
      </c>
      <c r="L458" t="s">
        <v>62</v>
      </c>
      <c r="M458">
        <v>692</v>
      </c>
      <c r="N458">
        <v>2</v>
      </c>
      <c r="O458">
        <v>0.3</v>
      </c>
      <c r="P458">
        <v>-207.732</v>
      </c>
      <c r="Q458">
        <v>70.94</v>
      </c>
      <c r="R458" t="s">
        <v>9</v>
      </c>
    </row>
    <row r="459" spans="1:18" x14ac:dyDescent="0.25">
      <c r="A459" t="s">
        <v>709</v>
      </c>
      <c r="B459" s="1">
        <v>40576</v>
      </c>
      <c r="C459" s="1">
        <v>40578</v>
      </c>
      <c r="D459" t="s">
        <v>142</v>
      </c>
      <c r="E459" t="s">
        <v>129</v>
      </c>
      <c r="F459" t="s">
        <v>3</v>
      </c>
      <c r="G459" t="s">
        <v>710</v>
      </c>
      <c r="H459" t="s">
        <v>126</v>
      </c>
      <c r="I459" t="s">
        <v>127</v>
      </c>
      <c r="J459" t="s">
        <v>76</v>
      </c>
      <c r="K459" t="s">
        <v>38</v>
      </c>
      <c r="L459" t="s">
        <v>82</v>
      </c>
      <c r="M459">
        <v>469</v>
      </c>
      <c r="N459">
        <v>6</v>
      </c>
      <c r="O459">
        <v>0</v>
      </c>
      <c r="P459">
        <v>206.316</v>
      </c>
      <c r="Q459">
        <v>66.88</v>
      </c>
      <c r="R459" t="s">
        <v>23</v>
      </c>
    </row>
    <row r="460" spans="1:18" x14ac:dyDescent="0.25">
      <c r="A460" t="s">
        <v>711</v>
      </c>
      <c r="B460" s="1">
        <v>40576</v>
      </c>
      <c r="C460" s="1">
        <v>40581</v>
      </c>
      <c r="D460" t="s">
        <v>18</v>
      </c>
      <c r="E460" t="s">
        <v>47</v>
      </c>
      <c r="F460" t="s">
        <v>3</v>
      </c>
      <c r="G460" t="s">
        <v>712</v>
      </c>
      <c r="H460" t="s">
        <v>276</v>
      </c>
      <c r="I460" t="s">
        <v>29</v>
      </c>
      <c r="J460" t="s">
        <v>102</v>
      </c>
      <c r="K460" t="s">
        <v>32</v>
      </c>
      <c r="L460" t="s">
        <v>67</v>
      </c>
      <c r="M460">
        <v>729</v>
      </c>
      <c r="N460">
        <v>2</v>
      </c>
      <c r="O460">
        <v>0</v>
      </c>
      <c r="P460">
        <v>240.72</v>
      </c>
      <c r="Q460">
        <v>56.01</v>
      </c>
      <c r="R460" t="s">
        <v>9</v>
      </c>
    </row>
    <row r="461" spans="1:18" x14ac:dyDescent="0.25">
      <c r="A461" t="s">
        <v>713</v>
      </c>
      <c r="B461" s="1">
        <v>40576</v>
      </c>
      <c r="C461" s="1">
        <v>40578</v>
      </c>
      <c r="D461" t="s">
        <v>142</v>
      </c>
      <c r="E461" t="s">
        <v>522</v>
      </c>
      <c r="F461" t="s">
        <v>3</v>
      </c>
      <c r="G461" t="s">
        <v>65</v>
      </c>
      <c r="H461" t="s">
        <v>66</v>
      </c>
      <c r="I461" t="s">
        <v>29</v>
      </c>
      <c r="J461" t="s">
        <v>30</v>
      </c>
      <c r="K461" t="s">
        <v>38</v>
      </c>
      <c r="L461" t="s">
        <v>77</v>
      </c>
      <c r="M461">
        <v>162</v>
      </c>
      <c r="N461">
        <v>2</v>
      </c>
      <c r="O461">
        <v>0.1</v>
      </c>
      <c r="P461">
        <v>43.014000000000003</v>
      </c>
      <c r="Q461">
        <v>49.6</v>
      </c>
      <c r="R461" t="s">
        <v>23</v>
      </c>
    </row>
    <row r="462" spans="1:18" x14ac:dyDescent="0.25">
      <c r="A462" t="s">
        <v>714</v>
      </c>
      <c r="B462" s="1">
        <v>40576</v>
      </c>
      <c r="C462" s="1">
        <v>40578</v>
      </c>
      <c r="D462" t="s">
        <v>18</v>
      </c>
      <c r="E462" t="s">
        <v>715</v>
      </c>
      <c r="F462" t="s">
        <v>43</v>
      </c>
      <c r="G462" t="s">
        <v>264</v>
      </c>
      <c r="H462" t="s">
        <v>86</v>
      </c>
      <c r="I462" t="s">
        <v>14</v>
      </c>
      <c r="J462" t="s">
        <v>61</v>
      </c>
      <c r="K462" t="s">
        <v>32</v>
      </c>
      <c r="L462" t="s">
        <v>56</v>
      </c>
      <c r="M462">
        <v>334</v>
      </c>
      <c r="N462">
        <v>1</v>
      </c>
      <c r="O462">
        <v>0.27</v>
      </c>
      <c r="P462">
        <v>-109.9365</v>
      </c>
      <c r="Q462">
        <v>46.3</v>
      </c>
      <c r="R462" t="s">
        <v>9</v>
      </c>
    </row>
    <row r="463" spans="1:18" x14ac:dyDescent="0.25">
      <c r="A463" t="s">
        <v>706</v>
      </c>
      <c r="B463" s="1">
        <v>40576</v>
      </c>
      <c r="C463" s="1">
        <v>40576</v>
      </c>
      <c r="D463" t="s">
        <v>41</v>
      </c>
      <c r="E463" t="s">
        <v>707</v>
      </c>
      <c r="F463" t="s">
        <v>43</v>
      </c>
      <c r="G463" t="s">
        <v>708</v>
      </c>
      <c r="H463" t="s">
        <v>305</v>
      </c>
      <c r="I463" t="s">
        <v>29</v>
      </c>
      <c r="J463" t="s">
        <v>76</v>
      </c>
      <c r="K463" t="s">
        <v>7</v>
      </c>
      <c r="L463" t="s">
        <v>8</v>
      </c>
      <c r="M463">
        <v>248</v>
      </c>
      <c r="N463">
        <v>2</v>
      </c>
      <c r="O463">
        <v>0.1</v>
      </c>
      <c r="P463">
        <v>8.2620000000000005</v>
      </c>
      <c r="Q463">
        <v>35.68</v>
      </c>
      <c r="R463" t="s">
        <v>23</v>
      </c>
    </row>
    <row r="464" spans="1:18" x14ac:dyDescent="0.25">
      <c r="A464" t="s">
        <v>696</v>
      </c>
      <c r="B464" s="1">
        <v>40576</v>
      </c>
      <c r="C464" s="1">
        <v>40579</v>
      </c>
      <c r="D464" t="s">
        <v>142</v>
      </c>
      <c r="E464" t="s">
        <v>697</v>
      </c>
      <c r="F464" t="s">
        <v>43</v>
      </c>
      <c r="G464" t="s">
        <v>698</v>
      </c>
      <c r="H464" t="s">
        <v>169</v>
      </c>
      <c r="I464" t="s">
        <v>14</v>
      </c>
      <c r="J464" t="s">
        <v>132</v>
      </c>
      <c r="K464" t="s">
        <v>38</v>
      </c>
      <c r="L464" t="s">
        <v>39</v>
      </c>
      <c r="M464">
        <v>468</v>
      </c>
      <c r="N464">
        <v>4</v>
      </c>
      <c r="O464">
        <v>0</v>
      </c>
      <c r="P464">
        <v>112.32</v>
      </c>
      <c r="Q464">
        <v>26.59</v>
      </c>
      <c r="R464" t="s">
        <v>9</v>
      </c>
    </row>
    <row r="465" spans="1:18" x14ac:dyDescent="0.25">
      <c r="A465" t="s">
        <v>711</v>
      </c>
      <c r="B465" s="1">
        <v>40576</v>
      </c>
      <c r="C465" s="1">
        <v>40581</v>
      </c>
      <c r="D465" t="s">
        <v>18</v>
      </c>
      <c r="E465" t="s">
        <v>47</v>
      </c>
      <c r="F465" t="s">
        <v>3</v>
      </c>
      <c r="G465" t="s">
        <v>712</v>
      </c>
      <c r="H465" t="s">
        <v>276</v>
      </c>
      <c r="I465" t="s">
        <v>29</v>
      </c>
      <c r="J465" t="s">
        <v>102</v>
      </c>
      <c r="K465" t="s">
        <v>32</v>
      </c>
      <c r="L465" t="s">
        <v>56</v>
      </c>
      <c r="M465">
        <v>266</v>
      </c>
      <c r="N465">
        <v>4</v>
      </c>
      <c r="O465">
        <v>0.2</v>
      </c>
      <c r="P465">
        <v>23.256</v>
      </c>
      <c r="Q465">
        <v>23.69</v>
      </c>
      <c r="R465" t="s">
        <v>9</v>
      </c>
    </row>
    <row r="466" spans="1:18" x14ac:dyDescent="0.25">
      <c r="A466" t="s">
        <v>699</v>
      </c>
      <c r="B466" s="1">
        <v>40576</v>
      </c>
      <c r="C466" s="1">
        <v>40579</v>
      </c>
      <c r="D466" t="s">
        <v>142</v>
      </c>
      <c r="E466" t="s">
        <v>700</v>
      </c>
      <c r="F466" t="s">
        <v>43</v>
      </c>
      <c r="G466" t="s">
        <v>701</v>
      </c>
      <c r="H466" t="s">
        <v>305</v>
      </c>
      <c r="I466" t="s">
        <v>29</v>
      </c>
      <c r="J466" t="s">
        <v>76</v>
      </c>
      <c r="K466" t="s">
        <v>38</v>
      </c>
      <c r="L466" t="s">
        <v>50</v>
      </c>
      <c r="M466">
        <v>86</v>
      </c>
      <c r="N466">
        <v>1</v>
      </c>
      <c r="O466">
        <v>0.5</v>
      </c>
      <c r="P466">
        <v>-1.4999999999999999E-2</v>
      </c>
      <c r="Q466">
        <v>16.559999999999999</v>
      </c>
      <c r="R466" t="s">
        <v>23</v>
      </c>
    </row>
    <row r="467" spans="1:18" x14ac:dyDescent="0.25">
      <c r="A467" t="s">
        <v>714</v>
      </c>
      <c r="B467" s="1">
        <v>40576</v>
      </c>
      <c r="C467" s="1">
        <v>40578</v>
      </c>
      <c r="D467" t="s">
        <v>18</v>
      </c>
      <c r="E467" t="s">
        <v>715</v>
      </c>
      <c r="F467" t="s">
        <v>43</v>
      </c>
      <c r="G467" t="s">
        <v>264</v>
      </c>
      <c r="H467" t="s">
        <v>86</v>
      </c>
      <c r="I467" t="s">
        <v>14</v>
      </c>
      <c r="J467" t="s">
        <v>61</v>
      </c>
      <c r="K467" t="s">
        <v>7</v>
      </c>
      <c r="L467" t="s">
        <v>91</v>
      </c>
      <c r="M467">
        <v>105</v>
      </c>
      <c r="N467">
        <v>4</v>
      </c>
      <c r="O467">
        <v>0.47</v>
      </c>
      <c r="P467">
        <v>-47.523600000000002</v>
      </c>
      <c r="Q467">
        <v>13.49</v>
      </c>
      <c r="R467" t="s">
        <v>9</v>
      </c>
    </row>
    <row r="468" spans="1:18" x14ac:dyDescent="0.25">
      <c r="A468" t="s">
        <v>702</v>
      </c>
      <c r="B468" s="1">
        <v>40576</v>
      </c>
      <c r="C468" s="1">
        <v>40580</v>
      </c>
      <c r="D468" t="s">
        <v>1</v>
      </c>
      <c r="E468" t="s">
        <v>703</v>
      </c>
      <c r="F468" t="s">
        <v>3</v>
      </c>
      <c r="G468" t="s">
        <v>495</v>
      </c>
      <c r="H468" t="s">
        <v>115</v>
      </c>
      <c r="I468" t="s">
        <v>29</v>
      </c>
      <c r="J468" t="s">
        <v>76</v>
      </c>
      <c r="K468" t="s">
        <v>38</v>
      </c>
      <c r="L468" t="s">
        <v>39</v>
      </c>
      <c r="M468">
        <v>89</v>
      </c>
      <c r="N468">
        <v>3</v>
      </c>
      <c r="O468">
        <v>0.65</v>
      </c>
      <c r="P468">
        <v>-76.14</v>
      </c>
      <c r="Q468">
        <v>12.91</v>
      </c>
      <c r="R468" t="s">
        <v>23</v>
      </c>
    </row>
    <row r="469" spans="1:18" x14ac:dyDescent="0.25">
      <c r="A469" t="s">
        <v>702</v>
      </c>
      <c r="B469" s="1">
        <v>40576</v>
      </c>
      <c r="C469" s="1">
        <v>40580</v>
      </c>
      <c r="D469" t="s">
        <v>1</v>
      </c>
      <c r="E469" t="s">
        <v>703</v>
      </c>
      <c r="F469" t="s">
        <v>3</v>
      </c>
      <c r="G469" t="s">
        <v>495</v>
      </c>
      <c r="H469" t="s">
        <v>115</v>
      </c>
      <c r="I469" t="s">
        <v>29</v>
      </c>
      <c r="J469" t="s">
        <v>76</v>
      </c>
      <c r="K469" t="s">
        <v>7</v>
      </c>
      <c r="L469" t="s">
        <v>31</v>
      </c>
      <c r="M469">
        <v>46</v>
      </c>
      <c r="N469">
        <v>5</v>
      </c>
      <c r="O469">
        <v>0.5</v>
      </c>
      <c r="P469">
        <v>-41.475000000000001</v>
      </c>
      <c r="Q469">
        <v>6.72</v>
      </c>
      <c r="R469" t="s">
        <v>23</v>
      </c>
    </row>
    <row r="470" spans="1:18" x14ac:dyDescent="0.25">
      <c r="A470" t="s">
        <v>702</v>
      </c>
      <c r="B470" s="1">
        <v>40576</v>
      </c>
      <c r="C470" s="1">
        <v>40580</v>
      </c>
      <c r="D470" t="s">
        <v>1</v>
      </c>
      <c r="E470" t="s">
        <v>703</v>
      </c>
      <c r="F470" t="s">
        <v>3</v>
      </c>
      <c r="G470" t="s">
        <v>495</v>
      </c>
      <c r="H470" t="s">
        <v>115</v>
      </c>
      <c r="I470" t="s">
        <v>29</v>
      </c>
      <c r="J470" t="s">
        <v>76</v>
      </c>
      <c r="K470" t="s">
        <v>38</v>
      </c>
      <c r="L470" t="s">
        <v>82</v>
      </c>
      <c r="M470">
        <v>44</v>
      </c>
      <c r="N470">
        <v>2</v>
      </c>
      <c r="O470">
        <v>0.5</v>
      </c>
      <c r="P470">
        <v>-7.95</v>
      </c>
      <c r="Q470">
        <v>6.24</v>
      </c>
      <c r="R470" t="s">
        <v>23</v>
      </c>
    </row>
    <row r="471" spans="1:18" x14ac:dyDescent="0.25">
      <c r="A471" t="s">
        <v>716</v>
      </c>
      <c r="B471" s="1">
        <v>40576</v>
      </c>
      <c r="C471" s="1">
        <v>40578</v>
      </c>
      <c r="D471" t="s">
        <v>142</v>
      </c>
      <c r="E471" t="s">
        <v>717</v>
      </c>
      <c r="F471" t="s">
        <v>43</v>
      </c>
      <c r="G471" t="s">
        <v>400</v>
      </c>
      <c r="H471" t="s">
        <v>276</v>
      </c>
      <c r="I471" t="s">
        <v>29</v>
      </c>
      <c r="J471" t="s">
        <v>102</v>
      </c>
      <c r="K471" t="s">
        <v>7</v>
      </c>
      <c r="L471" t="s">
        <v>91</v>
      </c>
      <c r="M471">
        <v>44</v>
      </c>
      <c r="N471">
        <v>2</v>
      </c>
      <c r="O471">
        <v>0</v>
      </c>
      <c r="P471">
        <v>7.92</v>
      </c>
      <c r="Q471">
        <v>6.18</v>
      </c>
      <c r="R471" t="s">
        <v>23</v>
      </c>
    </row>
    <row r="472" spans="1:18" x14ac:dyDescent="0.25">
      <c r="A472" t="s">
        <v>711</v>
      </c>
      <c r="B472" s="1">
        <v>40576</v>
      </c>
      <c r="C472" s="1">
        <v>40581</v>
      </c>
      <c r="D472" t="s">
        <v>18</v>
      </c>
      <c r="E472" t="s">
        <v>47</v>
      </c>
      <c r="F472" t="s">
        <v>3</v>
      </c>
      <c r="G472" t="s">
        <v>712</v>
      </c>
      <c r="H472" t="s">
        <v>276</v>
      </c>
      <c r="I472" t="s">
        <v>29</v>
      </c>
      <c r="J472" t="s">
        <v>102</v>
      </c>
      <c r="K472" t="s">
        <v>7</v>
      </c>
      <c r="L472" t="s">
        <v>91</v>
      </c>
      <c r="M472">
        <v>57</v>
      </c>
      <c r="N472">
        <v>1</v>
      </c>
      <c r="O472">
        <v>0</v>
      </c>
      <c r="P472">
        <v>0.54</v>
      </c>
      <c r="Q472">
        <v>5.96</v>
      </c>
      <c r="R472" t="s">
        <v>9</v>
      </c>
    </row>
    <row r="473" spans="1:18" x14ac:dyDescent="0.25">
      <c r="A473" t="s">
        <v>711</v>
      </c>
      <c r="B473" s="1">
        <v>40576</v>
      </c>
      <c r="C473" s="1">
        <v>40581</v>
      </c>
      <c r="D473" t="s">
        <v>18</v>
      </c>
      <c r="E473" t="s">
        <v>47</v>
      </c>
      <c r="F473" t="s">
        <v>3</v>
      </c>
      <c r="G473" t="s">
        <v>712</v>
      </c>
      <c r="H473" t="s">
        <v>276</v>
      </c>
      <c r="I473" t="s">
        <v>29</v>
      </c>
      <c r="J473" t="s">
        <v>102</v>
      </c>
      <c r="K473" t="s">
        <v>7</v>
      </c>
      <c r="L473" t="s">
        <v>91</v>
      </c>
      <c r="M473">
        <v>116</v>
      </c>
      <c r="N473">
        <v>4</v>
      </c>
      <c r="O473">
        <v>0</v>
      </c>
      <c r="P473">
        <v>12.72</v>
      </c>
      <c r="Q473">
        <v>4.7</v>
      </c>
      <c r="R473" t="s">
        <v>9</v>
      </c>
    </row>
    <row r="474" spans="1:18" x14ac:dyDescent="0.25">
      <c r="A474" t="s">
        <v>704</v>
      </c>
      <c r="B474" s="1">
        <v>40576</v>
      </c>
      <c r="C474" s="1">
        <v>40580</v>
      </c>
      <c r="D474" t="s">
        <v>18</v>
      </c>
      <c r="E474" t="s">
        <v>225</v>
      </c>
      <c r="F474" t="s">
        <v>43</v>
      </c>
      <c r="G474" t="s">
        <v>705</v>
      </c>
      <c r="H474" t="s">
        <v>276</v>
      </c>
      <c r="I474" t="s">
        <v>29</v>
      </c>
      <c r="J474" t="s">
        <v>102</v>
      </c>
      <c r="K474" t="s">
        <v>7</v>
      </c>
      <c r="L474" t="s">
        <v>16</v>
      </c>
      <c r="M474">
        <v>38</v>
      </c>
      <c r="N474">
        <v>1</v>
      </c>
      <c r="O474">
        <v>0</v>
      </c>
      <c r="P474">
        <v>18.12</v>
      </c>
      <c r="Q474">
        <v>4.16</v>
      </c>
      <c r="R474" t="s">
        <v>23</v>
      </c>
    </row>
    <row r="475" spans="1:18" x14ac:dyDescent="0.25">
      <c r="A475" t="s">
        <v>696</v>
      </c>
      <c r="B475" s="1">
        <v>40576</v>
      </c>
      <c r="C475" s="1">
        <v>40579</v>
      </c>
      <c r="D475" t="s">
        <v>142</v>
      </c>
      <c r="E475" t="s">
        <v>697</v>
      </c>
      <c r="F475" t="s">
        <v>43</v>
      </c>
      <c r="G475" t="s">
        <v>698</v>
      </c>
      <c r="H475" t="s">
        <v>169</v>
      </c>
      <c r="I475" t="s">
        <v>14</v>
      </c>
      <c r="J475" t="s">
        <v>132</v>
      </c>
      <c r="K475" t="s">
        <v>7</v>
      </c>
      <c r="L475" t="s">
        <v>91</v>
      </c>
      <c r="M475">
        <v>95</v>
      </c>
      <c r="N475">
        <v>5</v>
      </c>
      <c r="O475">
        <v>0</v>
      </c>
      <c r="P475">
        <v>42.45</v>
      </c>
      <c r="Q475">
        <v>4.1399999999999997</v>
      </c>
      <c r="R475" t="s">
        <v>9</v>
      </c>
    </row>
    <row r="476" spans="1:18" x14ac:dyDescent="0.25">
      <c r="A476" t="s">
        <v>699</v>
      </c>
      <c r="B476" s="1">
        <v>40576</v>
      </c>
      <c r="C476" s="1">
        <v>40579</v>
      </c>
      <c r="D476" t="s">
        <v>142</v>
      </c>
      <c r="E476" t="s">
        <v>700</v>
      </c>
      <c r="F476" t="s">
        <v>43</v>
      </c>
      <c r="G476" t="s">
        <v>701</v>
      </c>
      <c r="H476" t="s">
        <v>305</v>
      </c>
      <c r="I476" t="s">
        <v>29</v>
      </c>
      <c r="J476" t="s">
        <v>76</v>
      </c>
      <c r="K476" t="s">
        <v>7</v>
      </c>
      <c r="L476" t="s">
        <v>31</v>
      </c>
      <c r="M476">
        <v>13</v>
      </c>
      <c r="N476">
        <v>1</v>
      </c>
      <c r="O476">
        <v>0.5</v>
      </c>
      <c r="P476">
        <v>-7.9349999999999996</v>
      </c>
      <c r="Q476">
        <v>1.83</v>
      </c>
      <c r="R476" t="s">
        <v>23</v>
      </c>
    </row>
    <row r="477" spans="1:18" x14ac:dyDescent="0.25">
      <c r="A477" t="s">
        <v>714</v>
      </c>
      <c r="B477" s="1">
        <v>40576</v>
      </c>
      <c r="C477" s="1">
        <v>40578</v>
      </c>
      <c r="D477" t="s">
        <v>18</v>
      </c>
      <c r="E477" t="s">
        <v>715</v>
      </c>
      <c r="F477" t="s">
        <v>43</v>
      </c>
      <c r="G477" t="s">
        <v>264</v>
      </c>
      <c r="H477" t="s">
        <v>86</v>
      </c>
      <c r="I477" t="s">
        <v>14</v>
      </c>
      <c r="J477" t="s">
        <v>61</v>
      </c>
      <c r="K477" t="s">
        <v>7</v>
      </c>
      <c r="L477" t="s">
        <v>87</v>
      </c>
      <c r="M477">
        <v>44</v>
      </c>
      <c r="N477">
        <v>6</v>
      </c>
      <c r="O477">
        <v>0.47</v>
      </c>
      <c r="P477">
        <v>-26.337599999999998</v>
      </c>
      <c r="Q477">
        <v>1.78</v>
      </c>
      <c r="R477" t="s">
        <v>9</v>
      </c>
    </row>
    <row r="478" spans="1:18" x14ac:dyDescent="0.25">
      <c r="A478" t="s">
        <v>718</v>
      </c>
      <c r="B478" s="1">
        <v>40576</v>
      </c>
      <c r="C478" s="1">
        <v>40581</v>
      </c>
      <c r="D478" t="s">
        <v>1</v>
      </c>
      <c r="E478" t="s">
        <v>719</v>
      </c>
      <c r="F478" t="s">
        <v>3</v>
      </c>
      <c r="G478" t="s">
        <v>12</v>
      </c>
      <c r="H478" t="s">
        <v>13</v>
      </c>
      <c r="I478" t="s">
        <v>14</v>
      </c>
      <c r="J478" t="s">
        <v>15</v>
      </c>
      <c r="K478" t="s">
        <v>32</v>
      </c>
      <c r="L478" t="s">
        <v>33</v>
      </c>
      <c r="M478">
        <v>34</v>
      </c>
      <c r="N478">
        <v>2</v>
      </c>
      <c r="O478">
        <v>0.1</v>
      </c>
      <c r="P478">
        <v>7.92</v>
      </c>
      <c r="Q478">
        <v>1.77</v>
      </c>
      <c r="R478" t="s">
        <v>9</v>
      </c>
    </row>
    <row r="479" spans="1:18" x14ac:dyDescent="0.25">
      <c r="A479" t="s">
        <v>720</v>
      </c>
      <c r="B479" s="1">
        <v>40577</v>
      </c>
      <c r="C479" s="1">
        <v>40579</v>
      </c>
      <c r="D479" t="s">
        <v>18</v>
      </c>
      <c r="E479" t="s">
        <v>721</v>
      </c>
      <c r="F479" t="s">
        <v>26</v>
      </c>
      <c r="G479" t="s">
        <v>722</v>
      </c>
      <c r="H479" t="s">
        <v>28</v>
      </c>
      <c r="I479" t="s">
        <v>29</v>
      </c>
      <c r="J479" t="s">
        <v>30</v>
      </c>
      <c r="K479" t="s">
        <v>7</v>
      </c>
      <c r="L479" t="s">
        <v>91</v>
      </c>
      <c r="M479">
        <v>91</v>
      </c>
      <c r="N479">
        <v>6</v>
      </c>
      <c r="O479">
        <v>0.5</v>
      </c>
      <c r="P479">
        <v>-61.65</v>
      </c>
      <c r="Q479">
        <v>6.64</v>
      </c>
      <c r="R479" t="s">
        <v>9</v>
      </c>
    </row>
    <row r="480" spans="1:18" x14ac:dyDescent="0.25">
      <c r="A480" t="s">
        <v>723</v>
      </c>
      <c r="B480" s="1">
        <v>40577</v>
      </c>
      <c r="C480" s="1">
        <v>40584</v>
      </c>
      <c r="D480" t="s">
        <v>1</v>
      </c>
      <c r="E480" t="s">
        <v>724</v>
      </c>
      <c r="F480" t="s">
        <v>3</v>
      </c>
      <c r="G480" t="s">
        <v>505</v>
      </c>
      <c r="H480" t="s">
        <v>126</v>
      </c>
      <c r="I480" t="s">
        <v>127</v>
      </c>
      <c r="J480" t="s">
        <v>102</v>
      </c>
      <c r="K480" t="s">
        <v>38</v>
      </c>
      <c r="L480" t="s">
        <v>77</v>
      </c>
      <c r="M480">
        <v>181</v>
      </c>
      <c r="N480">
        <v>5</v>
      </c>
      <c r="O480">
        <v>0.2</v>
      </c>
      <c r="P480">
        <v>13.571999999999999</v>
      </c>
      <c r="Q480">
        <v>4.99</v>
      </c>
      <c r="R480" t="s">
        <v>9</v>
      </c>
    </row>
    <row r="481" spans="1:18" x14ac:dyDescent="0.25">
      <c r="A481" t="s">
        <v>725</v>
      </c>
      <c r="B481" s="1">
        <v>40577</v>
      </c>
      <c r="C481" s="1">
        <v>40581</v>
      </c>
      <c r="D481" t="s">
        <v>1</v>
      </c>
      <c r="E481" t="s">
        <v>726</v>
      </c>
      <c r="F481" t="s">
        <v>3</v>
      </c>
      <c r="G481" t="s">
        <v>222</v>
      </c>
      <c r="H481" t="s">
        <v>223</v>
      </c>
      <c r="I481" t="s">
        <v>6</v>
      </c>
      <c r="J481" t="s">
        <v>6</v>
      </c>
      <c r="K481" t="s">
        <v>38</v>
      </c>
      <c r="L481" t="s">
        <v>82</v>
      </c>
      <c r="M481">
        <v>25</v>
      </c>
      <c r="N481">
        <v>1</v>
      </c>
      <c r="O481">
        <v>0.7</v>
      </c>
      <c r="P481">
        <v>-22.962</v>
      </c>
      <c r="Q481">
        <v>3.34</v>
      </c>
      <c r="R481" t="s">
        <v>23</v>
      </c>
    </row>
    <row r="482" spans="1:18" x14ac:dyDescent="0.25">
      <c r="A482" t="s">
        <v>727</v>
      </c>
      <c r="B482" s="1">
        <v>40577</v>
      </c>
      <c r="C482" s="1">
        <v>40582</v>
      </c>
      <c r="D482" t="s">
        <v>1</v>
      </c>
      <c r="E482" t="s">
        <v>728</v>
      </c>
      <c r="F482" t="s">
        <v>43</v>
      </c>
      <c r="G482" t="s">
        <v>729</v>
      </c>
      <c r="H482" t="s">
        <v>169</v>
      </c>
      <c r="I482" t="s">
        <v>14</v>
      </c>
      <c r="J482" t="s">
        <v>132</v>
      </c>
      <c r="K482" t="s">
        <v>7</v>
      </c>
      <c r="L482" t="s">
        <v>97</v>
      </c>
      <c r="M482">
        <v>30</v>
      </c>
      <c r="N482">
        <v>2</v>
      </c>
      <c r="O482">
        <v>0</v>
      </c>
      <c r="P482">
        <v>5.64</v>
      </c>
      <c r="Q482">
        <v>3.13</v>
      </c>
      <c r="R482" t="s">
        <v>9</v>
      </c>
    </row>
    <row r="483" spans="1:18" x14ac:dyDescent="0.25">
      <c r="A483" t="s">
        <v>723</v>
      </c>
      <c r="B483" s="1">
        <v>40577</v>
      </c>
      <c r="C483" s="1">
        <v>40584</v>
      </c>
      <c r="D483" t="s">
        <v>1</v>
      </c>
      <c r="E483" t="s">
        <v>724</v>
      </c>
      <c r="F483" t="s">
        <v>3</v>
      </c>
      <c r="G483" t="s">
        <v>505</v>
      </c>
      <c r="H483" t="s">
        <v>126</v>
      </c>
      <c r="I483" t="s">
        <v>127</v>
      </c>
      <c r="J483" t="s">
        <v>102</v>
      </c>
      <c r="K483" t="s">
        <v>7</v>
      </c>
      <c r="L483" t="s">
        <v>137</v>
      </c>
      <c r="M483">
        <v>18</v>
      </c>
      <c r="N483">
        <v>2</v>
      </c>
      <c r="O483">
        <v>0.7</v>
      </c>
      <c r="P483">
        <v>-12.224</v>
      </c>
      <c r="Q483">
        <v>1.66</v>
      </c>
      <c r="R483" t="s">
        <v>9</v>
      </c>
    </row>
    <row r="484" spans="1:18" x14ac:dyDescent="0.25">
      <c r="A484" t="s">
        <v>730</v>
      </c>
      <c r="B484" s="1">
        <v>40577</v>
      </c>
      <c r="C484" s="1">
        <v>40584</v>
      </c>
      <c r="D484" t="s">
        <v>1</v>
      </c>
      <c r="E484" t="s">
        <v>148</v>
      </c>
      <c r="F484" t="s">
        <v>3</v>
      </c>
      <c r="G484" t="s">
        <v>164</v>
      </c>
      <c r="H484" t="s">
        <v>165</v>
      </c>
      <c r="I484" t="s">
        <v>6</v>
      </c>
      <c r="J484" t="s">
        <v>6</v>
      </c>
      <c r="K484" t="s">
        <v>7</v>
      </c>
      <c r="L484" t="s">
        <v>137</v>
      </c>
      <c r="M484">
        <v>9</v>
      </c>
      <c r="N484">
        <v>2</v>
      </c>
      <c r="O484">
        <v>0</v>
      </c>
      <c r="P484">
        <v>4.5</v>
      </c>
      <c r="Q484">
        <v>0.8</v>
      </c>
      <c r="R484" t="s">
        <v>51</v>
      </c>
    </row>
    <row r="485" spans="1:18" x14ac:dyDescent="0.25">
      <c r="A485" t="s">
        <v>731</v>
      </c>
      <c r="B485" s="1">
        <v>40577</v>
      </c>
      <c r="C485" s="1">
        <v>40581</v>
      </c>
      <c r="D485" t="s">
        <v>1</v>
      </c>
      <c r="E485" t="s">
        <v>732</v>
      </c>
      <c r="F485" t="s">
        <v>26</v>
      </c>
      <c r="G485" t="s">
        <v>191</v>
      </c>
      <c r="H485" t="s">
        <v>126</v>
      </c>
      <c r="I485" t="s">
        <v>127</v>
      </c>
      <c r="J485" t="s">
        <v>192</v>
      </c>
      <c r="K485" t="s">
        <v>7</v>
      </c>
      <c r="L485" t="s">
        <v>97</v>
      </c>
      <c r="M485">
        <v>12</v>
      </c>
      <c r="N485">
        <v>5</v>
      </c>
      <c r="O485">
        <v>0</v>
      </c>
      <c r="P485">
        <v>5.8045</v>
      </c>
      <c r="Q485">
        <v>0.28999999999999998</v>
      </c>
      <c r="R485" t="s">
        <v>9</v>
      </c>
    </row>
    <row r="486" spans="1:18" x14ac:dyDescent="0.25">
      <c r="A486" t="s">
        <v>733</v>
      </c>
      <c r="B486" s="1">
        <v>40578</v>
      </c>
      <c r="C486" s="1">
        <v>40581</v>
      </c>
      <c r="D486" t="s">
        <v>142</v>
      </c>
      <c r="E486" t="s">
        <v>734</v>
      </c>
      <c r="F486" t="s">
        <v>3</v>
      </c>
      <c r="G486" t="s">
        <v>523</v>
      </c>
      <c r="H486" t="s">
        <v>49</v>
      </c>
      <c r="I486" t="s">
        <v>14</v>
      </c>
      <c r="J486" t="s">
        <v>15</v>
      </c>
      <c r="K486" t="s">
        <v>38</v>
      </c>
      <c r="L486" t="s">
        <v>82</v>
      </c>
      <c r="M486">
        <v>441</v>
      </c>
      <c r="N486">
        <v>4</v>
      </c>
      <c r="O486">
        <v>0</v>
      </c>
      <c r="P486">
        <v>39.6</v>
      </c>
      <c r="Q486">
        <v>66.08</v>
      </c>
      <c r="R486" t="s">
        <v>9</v>
      </c>
    </row>
    <row r="487" spans="1:18" x14ac:dyDescent="0.25">
      <c r="A487" t="s">
        <v>733</v>
      </c>
      <c r="B487" s="1">
        <v>40578</v>
      </c>
      <c r="C487" s="1">
        <v>40581</v>
      </c>
      <c r="D487" t="s">
        <v>142</v>
      </c>
      <c r="E487" t="s">
        <v>734</v>
      </c>
      <c r="F487" t="s">
        <v>3</v>
      </c>
      <c r="G487" t="s">
        <v>523</v>
      </c>
      <c r="H487" t="s">
        <v>49</v>
      </c>
      <c r="I487" t="s">
        <v>14</v>
      </c>
      <c r="J487" t="s">
        <v>15</v>
      </c>
      <c r="K487" t="s">
        <v>7</v>
      </c>
      <c r="L487" t="s">
        <v>44</v>
      </c>
      <c r="M487">
        <v>884</v>
      </c>
      <c r="N487">
        <v>10</v>
      </c>
      <c r="O487">
        <v>0</v>
      </c>
      <c r="P487">
        <v>70.5</v>
      </c>
      <c r="Q487">
        <v>42</v>
      </c>
      <c r="R487" t="s">
        <v>9</v>
      </c>
    </row>
    <row r="488" spans="1:18" x14ac:dyDescent="0.25">
      <c r="A488" t="s">
        <v>735</v>
      </c>
      <c r="B488" s="1">
        <v>40578</v>
      </c>
      <c r="C488" s="1">
        <v>40583</v>
      </c>
      <c r="D488" t="s">
        <v>18</v>
      </c>
      <c r="E488" t="s">
        <v>736</v>
      </c>
      <c r="F488" t="s">
        <v>43</v>
      </c>
      <c r="G488" t="s">
        <v>737</v>
      </c>
      <c r="H488" t="s">
        <v>259</v>
      </c>
      <c r="I488" t="s">
        <v>6</v>
      </c>
      <c r="J488" t="s">
        <v>6</v>
      </c>
      <c r="K488" t="s">
        <v>38</v>
      </c>
      <c r="L488" t="s">
        <v>39</v>
      </c>
      <c r="M488">
        <v>115</v>
      </c>
      <c r="N488">
        <v>1</v>
      </c>
      <c r="O488">
        <v>0</v>
      </c>
      <c r="P488">
        <v>49.62</v>
      </c>
      <c r="Q488">
        <v>20.22</v>
      </c>
      <c r="R488" t="s">
        <v>9</v>
      </c>
    </row>
    <row r="489" spans="1:18" x14ac:dyDescent="0.25">
      <c r="A489" t="s">
        <v>738</v>
      </c>
      <c r="B489" s="1">
        <v>40578</v>
      </c>
      <c r="C489" s="1">
        <v>40582</v>
      </c>
      <c r="D489" t="s">
        <v>1</v>
      </c>
      <c r="E489" t="s">
        <v>64</v>
      </c>
      <c r="F489" t="s">
        <v>3</v>
      </c>
      <c r="G489" t="s">
        <v>184</v>
      </c>
      <c r="H489" t="s">
        <v>115</v>
      </c>
      <c r="I489" t="s">
        <v>29</v>
      </c>
      <c r="J489" t="s">
        <v>76</v>
      </c>
      <c r="K489" t="s">
        <v>7</v>
      </c>
      <c r="L489" t="s">
        <v>8</v>
      </c>
      <c r="M489">
        <v>149</v>
      </c>
      <c r="N489">
        <v>3</v>
      </c>
      <c r="O489">
        <v>0.1</v>
      </c>
      <c r="P489">
        <v>14.868</v>
      </c>
      <c r="Q489">
        <v>14.97</v>
      </c>
      <c r="R489" t="s">
        <v>9</v>
      </c>
    </row>
    <row r="490" spans="1:18" x14ac:dyDescent="0.25">
      <c r="A490" t="s">
        <v>739</v>
      </c>
      <c r="B490" s="1">
        <v>40578</v>
      </c>
      <c r="C490" s="1">
        <v>40581</v>
      </c>
      <c r="D490" t="s">
        <v>18</v>
      </c>
      <c r="E490" t="s">
        <v>504</v>
      </c>
      <c r="F490" t="s">
        <v>3</v>
      </c>
      <c r="G490" t="s">
        <v>740</v>
      </c>
      <c r="H490" t="s">
        <v>126</v>
      </c>
      <c r="I490" t="s">
        <v>127</v>
      </c>
      <c r="J490" t="s">
        <v>192</v>
      </c>
      <c r="K490" t="s">
        <v>7</v>
      </c>
      <c r="L490" t="s">
        <v>137</v>
      </c>
      <c r="M490">
        <v>84</v>
      </c>
      <c r="N490">
        <v>2</v>
      </c>
      <c r="O490">
        <v>0.2</v>
      </c>
      <c r="P490">
        <v>27.248000000000001</v>
      </c>
      <c r="Q490">
        <v>8.82</v>
      </c>
      <c r="R490" t="s">
        <v>23</v>
      </c>
    </row>
    <row r="491" spans="1:18" x14ac:dyDescent="0.25">
      <c r="A491" t="s">
        <v>735</v>
      </c>
      <c r="B491" s="1">
        <v>40578</v>
      </c>
      <c r="C491" s="1">
        <v>40583</v>
      </c>
      <c r="D491" t="s">
        <v>18</v>
      </c>
      <c r="E491" t="s">
        <v>736</v>
      </c>
      <c r="F491" t="s">
        <v>43</v>
      </c>
      <c r="G491" t="s">
        <v>737</v>
      </c>
      <c r="H491" t="s">
        <v>259</v>
      </c>
      <c r="I491" t="s">
        <v>6</v>
      </c>
      <c r="J491" t="s">
        <v>6</v>
      </c>
      <c r="K491" t="s">
        <v>7</v>
      </c>
      <c r="L491" t="s">
        <v>137</v>
      </c>
      <c r="M491">
        <v>59</v>
      </c>
      <c r="N491">
        <v>2</v>
      </c>
      <c r="O491">
        <v>0</v>
      </c>
      <c r="P491">
        <v>12.36</v>
      </c>
      <c r="Q491">
        <v>6.06</v>
      </c>
      <c r="R491" t="s">
        <v>9</v>
      </c>
    </row>
    <row r="492" spans="1:18" x14ac:dyDescent="0.25">
      <c r="A492" t="s">
        <v>362</v>
      </c>
      <c r="B492" s="1">
        <v>40578</v>
      </c>
      <c r="C492" s="1">
        <v>40582</v>
      </c>
      <c r="D492" t="s">
        <v>1</v>
      </c>
      <c r="E492" t="s">
        <v>559</v>
      </c>
      <c r="F492" t="s">
        <v>26</v>
      </c>
      <c r="G492" t="s">
        <v>114</v>
      </c>
      <c r="H492" t="s">
        <v>115</v>
      </c>
      <c r="I492" t="s">
        <v>29</v>
      </c>
      <c r="J492" t="s">
        <v>76</v>
      </c>
      <c r="K492" t="s">
        <v>7</v>
      </c>
      <c r="L492" t="s">
        <v>91</v>
      </c>
      <c r="M492">
        <v>30</v>
      </c>
      <c r="N492">
        <v>2</v>
      </c>
      <c r="O492">
        <v>0</v>
      </c>
      <c r="P492">
        <v>10.86</v>
      </c>
      <c r="Q492">
        <v>3.76</v>
      </c>
      <c r="R492" t="s">
        <v>23</v>
      </c>
    </row>
    <row r="493" spans="1:18" x14ac:dyDescent="0.25">
      <c r="A493" t="s">
        <v>362</v>
      </c>
      <c r="B493" s="1">
        <v>40578</v>
      </c>
      <c r="C493" s="1">
        <v>40582</v>
      </c>
      <c r="D493" t="s">
        <v>1</v>
      </c>
      <c r="E493" t="s">
        <v>559</v>
      </c>
      <c r="F493" t="s">
        <v>26</v>
      </c>
      <c r="G493" t="s">
        <v>114</v>
      </c>
      <c r="H493" t="s">
        <v>115</v>
      </c>
      <c r="I493" t="s">
        <v>29</v>
      </c>
      <c r="J493" t="s">
        <v>76</v>
      </c>
      <c r="K493" t="s">
        <v>7</v>
      </c>
      <c r="L493" t="s">
        <v>87</v>
      </c>
      <c r="M493">
        <v>27</v>
      </c>
      <c r="N493">
        <v>3</v>
      </c>
      <c r="O493">
        <v>0</v>
      </c>
      <c r="P493">
        <v>5.94</v>
      </c>
      <c r="Q493">
        <v>3.33</v>
      </c>
      <c r="R493" t="s">
        <v>23</v>
      </c>
    </row>
    <row r="494" spans="1:18" x14ac:dyDescent="0.25">
      <c r="A494" t="s">
        <v>739</v>
      </c>
      <c r="B494" s="1">
        <v>40578</v>
      </c>
      <c r="C494" s="1">
        <v>40581</v>
      </c>
      <c r="D494" t="s">
        <v>18</v>
      </c>
      <c r="E494" t="s">
        <v>504</v>
      </c>
      <c r="F494" t="s">
        <v>3</v>
      </c>
      <c r="G494" t="s">
        <v>740</v>
      </c>
      <c r="H494" t="s">
        <v>126</v>
      </c>
      <c r="I494" t="s">
        <v>127</v>
      </c>
      <c r="J494" t="s">
        <v>192</v>
      </c>
      <c r="K494" t="s">
        <v>7</v>
      </c>
      <c r="L494" t="s">
        <v>137</v>
      </c>
      <c r="M494">
        <v>13</v>
      </c>
      <c r="N494">
        <v>3</v>
      </c>
      <c r="O494">
        <v>0.2</v>
      </c>
      <c r="P494">
        <v>4.3133999999999997</v>
      </c>
      <c r="Q494">
        <v>2.2599999999999998</v>
      </c>
      <c r="R494" t="s">
        <v>23</v>
      </c>
    </row>
    <row r="495" spans="1:18" x14ac:dyDescent="0.25">
      <c r="A495" t="s">
        <v>735</v>
      </c>
      <c r="B495" s="1">
        <v>40578</v>
      </c>
      <c r="C495" s="1">
        <v>40583</v>
      </c>
      <c r="D495" t="s">
        <v>18</v>
      </c>
      <c r="E495" t="s">
        <v>736</v>
      </c>
      <c r="F495" t="s">
        <v>43</v>
      </c>
      <c r="G495" t="s">
        <v>737</v>
      </c>
      <c r="H495" t="s">
        <v>259</v>
      </c>
      <c r="I495" t="s">
        <v>6</v>
      </c>
      <c r="J495" t="s">
        <v>6</v>
      </c>
      <c r="K495" t="s">
        <v>32</v>
      </c>
      <c r="L495" t="s">
        <v>33</v>
      </c>
      <c r="M495">
        <v>53</v>
      </c>
      <c r="N495">
        <v>2</v>
      </c>
      <c r="O495">
        <v>0</v>
      </c>
      <c r="P495">
        <v>14.76</v>
      </c>
      <c r="Q495">
        <v>1.77</v>
      </c>
      <c r="R495" t="s">
        <v>9</v>
      </c>
    </row>
    <row r="496" spans="1:18" x14ac:dyDescent="0.25">
      <c r="A496" t="s">
        <v>741</v>
      </c>
      <c r="B496" s="1">
        <v>40578</v>
      </c>
      <c r="C496" s="1">
        <v>40583</v>
      </c>
      <c r="D496" t="s">
        <v>18</v>
      </c>
      <c r="E496" t="s">
        <v>742</v>
      </c>
      <c r="F496" t="s">
        <v>26</v>
      </c>
      <c r="G496" t="s">
        <v>222</v>
      </c>
      <c r="H496" t="s">
        <v>223</v>
      </c>
      <c r="I496" t="s">
        <v>6</v>
      </c>
      <c r="J496" t="s">
        <v>6</v>
      </c>
      <c r="K496" t="s">
        <v>7</v>
      </c>
      <c r="L496" t="s">
        <v>91</v>
      </c>
      <c r="M496">
        <v>7</v>
      </c>
      <c r="N496">
        <v>2</v>
      </c>
      <c r="O496">
        <v>0.7</v>
      </c>
      <c r="P496">
        <v>-10.698</v>
      </c>
      <c r="Q496">
        <v>0.35</v>
      </c>
      <c r="R496" t="s">
        <v>9</v>
      </c>
    </row>
    <row r="497" spans="1:18" x14ac:dyDescent="0.25">
      <c r="A497" t="s">
        <v>735</v>
      </c>
      <c r="B497" s="1">
        <v>40578</v>
      </c>
      <c r="C497" s="1">
        <v>40583</v>
      </c>
      <c r="D497" t="s">
        <v>18</v>
      </c>
      <c r="E497" t="s">
        <v>736</v>
      </c>
      <c r="F497" t="s">
        <v>43</v>
      </c>
      <c r="G497" t="s">
        <v>737</v>
      </c>
      <c r="H497" t="s">
        <v>259</v>
      </c>
      <c r="I497" t="s">
        <v>6</v>
      </c>
      <c r="J497" t="s">
        <v>6</v>
      </c>
      <c r="K497" t="s">
        <v>7</v>
      </c>
      <c r="L497" t="s">
        <v>137</v>
      </c>
      <c r="M497">
        <v>4</v>
      </c>
      <c r="N497">
        <v>1</v>
      </c>
      <c r="O497">
        <v>0</v>
      </c>
      <c r="P497">
        <v>0</v>
      </c>
      <c r="Q497">
        <v>0.19</v>
      </c>
      <c r="R497" t="s">
        <v>9</v>
      </c>
    </row>
    <row r="498" spans="1:18" x14ac:dyDescent="0.25">
      <c r="A498" t="s">
        <v>743</v>
      </c>
      <c r="B498" s="1">
        <v>40579</v>
      </c>
      <c r="C498" s="1">
        <v>40586</v>
      </c>
      <c r="D498" t="s">
        <v>1</v>
      </c>
      <c r="E498" t="s">
        <v>744</v>
      </c>
      <c r="F498" t="s">
        <v>3</v>
      </c>
      <c r="G498" t="s">
        <v>354</v>
      </c>
      <c r="H498" t="s">
        <v>285</v>
      </c>
      <c r="I498" t="s">
        <v>22</v>
      </c>
      <c r="J498" t="s">
        <v>22</v>
      </c>
      <c r="K498" t="s">
        <v>32</v>
      </c>
      <c r="L498" t="s">
        <v>56</v>
      </c>
      <c r="M498">
        <v>59</v>
      </c>
      <c r="N498">
        <v>2</v>
      </c>
      <c r="O498">
        <v>0.6</v>
      </c>
      <c r="P498">
        <v>-69.84</v>
      </c>
      <c r="Q498">
        <v>4.7699999999999996</v>
      </c>
      <c r="R498" t="s">
        <v>51</v>
      </c>
    </row>
    <row r="499" spans="1:18" x14ac:dyDescent="0.25">
      <c r="A499" t="s">
        <v>745</v>
      </c>
      <c r="B499" s="1">
        <v>40579</v>
      </c>
      <c r="C499" s="1">
        <v>40583</v>
      </c>
      <c r="D499" t="s">
        <v>18</v>
      </c>
      <c r="E499" t="s">
        <v>746</v>
      </c>
      <c r="F499" t="s">
        <v>43</v>
      </c>
      <c r="G499" t="s">
        <v>191</v>
      </c>
      <c r="H499" t="s">
        <v>126</v>
      </c>
      <c r="I499" t="s">
        <v>127</v>
      </c>
      <c r="J499" t="s">
        <v>192</v>
      </c>
      <c r="K499" t="s">
        <v>7</v>
      </c>
      <c r="L499" t="s">
        <v>137</v>
      </c>
      <c r="M499">
        <v>17</v>
      </c>
      <c r="N499">
        <v>2</v>
      </c>
      <c r="O499">
        <v>0.2</v>
      </c>
      <c r="P499">
        <v>6.0368000000000004</v>
      </c>
      <c r="Q499">
        <v>3.37</v>
      </c>
      <c r="R499" t="s">
        <v>23</v>
      </c>
    </row>
    <row r="500" spans="1:18" x14ac:dyDescent="0.25">
      <c r="A500" t="s">
        <v>747</v>
      </c>
      <c r="B500" s="1">
        <v>40579</v>
      </c>
      <c r="C500" s="1">
        <v>40583</v>
      </c>
      <c r="D500" t="s">
        <v>1</v>
      </c>
      <c r="E500" t="s">
        <v>748</v>
      </c>
      <c r="F500" t="s">
        <v>26</v>
      </c>
      <c r="G500" t="s">
        <v>191</v>
      </c>
      <c r="H500" t="s">
        <v>126</v>
      </c>
      <c r="I500" t="s">
        <v>127</v>
      </c>
      <c r="J500" t="s">
        <v>192</v>
      </c>
      <c r="K500" t="s">
        <v>7</v>
      </c>
      <c r="L500" t="s">
        <v>31</v>
      </c>
      <c r="M500">
        <v>34</v>
      </c>
      <c r="N500">
        <v>4</v>
      </c>
      <c r="O500">
        <v>0</v>
      </c>
      <c r="P500">
        <v>16.0928</v>
      </c>
      <c r="Q500">
        <v>3.16</v>
      </c>
      <c r="R500" t="s">
        <v>23</v>
      </c>
    </row>
    <row r="501" spans="1:18" x14ac:dyDescent="0.25">
      <c r="A501" t="s">
        <v>747</v>
      </c>
      <c r="B501" s="1">
        <v>40579</v>
      </c>
      <c r="C501" s="1">
        <v>40583</v>
      </c>
      <c r="D501" t="s">
        <v>1</v>
      </c>
      <c r="E501" t="s">
        <v>748</v>
      </c>
      <c r="F501" t="s">
        <v>26</v>
      </c>
      <c r="G501" t="s">
        <v>191</v>
      </c>
      <c r="H501" t="s">
        <v>126</v>
      </c>
      <c r="I501" t="s">
        <v>127</v>
      </c>
      <c r="J501" t="s">
        <v>192</v>
      </c>
      <c r="K501" t="s">
        <v>7</v>
      </c>
      <c r="L501" t="s">
        <v>137</v>
      </c>
      <c r="M501">
        <v>83</v>
      </c>
      <c r="N501">
        <v>3</v>
      </c>
      <c r="O501">
        <v>0.2</v>
      </c>
      <c r="P501">
        <v>29.0136</v>
      </c>
      <c r="Q501">
        <v>2.5499999999999998</v>
      </c>
      <c r="R501" t="s">
        <v>23</v>
      </c>
    </row>
    <row r="502" spans="1:18" x14ac:dyDescent="0.25">
      <c r="A502" t="s">
        <v>743</v>
      </c>
      <c r="B502" s="1">
        <v>40579</v>
      </c>
      <c r="C502" s="1">
        <v>40586</v>
      </c>
      <c r="D502" t="s">
        <v>1</v>
      </c>
      <c r="E502" t="s">
        <v>744</v>
      </c>
      <c r="F502" t="s">
        <v>3</v>
      </c>
      <c r="G502" t="s">
        <v>354</v>
      </c>
      <c r="H502" t="s">
        <v>285</v>
      </c>
      <c r="I502" t="s">
        <v>22</v>
      </c>
      <c r="J502" t="s">
        <v>22</v>
      </c>
      <c r="K502" t="s">
        <v>7</v>
      </c>
      <c r="L502" t="s">
        <v>8</v>
      </c>
      <c r="M502">
        <v>20</v>
      </c>
      <c r="N502">
        <v>1</v>
      </c>
      <c r="O502">
        <v>0.6</v>
      </c>
      <c r="P502">
        <v>-7.3559999999999999</v>
      </c>
      <c r="Q502">
        <v>2.2200000000000002</v>
      </c>
      <c r="R502" t="s">
        <v>51</v>
      </c>
    </row>
    <row r="503" spans="1:18" x14ac:dyDescent="0.25">
      <c r="A503" t="s">
        <v>743</v>
      </c>
      <c r="B503" s="1">
        <v>40579</v>
      </c>
      <c r="C503" s="1">
        <v>40586</v>
      </c>
      <c r="D503" t="s">
        <v>1</v>
      </c>
      <c r="E503" t="s">
        <v>744</v>
      </c>
      <c r="F503" t="s">
        <v>3</v>
      </c>
      <c r="G503" t="s">
        <v>354</v>
      </c>
      <c r="H503" t="s">
        <v>285</v>
      </c>
      <c r="I503" t="s">
        <v>22</v>
      </c>
      <c r="J503" t="s">
        <v>22</v>
      </c>
      <c r="K503" t="s">
        <v>32</v>
      </c>
      <c r="L503" t="s">
        <v>33</v>
      </c>
      <c r="M503">
        <v>8</v>
      </c>
      <c r="N503">
        <v>1</v>
      </c>
      <c r="O503">
        <v>0.6</v>
      </c>
      <c r="P503">
        <v>-2.6219999999999999</v>
      </c>
      <c r="Q503">
        <v>0.55000000000000004</v>
      </c>
      <c r="R503" t="s">
        <v>51</v>
      </c>
    </row>
    <row r="504" spans="1:18" x14ac:dyDescent="0.25">
      <c r="A504" t="s">
        <v>749</v>
      </c>
      <c r="B504" s="1">
        <v>40580</v>
      </c>
      <c r="C504" s="1">
        <v>40584</v>
      </c>
      <c r="D504" t="s">
        <v>18</v>
      </c>
      <c r="E504" t="s">
        <v>750</v>
      </c>
      <c r="F504" t="s">
        <v>3</v>
      </c>
      <c r="G504" t="s">
        <v>751</v>
      </c>
      <c r="H504" t="s">
        <v>285</v>
      </c>
      <c r="I504" t="s">
        <v>22</v>
      </c>
      <c r="J504" t="s">
        <v>22</v>
      </c>
      <c r="K504" t="s">
        <v>7</v>
      </c>
      <c r="L504" t="s">
        <v>87</v>
      </c>
      <c r="M504">
        <v>3</v>
      </c>
      <c r="N504">
        <v>1</v>
      </c>
      <c r="O504">
        <v>0.6</v>
      </c>
      <c r="P504">
        <v>-2.3519999999999999</v>
      </c>
      <c r="Q504">
        <v>0.23</v>
      </c>
      <c r="R504" t="s">
        <v>9</v>
      </c>
    </row>
    <row r="505" spans="1:18" x14ac:dyDescent="0.25">
      <c r="A505" t="s">
        <v>752</v>
      </c>
      <c r="B505" s="1">
        <v>40581</v>
      </c>
      <c r="C505" s="1">
        <v>40584</v>
      </c>
      <c r="D505" t="s">
        <v>142</v>
      </c>
      <c r="E505" t="s">
        <v>753</v>
      </c>
      <c r="F505" t="s">
        <v>43</v>
      </c>
      <c r="G505" t="s">
        <v>294</v>
      </c>
      <c r="H505" t="s">
        <v>126</v>
      </c>
      <c r="I505" t="s">
        <v>127</v>
      </c>
      <c r="J505" t="s">
        <v>102</v>
      </c>
      <c r="K505" t="s">
        <v>38</v>
      </c>
      <c r="L505" t="s">
        <v>77</v>
      </c>
      <c r="M505">
        <v>145</v>
      </c>
      <c r="N505">
        <v>5</v>
      </c>
      <c r="O505">
        <v>0</v>
      </c>
      <c r="P505">
        <v>42.035499999999999</v>
      </c>
      <c r="Q505">
        <v>33.51</v>
      </c>
      <c r="R505" t="s">
        <v>9</v>
      </c>
    </row>
    <row r="506" spans="1:18" x14ac:dyDescent="0.25">
      <c r="A506" t="s">
        <v>754</v>
      </c>
      <c r="B506" s="1">
        <v>40581</v>
      </c>
      <c r="C506" s="1">
        <v>40586</v>
      </c>
      <c r="D506" t="s">
        <v>18</v>
      </c>
      <c r="E506" t="s">
        <v>755</v>
      </c>
      <c r="F506" t="s">
        <v>3</v>
      </c>
      <c r="G506" t="s">
        <v>70</v>
      </c>
      <c r="H506" t="s">
        <v>71</v>
      </c>
      <c r="I506" t="s">
        <v>14</v>
      </c>
      <c r="J506" t="s">
        <v>61</v>
      </c>
      <c r="K506" t="s">
        <v>7</v>
      </c>
      <c r="L506" t="s">
        <v>8</v>
      </c>
      <c r="M506">
        <v>185</v>
      </c>
      <c r="N506">
        <v>3</v>
      </c>
      <c r="O506">
        <v>0</v>
      </c>
      <c r="P506">
        <v>48.06</v>
      </c>
      <c r="Q506">
        <v>25.86</v>
      </c>
      <c r="R506" t="s">
        <v>9</v>
      </c>
    </row>
    <row r="507" spans="1:18" x14ac:dyDescent="0.25">
      <c r="A507" t="s">
        <v>752</v>
      </c>
      <c r="B507" s="1">
        <v>40581</v>
      </c>
      <c r="C507" s="1">
        <v>40584</v>
      </c>
      <c r="D507" t="s">
        <v>142</v>
      </c>
      <c r="E507" t="s">
        <v>753</v>
      </c>
      <c r="F507" t="s">
        <v>43</v>
      </c>
      <c r="G507" t="s">
        <v>294</v>
      </c>
      <c r="H507" t="s">
        <v>126</v>
      </c>
      <c r="I507" t="s">
        <v>127</v>
      </c>
      <c r="J507" t="s">
        <v>102</v>
      </c>
      <c r="K507" t="s">
        <v>38</v>
      </c>
      <c r="L507" t="s">
        <v>77</v>
      </c>
      <c r="M507">
        <v>162</v>
      </c>
      <c r="N507">
        <v>1</v>
      </c>
      <c r="O507">
        <v>0</v>
      </c>
      <c r="P507">
        <v>42.018599999999999</v>
      </c>
      <c r="Q507">
        <v>25.28</v>
      </c>
      <c r="R507" t="s">
        <v>9</v>
      </c>
    </row>
    <row r="508" spans="1:18" x14ac:dyDescent="0.25">
      <c r="A508" t="s">
        <v>756</v>
      </c>
      <c r="B508" s="1">
        <v>40581</v>
      </c>
      <c r="C508" s="1">
        <v>40587</v>
      </c>
      <c r="D508" t="s">
        <v>1</v>
      </c>
      <c r="E508" t="s">
        <v>757</v>
      </c>
      <c r="F508" t="s">
        <v>3</v>
      </c>
      <c r="G508" t="s">
        <v>758</v>
      </c>
      <c r="H508" t="s">
        <v>169</v>
      </c>
      <c r="I508" t="s">
        <v>14</v>
      </c>
      <c r="J508" t="s">
        <v>132</v>
      </c>
      <c r="K508" t="s">
        <v>7</v>
      </c>
      <c r="L508" t="s">
        <v>44</v>
      </c>
      <c r="M508">
        <v>278</v>
      </c>
      <c r="N508">
        <v>4</v>
      </c>
      <c r="O508">
        <v>0</v>
      </c>
      <c r="P508">
        <v>133.44</v>
      </c>
      <c r="Q508">
        <v>20.16</v>
      </c>
      <c r="R508" t="s">
        <v>9</v>
      </c>
    </row>
    <row r="509" spans="1:18" x14ac:dyDescent="0.25">
      <c r="A509" t="s">
        <v>759</v>
      </c>
      <c r="B509" s="1">
        <v>40581</v>
      </c>
      <c r="C509" s="1">
        <v>40588</v>
      </c>
      <c r="D509" t="s">
        <v>1</v>
      </c>
      <c r="E509" t="s">
        <v>760</v>
      </c>
      <c r="F509" t="s">
        <v>3</v>
      </c>
      <c r="G509" t="s">
        <v>271</v>
      </c>
      <c r="H509" t="s">
        <v>157</v>
      </c>
      <c r="I509" t="s">
        <v>14</v>
      </c>
      <c r="J509" t="s">
        <v>61</v>
      </c>
      <c r="K509" t="s">
        <v>38</v>
      </c>
      <c r="L509" t="s">
        <v>77</v>
      </c>
      <c r="M509">
        <v>252</v>
      </c>
      <c r="N509">
        <v>2</v>
      </c>
      <c r="O509">
        <v>0.17</v>
      </c>
      <c r="P509">
        <v>6.0377999999999998</v>
      </c>
      <c r="Q509">
        <v>11.19</v>
      </c>
      <c r="R509" t="s">
        <v>9</v>
      </c>
    </row>
    <row r="510" spans="1:18" x14ac:dyDescent="0.25">
      <c r="A510" t="s">
        <v>761</v>
      </c>
      <c r="B510" s="1">
        <v>40581</v>
      </c>
      <c r="C510" s="1">
        <v>40585</v>
      </c>
      <c r="D510" t="s">
        <v>1</v>
      </c>
      <c r="E510" t="s">
        <v>762</v>
      </c>
      <c r="F510" t="s">
        <v>3</v>
      </c>
      <c r="G510" t="s">
        <v>364</v>
      </c>
      <c r="H510" t="s">
        <v>115</v>
      </c>
      <c r="I510" t="s">
        <v>29</v>
      </c>
      <c r="J510" t="s">
        <v>76</v>
      </c>
      <c r="K510" t="s">
        <v>38</v>
      </c>
      <c r="L510" t="s">
        <v>39</v>
      </c>
      <c r="M510">
        <v>208</v>
      </c>
      <c r="N510">
        <v>2</v>
      </c>
      <c r="O510">
        <v>0.15</v>
      </c>
      <c r="P510">
        <v>12.225</v>
      </c>
      <c r="Q510">
        <v>10.45</v>
      </c>
      <c r="R510" t="s">
        <v>23</v>
      </c>
    </row>
    <row r="511" spans="1:18" x14ac:dyDescent="0.25">
      <c r="A511" t="s">
        <v>761</v>
      </c>
      <c r="B511" s="1">
        <v>40581</v>
      </c>
      <c r="C511" s="1">
        <v>40585</v>
      </c>
      <c r="D511" t="s">
        <v>1</v>
      </c>
      <c r="E511" t="s">
        <v>762</v>
      </c>
      <c r="F511" t="s">
        <v>3</v>
      </c>
      <c r="G511" t="s">
        <v>364</v>
      </c>
      <c r="H511" t="s">
        <v>115</v>
      </c>
      <c r="I511" t="s">
        <v>29</v>
      </c>
      <c r="J511" t="s">
        <v>76</v>
      </c>
      <c r="K511" t="s">
        <v>7</v>
      </c>
      <c r="L511" t="s">
        <v>91</v>
      </c>
      <c r="M511">
        <v>112</v>
      </c>
      <c r="N511">
        <v>4</v>
      </c>
      <c r="O511">
        <v>0</v>
      </c>
      <c r="P511">
        <v>4.4400000000000004</v>
      </c>
      <c r="Q511">
        <v>9.8699999999999992</v>
      </c>
      <c r="R511" t="s">
        <v>23</v>
      </c>
    </row>
    <row r="512" spans="1:18" x14ac:dyDescent="0.25">
      <c r="A512" t="s">
        <v>761</v>
      </c>
      <c r="B512" s="1">
        <v>40581</v>
      </c>
      <c r="C512" s="1">
        <v>40585</v>
      </c>
      <c r="D512" t="s">
        <v>1</v>
      </c>
      <c r="E512" t="s">
        <v>762</v>
      </c>
      <c r="F512" t="s">
        <v>3</v>
      </c>
      <c r="G512" t="s">
        <v>364</v>
      </c>
      <c r="H512" t="s">
        <v>115</v>
      </c>
      <c r="I512" t="s">
        <v>29</v>
      </c>
      <c r="J512" t="s">
        <v>76</v>
      </c>
      <c r="K512" t="s">
        <v>7</v>
      </c>
      <c r="L512" t="s">
        <v>137</v>
      </c>
      <c r="M512">
        <v>50</v>
      </c>
      <c r="N512">
        <v>4</v>
      </c>
      <c r="O512">
        <v>0</v>
      </c>
      <c r="P512">
        <v>6.48</v>
      </c>
      <c r="Q512">
        <v>6.93</v>
      </c>
      <c r="R512" t="s">
        <v>23</v>
      </c>
    </row>
    <row r="513" spans="1:18" x14ac:dyDescent="0.25">
      <c r="A513" t="s">
        <v>756</v>
      </c>
      <c r="B513" s="1">
        <v>40581</v>
      </c>
      <c r="C513" s="1">
        <v>40587</v>
      </c>
      <c r="D513" t="s">
        <v>1</v>
      </c>
      <c r="E513" t="s">
        <v>757</v>
      </c>
      <c r="F513" t="s">
        <v>3</v>
      </c>
      <c r="G513" t="s">
        <v>758</v>
      </c>
      <c r="H513" t="s">
        <v>169</v>
      </c>
      <c r="I513" t="s">
        <v>14</v>
      </c>
      <c r="J513" t="s">
        <v>132</v>
      </c>
      <c r="K513" t="s">
        <v>7</v>
      </c>
      <c r="L513" t="s">
        <v>87</v>
      </c>
      <c r="M513">
        <v>67</v>
      </c>
      <c r="N513">
        <v>6</v>
      </c>
      <c r="O513">
        <v>0</v>
      </c>
      <c r="P513">
        <v>7.92</v>
      </c>
      <c r="Q513">
        <v>5.99</v>
      </c>
      <c r="R513" t="s">
        <v>9</v>
      </c>
    </row>
    <row r="514" spans="1:18" x14ac:dyDescent="0.25">
      <c r="A514" t="s">
        <v>763</v>
      </c>
      <c r="B514" s="1">
        <v>40581</v>
      </c>
      <c r="C514" s="1">
        <v>40586</v>
      </c>
      <c r="D514" t="s">
        <v>1</v>
      </c>
      <c r="E514" t="s">
        <v>764</v>
      </c>
      <c r="F514" t="s">
        <v>3</v>
      </c>
      <c r="G514" t="s">
        <v>48</v>
      </c>
      <c r="H514" t="s">
        <v>49</v>
      </c>
      <c r="I514" t="s">
        <v>14</v>
      </c>
      <c r="J514" t="s">
        <v>15</v>
      </c>
      <c r="K514" t="s">
        <v>38</v>
      </c>
      <c r="L514" t="s">
        <v>50</v>
      </c>
      <c r="M514">
        <v>285</v>
      </c>
      <c r="N514">
        <v>2</v>
      </c>
      <c r="O514">
        <v>0.4</v>
      </c>
      <c r="P514">
        <v>-104.58</v>
      </c>
      <c r="Q514">
        <v>4.54</v>
      </c>
      <c r="R514" t="s">
        <v>9</v>
      </c>
    </row>
    <row r="515" spans="1:18" x14ac:dyDescent="0.25">
      <c r="A515" t="s">
        <v>765</v>
      </c>
      <c r="B515" s="1">
        <v>40581</v>
      </c>
      <c r="C515" s="1">
        <v>40586</v>
      </c>
      <c r="D515" t="s">
        <v>1</v>
      </c>
      <c r="E515" t="s">
        <v>766</v>
      </c>
      <c r="F515" t="s">
        <v>43</v>
      </c>
      <c r="G515" t="s">
        <v>184</v>
      </c>
      <c r="H515" t="s">
        <v>115</v>
      </c>
      <c r="I515" t="s">
        <v>29</v>
      </c>
      <c r="J515" t="s">
        <v>76</v>
      </c>
      <c r="K515" t="s">
        <v>7</v>
      </c>
      <c r="L515" t="s">
        <v>87</v>
      </c>
      <c r="M515">
        <v>31</v>
      </c>
      <c r="N515">
        <v>3</v>
      </c>
      <c r="O515">
        <v>0</v>
      </c>
      <c r="P515">
        <v>10.62</v>
      </c>
      <c r="Q515">
        <v>3.58</v>
      </c>
      <c r="R515" t="s">
        <v>23</v>
      </c>
    </row>
    <row r="516" spans="1:18" x14ac:dyDescent="0.25">
      <c r="A516" t="s">
        <v>752</v>
      </c>
      <c r="B516" s="1">
        <v>40581</v>
      </c>
      <c r="C516" s="1">
        <v>40584</v>
      </c>
      <c r="D516" t="s">
        <v>142</v>
      </c>
      <c r="E516" t="s">
        <v>753</v>
      </c>
      <c r="F516" t="s">
        <v>43</v>
      </c>
      <c r="G516" t="s">
        <v>294</v>
      </c>
      <c r="H516" t="s">
        <v>126</v>
      </c>
      <c r="I516" t="s">
        <v>127</v>
      </c>
      <c r="J516" t="s">
        <v>102</v>
      </c>
      <c r="K516" t="s">
        <v>7</v>
      </c>
      <c r="L516" t="s">
        <v>87</v>
      </c>
      <c r="M516">
        <v>15</v>
      </c>
      <c r="N516">
        <v>4</v>
      </c>
      <c r="O516">
        <v>0</v>
      </c>
      <c r="P516">
        <v>7.2</v>
      </c>
      <c r="Q516">
        <v>2.27</v>
      </c>
      <c r="R516" t="s">
        <v>9</v>
      </c>
    </row>
    <row r="517" spans="1:18" x14ac:dyDescent="0.25">
      <c r="A517" t="s">
        <v>767</v>
      </c>
      <c r="B517" s="1">
        <v>40581</v>
      </c>
      <c r="C517" s="1">
        <v>40585</v>
      </c>
      <c r="D517" t="s">
        <v>18</v>
      </c>
      <c r="E517" t="s">
        <v>385</v>
      </c>
      <c r="F517" t="s">
        <v>3</v>
      </c>
      <c r="G517" t="s">
        <v>146</v>
      </c>
      <c r="H517" t="s">
        <v>126</v>
      </c>
      <c r="I517" t="s">
        <v>127</v>
      </c>
      <c r="J517" t="s">
        <v>76</v>
      </c>
      <c r="K517" t="s">
        <v>7</v>
      </c>
      <c r="L517" t="s">
        <v>137</v>
      </c>
      <c r="M517">
        <v>9</v>
      </c>
      <c r="N517">
        <v>2</v>
      </c>
      <c r="O517">
        <v>0.8</v>
      </c>
      <c r="P517">
        <v>-14.770799999999999</v>
      </c>
      <c r="Q517">
        <v>0.51</v>
      </c>
      <c r="R517" t="s">
        <v>9</v>
      </c>
    </row>
    <row r="518" spans="1:18" x14ac:dyDescent="0.25">
      <c r="A518" t="s">
        <v>768</v>
      </c>
      <c r="B518" s="1">
        <v>40582</v>
      </c>
      <c r="C518" s="1">
        <v>40585</v>
      </c>
      <c r="D518" t="s">
        <v>18</v>
      </c>
      <c r="E518" t="s">
        <v>335</v>
      </c>
      <c r="F518" t="s">
        <v>43</v>
      </c>
      <c r="G518" t="s">
        <v>649</v>
      </c>
      <c r="H518" t="s">
        <v>126</v>
      </c>
      <c r="I518" t="s">
        <v>127</v>
      </c>
      <c r="J518" t="s">
        <v>173</v>
      </c>
      <c r="K518" t="s">
        <v>7</v>
      </c>
      <c r="L518" t="s">
        <v>8</v>
      </c>
      <c r="M518">
        <v>65</v>
      </c>
      <c r="N518">
        <v>4</v>
      </c>
      <c r="O518">
        <v>0</v>
      </c>
      <c r="P518">
        <v>9.7439999999999998</v>
      </c>
      <c r="Q518">
        <v>19.07</v>
      </c>
      <c r="R518" t="s">
        <v>45</v>
      </c>
    </row>
    <row r="519" spans="1:18" x14ac:dyDescent="0.25">
      <c r="A519" t="s">
        <v>769</v>
      </c>
      <c r="B519" s="1">
        <v>40582</v>
      </c>
      <c r="C519" s="1">
        <v>40586</v>
      </c>
      <c r="D519" t="s">
        <v>1</v>
      </c>
      <c r="E519" t="s">
        <v>770</v>
      </c>
      <c r="F519" t="s">
        <v>43</v>
      </c>
      <c r="G519" t="s">
        <v>771</v>
      </c>
      <c r="H519" t="s">
        <v>115</v>
      </c>
      <c r="I519" t="s">
        <v>29</v>
      </c>
      <c r="J519" t="s">
        <v>76</v>
      </c>
      <c r="K519" t="s">
        <v>7</v>
      </c>
      <c r="L519" t="s">
        <v>137</v>
      </c>
      <c r="M519">
        <v>160</v>
      </c>
      <c r="N519">
        <v>5</v>
      </c>
      <c r="O519">
        <v>0</v>
      </c>
      <c r="P519">
        <v>59.1</v>
      </c>
      <c r="Q519">
        <v>14.79</v>
      </c>
      <c r="R519" t="s">
        <v>9</v>
      </c>
    </row>
    <row r="520" spans="1:18" x14ac:dyDescent="0.25">
      <c r="A520" t="s">
        <v>772</v>
      </c>
      <c r="B520" s="1">
        <v>40582</v>
      </c>
      <c r="C520" s="1">
        <v>40587</v>
      </c>
      <c r="D520" t="s">
        <v>1</v>
      </c>
      <c r="E520" t="s">
        <v>773</v>
      </c>
      <c r="F520" t="s">
        <v>43</v>
      </c>
      <c r="G520" t="s">
        <v>774</v>
      </c>
      <c r="H520" t="s">
        <v>126</v>
      </c>
      <c r="I520" t="s">
        <v>127</v>
      </c>
      <c r="J520" t="s">
        <v>173</v>
      </c>
      <c r="K520" t="s">
        <v>38</v>
      </c>
      <c r="L520" t="s">
        <v>82</v>
      </c>
      <c r="M520">
        <v>115</v>
      </c>
      <c r="N520">
        <v>7</v>
      </c>
      <c r="O520">
        <v>0</v>
      </c>
      <c r="P520">
        <v>49.604799999999997</v>
      </c>
      <c r="Q520">
        <v>12.6</v>
      </c>
      <c r="R520" t="s">
        <v>9</v>
      </c>
    </row>
    <row r="521" spans="1:18" x14ac:dyDescent="0.25">
      <c r="A521" t="s">
        <v>775</v>
      </c>
      <c r="B521" s="1">
        <v>40582</v>
      </c>
      <c r="C521" s="1">
        <v>40587</v>
      </c>
      <c r="D521" t="s">
        <v>1</v>
      </c>
      <c r="E521" t="s">
        <v>148</v>
      </c>
      <c r="F521" t="s">
        <v>3</v>
      </c>
      <c r="G521" t="s">
        <v>482</v>
      </c>
      <c r="H521" t="s">
        <v>298</v>
      </c>
      <c r="I521" t="s">
        <v>29</v>
      </c>
      <c r="J521" t="s">
        <v>102</v>
      </c>
      <c r="K521" t="s">
        <v>7</v>
      </c>
      <c r="L521" t="s">
        <v>97</v>
      </c>
      <c r="M521">
        <v>110</v>
      </c>
      <c r="N521">
        <v>6</v>
      </c>
      <c r="O521">
        <v>0</v>
      </c>
      <c r="P521">
        <v>21.78</v>
      </c>
      <c r="Q521">
        <v>5.55</v>
      </c>
      <c r="R521" t="s">
        <v>9</v>
      </c>
    </row>
    <row r="522" spans="1:18" x14ac:dyDescent="0.25">
      <c r="A522" t="s">
        <v>776</v>
      </c>
      <c r="B522" s="1">
        <v>40582</v>
      </c>
      <c r="C522" s="1">
        <v>40587</v>
      </c>
      <c r="D522" t="s">
        <v>1</v>
      </c>
      <c r="E522" t="s">
        <v>777</v>
      </c>
      <c r="F522" t="s">
        <v>3</v>
      </c>
      <c r="G522" t="s">
        <v>240</v>
      </c>
      <c r="H522" t="s">
        <v>241</v>
      </c>
      <c r="I522" t="s">
        <v>6</v>
      </c>
      <c r="J522" t="s">
        <v>6</v>
      </c>
      <c r="K522" t="s">
        <v>7</v>
      </c>
      <c r="L522" t="s">
        <v>91</v>
      </c>
      <c r="M522">
        <v>50</v>
      </c>
      <c r="N522">
        <v>1</v>
      </c>
      <c r="O522">
        <v>0</v>
      </c>
      <c r="P522">
        <v>16.32</v>
      </c>
      <c r="Q522">
        <v>4.32</v>
      </c>
      <c r="R522" t="s">
        <v>9</v>
      </c>
    </row>
    <row r="523" spans="1:18" x14ac:dyDescent="0.25">
      <c r="A523" t="s">
        <v>778</v>
      </c>
      <c r="B523" s="1">
        <v>40582</v>
      </c>
      <c r="C523" s="1">
        <v>40588</v>
      </c>
      <c r="D523" t="s">
        <v>1</v>
      </c>
      <c r="E523" t="s">
        <v>777</v>
      </c>
      <c r="F523" t="s">
        <v>3</v>
      </c>
      <c r="G523" t="s">
        <v>779</v>
      </c>
      <c r="H523" t="s">
        <v>780</v>
      </c>
      <c r="I523" t="s">
        <v>75</v>
      </c>
      <c r="J523" t="s">
        <v>102</v>
      </c>
      <c r="K523" t="s">
        <v>7</v>
      </c>
      <c r="L523" t="s">
        <v>8</v>
      </c>
      <c r="M523">
        <v>50</v>
      </c>
      <c r="N523">
        <v>7</v>
      </c>
      <c r="O523">
        <v>0</v>
      </c>
      <c r="P523">
        <v>20.02</v>
      </c>
      <c r="Q523">
        <v>2.6</v>
      </c>
      <c r="R523" t="s">
        <v>9</v>
      </c>
    </row>
    <row r="524" spans="1:18" x14ac:dyDescent="0.25">
      <c r="A524" t="s">
        <v>781</v>
      </c>
      <c r="B524" s="1">
        <v>40582</v>
      </c>
      <c r="C524" s="1">
        <v>40587</v>
      </c>
      <c r="D524" t="s">
        <v>1</v>
      </c>
      <c r="E524" t="s">
        <v>343</v>
      </c>
      <c r="F524" t="s">
        <v>43</v>
      </c>
      <c r="G524" t="s">
        <v>630</v>
      </c>
      <c r="H524" t="s">
        <v>169</v>
      </c>
      <c r="I524" t="s">
        <v>14</v>
      </c>
      <c r="J524" t="s">
        <v>132</v>
      </c>
      <c r="K524" t="s">
        <v>32</v>
      </c>
      <c r="L524" t="s">
        <v>33</v>
      </c>
      <c r="M524">
        <v>58</v>
      </c>
      <c r="N524">
        <v>1</v>
      </c>
      <c r="O524">
        <v>0</v>
      </c>
      <c r="P524">
        <v>15.69</v>
      </c>
      <c r="Q524">
        <v>1.52</v>
      </c>
      <c r="R524" t="s">
        <v>9</v>
      </c>
    </row>
    <row r="525" spans="1:18" x14ac:dyDescent="0.25">
      <c r="A525" t="s">
        <v>782</v>
      </c>
      <c r="B525" s="1">
        <v>40582</v>
      </c>
      <c r="C525" s="1">
        <v>40588</v>
      </c>
      <c r="D525" t="s">
        <v>1</v>
      </c>
      <c r="E525" t="s">
        <v>783</v>
      </c>
      <c r="F525" t="s">
        <v>26</v>
      </c>
      <c r="G525" t="s">
        <v>54</v>
      </c>
      <c r="H525" t="s">
        <v>55</v>
      </c>
      <c r="I525" t="s">
        <v>22</v>
      </c>
      <c r="J525" t="s">
        <v>22</v>
      </c>
      <c r="K525" t="s">
        <v>7</v>
      </c>
      <c r="L525" t="s">
        <v>137</v>
      </c>
      <c r="M525">
        <v>30</v>
      </c>
      <c r="N525">
        <v>2</v>
      </c>
      <c r="O525">
        <v>0</v>
      </c>
      <c r="P525">
        <v>4.2</v>
      </c>
      <c r="Q525">
        <v>1.37</v>
      </c>
      <c r="R525" t="s">
        <v>9</v>
      </c>
    </row>
    <row r="526" spans="1:18" x14ac:dyDescent="0.25">
      <c r="A526" t="s">
        <v>781</v>
      </c>
      <c r="B526" s="1">
        <v>40582</v>
      </c>
      <c r="C526" s="1">
        <v>40587</v>
      </c>
      <c r="D526" t="s">
        <v>1</v>
      </c>
      <c r="E526" t="s">
        <v>343</v>
      </c>
      <c r="F526" t="s">
        <v>43</v>
      </c>
      <c r="G526" t="s">
        <v>630</v>
      </c>
      <c r="H526" t="s">
        <v>169</v>
      </c>
      <c r="I526" t="s">
        <v>14</v>
      </c>
      <c r="J526" t="s">
        <v>132</v>
      </c>
      <c r="K526" t="s">
        <v>7</v>
      </c>
      <c r="L526" t="s">
        <v>16</v>
      </c>
      <c r="M526">
        <v>39</v>
      </c>
      <c r="N526">
        <v>3</v>
      </c>
      <c r="O526">
        <v>0</v>
      </c>
      <c r="P526">
        <v>8.1</v>
      </c>
      <c r="Q526">
        <v>1.27</v>
      </c>
      <c r="R526" t="s">
        <v>9</v>
      </c>
    </row>
    <row r="527" spans="1:18" x14ac:dyDescent="0.25">
      <c r="A527" t="s">
        <v>776</v>
      </c>
      <c r="B527" s="1">
        <v>40582</v>
      </c>
      <c r="C527" s="1">
        <v>40587</v>
      </c>
      <c r="D527" t="s">
        <v>1</v>
      </c>
      <c r="E527" t="s">
        <v>777</v>
      </c>
      <c r="F527" t="s">
        <v>3</v>
      </c>
      <c r="G527" t="s">
        <v>240</v>
      </c>
      <c r="H527" t="s">
        <v>241</v>
      </c>
      <c r="I527" t="s">
        <v>6</v>
      </c>
      <c r="J527" t="s">
        <v>6</v>
      </c>
      <c r="K527" t="s">
        <v>32</v>
      </c>
      <c r="L527" t="s">
        <v>56</v>
      </c>
      <c r="M527">
        <v>331</v>
      </c>
      <c r="N527">
        <v>2</v>
      </c>
      <c r="O527">
        <v>0</v>
      </c>
      <c r="P527">
        <v>119.16</v>
      </c>
      <c r="Q527">
        <v>0.16</v>
      </c>
      <c r="R527" t="s">
        <v>9</v>
      </c>
    </row>
    <row r="528" spans="1:18" x14ac:dyDescent="0.25">
      <c r="A528" t="s">
        <v>784</v>
      </c>
      <c r="B528" s="1">
        <v>40583</v>
      </c>
      <c r="C528" s="1">
        <v>40585</v>
      </c>
      <c r="D528" t="s">
        <v>18</v>
      </c>
      <c r="E528" t="s">
        <v>785</v>
      </c>
      <c r="F528" t="s">
        <v>3</v>
      </c>
      <c r="G528" t="s">
        <v>786</v>
      </c>
      <c r="H528" t="s">
        <v>110</v>
      </c>
      <c r="I528" t="s">
        <v>75</v>
      </c>
      <c r="J528" t="s">
        <v>111</v>
      </c>
      <c r="K528" t="s">
        <v>32</v>
      </c>
      <c r="L528" t="s">
        <v>56</v>
      </c>
      <c r="M528">
        <v>619</v>
      </c>
      <c r="N528">
        <v>2</v>
      </c>
      <c r="O528">
        <v>0</v>
      </c>
      <c r="P528">
        <v>235.04</v>
      </c>
      <c r="Q528">
        <v>107.68</v>
      </c>
      <c r="R528" t="s">
        <v>23</v>
      </c>
    </row>
    <row r="529" spans="1:18" x14ac:dyDescent="0.25">
      <c r="A529" t="s">
        <v>787</v>
      </c>
      <c r="B529" s="1">
        <v>40583</v>
      </c>
      <c r="C529" s="1">
        <v>40587</v>
      </c>
      <c r="D529" t="s">
        <v>1</v>
      </c>
      <c r="E529" t="s">
        <v>760</v>
      </c>
      <c r="F529" t="s">
        <v>3</v>
      </c>
      <c r="G529" t="s">
        <v>445</v>
      </c>
      <c r="H529" t="s">
        <v>106</v>
      </c>
      <c r="I529" t="s">
        <v>75</v>
      </c>
      <c r="J529" t="s">
        <v>30</v>
      </c>
      <c r="K529" t="s">
        <v>38</v>
      </c>
      <c r="L529" t="s">
        <v>50</v>
      </c>
      <c r="M529">
        <v>513</v>
      </c>
      <c r="N529">
        <v>4</v>
      </c>
      <c r="O529">
        <v>2E-3</v>
      </c>
      <c r="P529">
        <v>91.531360000000006</v>
      </c>
      <c r="Q529">
        <v>55.89</v>
      </c>
      <c r="R529" t="s">
        <v>23</v>
      </c>
    </row>
    <row r="530" spans="1:18" x14ac:dyDescent="0.25">
      <c r="A530" t="s">
        <v>788</v>
      </c>
      <c r="B530" s="1">
        <v>40583</v>
      </c>
      <c r="C530" s="1">
        <v>40583</v>
      </c>
      <c r="D530" t="s">
        <v>41</v>
      </c>
      <c r="E530" t="s">
        <v>789</v>
      </c>
      <c r="F530" t="s">
        <v>3</v>
      </c>
      <c r="G530" t="s">
        <v>109</v>
      </c>
      <c r="H530" t="s">
        <v>110</v>
      </c>
      <c r="I530" t="s">
        <v>75</v>
      </c>
      <c r="J530" t="s">
        <v>111</v>
      </c>
      <c r="K530" t="s">
        <v>38</v>
      </c>
      <c r="L530" t="s">
        <v>77</v>
      </c>
      <c r="M530">
        <v>405</v>
      </c>
      <c r="N530">
        <v>4</v>
      </c>
      <c r="O530">
        <v>0</v>
      </c>
      <c r="P530">
        <v>52.64</v>
      </c>
      <c r="Q530">
        <v>53.53</v>
      </c>
      <c r="R530" t="s">
        <v>9</v>
      </c>
    </row>
    <row r="531" spans="1:18" x14ac:dyDescent="0.25">
      <c r="A531" t="s">
        <v>790</v>
      </c>
      <c r="B531" s="1">
        <v>40583</v>
      </c>
      <c r="C531" s="1">
        <v>40583</v>
      </c>
      <c r="D531" t="s">
        <v>41</v>
      </c>
      <c r="E531" t="s">
        <v>791</v>
      </c>
      <c r="F531" t="s">
        <v>3</v>
      </c>
      <c r="G531" t="s">
        <v>792</v>
      </c>
      <c r="H531" t="s">
        <v>305</v>
      </c>
      <c r="I531" t="s">
        <v>29</v>
      </c>
      <c r="J531" t="s">
        <v>76</v>
      </c>
      <c r="K531" t="s">
        <v>7</v>
      </c>
      <c r="L531" t="s">
        <v>91</v>
      </c>
      <c r="M531">
        <v>133</v>
      </c>
      <c r="N531">
        <v>5</v>
      </c>
      <c r="O531">
        <v>0</v>
      </c>
      <c r="P531">
        <v>5.25</v>
      </c>
      <c r="Q531">
        <v>51.62</v>
      </c>
      <c r="R531" t="s">
        <v>45</v>
      </c>
    </row>
    <row r="532" spans="1:18" x14ac:dyDescent="0.25">
      <c r="A532" t="s">
        <v>787</v>
      </c>
      <c r="B532" s="1">
        <v>40583</v>
      </c>
      <c r="C532" s="1">
        <v>40587</v>
      </c>
      <c r="D532" t="s">
        <v>1</v>
      </c>
      <c r="E532" t="s">
        <v>760</v>
      </c>
      <c r="F532" t="s">
        <v>3</v>
      </c>
      <c r="G532" t="s">
        <v>445</v>
      </c>
      <c r="H532" t="s">
        <v>106</v>
      </c>
      <c r="I532" t="s">
        <v>75</v>
      </c>
      <c r="J532" t="s">
        <v>30</v>
      </c>
      <c r="K532" t="s">
        <v>32</v>
      </c>
      <c r="L532" t="s">
        <v>62</v>
      </c>
      <c r="M532">
        <v>407</v>
      </c>
      <c r="N532">
        <v>3</v>
      </c>
      <c r="O532">
        <v>0.2</v>
      </c>
      <c r="P532">
        <v>106.70399999999999</v>
      </c>
      <c r="Q532">
        <v>44.67</v>
      </c>
      <c r="R532" t="s">
        <v>23</v>
      </c>
    </row>
    <row r="533" spans="1:18" x14ac:dyDescent="0.25">
      <c r="A533" t="s">
        <v>784</v>
      </c>
      <c r="B533" s="1">
        <v>40583</v>
      </c>
      <c r="C533" s="1">
        <v>40585</v>
      </c>
      <c r="D533" t="s">
        <v>18</v>
      </c>
      <c r="E533" t="s">
        <v>785</v>
      </c>
      <c r="F533" t="s">
        <v>3</v>
      </c>
      <c r="G533" t="s">
        <v>786</v>
      </c>
      <c r="H533" t="s">
        <v>110</v>
      </c>
      <c r="I533" t="s">
        <v>75</v>
      </c>
      <c r="J533" t="s">
        <v>111</v>
      </c>
      <c r="K533" t="s">
        <v>7</v>
      </c>
      <c r="L533" t="s">
        <v>44</v>
      </c>
      <c r="M533">
        <v>423</v>
      </c>
      <c r="N533">
        <v>9</v>
      </c>
      <c r="O533">
        <v>0</v>
      </c>
      <c r="P533">
        <v>88.74</v>
      </c>
      <c r="Q533">
        <v>35.9</v>
      </c>
      <c r="R533" t="s">
        <v>23</v>
      </c>
    </row>
    <row r="534" spans="1:18" x14ac:dyDescent="0.25">
      <c r="A534" t="s">
        <v>248</v>
      </c>
      <c r="B534" s="1">
        <v>40583</v>
      </c>
      <c r="C534" s="1">
        <v>40587</v>
      </c>
      <c r="D534" t="s">
        <v>1</v>
      </c>
      <c r="E534" t="s">
        <v>793</v>
      </c>
      <c r="F534" t="s">
        <v>43</v>
      </c>
      <c r="G534" t="s">
        <v>65</v>
      </c>
      <c r="H534" t="s">
        <v>66</v>
      </c>
      <c r="I534" t="s">
        <v>29</v>
      </c>
      <c r="J534" t="s">
        <v>30</v>
      </c>
      <c r="K534" t="s">
        <v>32</v>
      </c>
      <c r="L534" t="s">
        <v>56</v>
      </c>
      <c r="M534">
        <v>269</v>
      </c>
      <c r="N534">
        <v>2</v>
      </c>
      <c r="O534">
        <v>0.1</v>
      </c>
      <c r="P534">
        <v>23.891999999999999</v>
      </c>
      <c r="Q534">
        <v>35.76</v>
      </c>
      <c r="R534" t="s">
        <v>23</v>
      </c>
    </row>
    <row r="535" spans="1:18" x14ac:dyDescent="0.25">
      <c r="A535" t="s">
        <v>794</v>
      </c>
      <c r="B535" s="1">
        <v>40583</v>
      </c>
      <c r="C535" s="1">
        <v>40587</v>
      </c>
      <c r="D535" t="s">
        <v>1</v>
      </c>
      <c r="E535" t="s">
        <v>89</v>
      </c>
      <c r="F535" t="s">
        <v>43</v>
      </c>
      <c r="G535" t="s">
        <v>795</v>
      </c>
      <c r="H535" t="s">
        <v>207</v>
      </c>
      <c r="I535" t="s">
        <v>29</v>
      </c>
      <c r="J535" t="s">
        <v>76</v>
      </c>
      <c r="K535" t="s">
        <v>32</v>
      </c>
      <c r="L535" t="s">
        <v>33</v>
      </c>
      <c r="M535">
        <v>267</v>
      </c>
      <c r="N535">
        <v>3</v>
      </c>
      <c r="O535">
        <v>0.2</v>
      </c>
      <c r="P535">
        <v>89.981999999999999</v>
      </c>
      <c r="Q535">
        <v>35.11</v>
      </c>
      <c r="R535" t="s">
        <v>23</v>
      </c>
    </row>
    <row r="536" spans="1:18" x14ac:dyDescent="0.25">
      <c r="A536" t="s">
        <v>790</v>
      </c>
      <c r="B536" s="1">
        <v>40583</v>
      </c>
      <c r="C536" s="1">
        <v>40583</v>
      </c>
      <c r="D536" t="s">
        <v>41</v>
      </c>
      <c r="E536" t="s">
        <v>791</v>
      </c>
      <c r="F536" t="s">
        <v>3</v>
      </c>
      <c r="G536" t="s">
        <v>792</v>
      </c>
      <c r="H536" t="s">
        <v>305</v>
      </c>
      <c r="I536" t="s">
        <v>29</v>
      </c>
      <c r="J536" t="s">
        <v>76</v>
      </c>
      <c r="K536" t="s">
        <v>7</v>
      </c>
      <c r="L536" t="s">
        <v>137</v>
      </c>
      <c r="M536">
        <v>80</v>
      </c>
      <c r="N536">
        <v>7</v>
      </c>
      <c r="O536">
        <v>0</v>
      </c>
      <c r="P536">
        <v>20.79</v>
      </c>
      <c r="Q536">
        <v>23</v>
      </c>
      <c r="R536" t="s">
        <v>45</v>
      </c>
    </row>
    <row r="537" spans="1:18" x14ac:dyDescent="0.25">
      <c r="A537" t="s">
        <v>796</v>
      </c>
      <c r="B537" s="1">
        <v>40583</v>
      </c>
      <c r="C537" s="1">
        <v>40588</v>
      </c>
      <c r="D537" t="s">
        <v>1</v>
      </c>
      <c r="E537" t="s">
        <v>797</v>
      </c>
      <c r="F537" t="s">
        <v>26</v>
      </c>
      <c r="G537" t="s">
        <v>712</v>
      </c>
      <c r="H537" t="s">
        <v>276</v>
      </c>
      <c r="I537" t="s">
        <v>29</v>
      </c>
      <c r="J537" t="s">
        <v>102</v>
      </c>
      <c r="K537" t="s">
        <v>32</v>
      </c>
      <c r="L537" t="s">
        <v>67</v>
      </c>
      <c r="M537">
        <v>368</v>
      </c>
      <c r="N537">
        <v>3</v>
      </c>
      <c r="O537">
        <v>0</v>
      </c>
      <c r="P537">
        <v>14.67</v>
      </c>
      <c r="Q537">
        <v>17.87</v>
      </c>
      <c r="R537" t="s">
        <v>9</v>
      </c>
    </row>
    <row r="538" spans="1:18" x14ac:dyDescent="0.25">
      <c r="A538" t="s">
        <v>794</v>
      </c>
      <c r="B538" s="1">
        <v>40583</v>
      </c>
      <c r="C538" s="1">
        <v>40587</v>
      </c>
      <c r="D538" t="s">
        <v>1</v>
      </c>
      <c r="E538" t="s">
        <v>89</v>
      </c>
      <c r="F538" t="s">
        <v>43</v>
      </c>
      <c r="G538" t="s">
        <v>795</v>
      </c>
      <c r="H538" t="s">
        <v>207</v>
      </c>
      <c r="I538" t="s">
        <v>29</v>
      </c>
      <c r="J538" t="s">
        <v>76</v>
      </c>
      <c r="K538" t="s">
        <v>7</v>
      </c>
      <c r="L538" t="s">
        <v>8</v>
      </c>
      <c r="M538">
        <v>91</v>
      </c>
      <c r="N538">
        <v>3</v>
      </c>
      <c r="O538">
        <v>0.5</v>
      </c>
      <c r="P538">
        <v>-1.845</v>
      </c>
      <c r="Q538">
        <v>14.63</v>
      </c>
      <c r="R538" t="s">
        <v>23</v>
      </c>
    </row>
    <row r="539" spans="1:18" x14ac:dyDescent="0.25">
      <c r="A539" t="s">
        <v>798</v>
      </c>
      <c r="B539" s="1">
        <v>40583</v>
      </c>
      <c r="C539" s="1">
        <v>40589</v>
      </c>
      <c r="D539" t="s">
        <v>1</v>
      </c>
      <c r="E539" t="s">
        <v>799</v>
      </c>
      <c r="F539" t="s">
        <v>26</v>
      </c>
      <c r="G539" t="s">
        <v>800</v>
      </c>
      <c r="H539" t="s">
        <v>801</v>
      </c>
      <c r="I539" t="s">
        <v>14</v>
      </c>
      <c r="J539" t="s">
        <v>132</v>
      </c>
      <c r="K539" t="s">
        <v>7</v>
      </c>
      <c r="L539" t="s">
        <v>8</v>
      </c>
      <c r="M539">
        <v>257</v>
      </c>
      <c r="N539">
        <v>4</v>
      </c>
      <c r="O539">
        <v>0.5</v>
      </c>
      <c r="P539">
        <v>-205.5</v>
      </c>
      <c r="Q539">
        <v>13.62</v>
      </c>
      <c r="R539" t="s">
        <v>9</v>
      </c>
    </row>
    <row r="540" spans="1:18" x14ac:dyDescent="0.25">
      <c r="A540" t="s">
        <v>798</v>
      </c>
      <c r="B540" s="1">
        <v>40583</v>
      </c>
      <c r="C540" s="1">
        <v>40589</v>
      </c>
      <c r="D540" t="s">
        <v>1</v>
      </c>
      <c r="E540" t="s">
        <v>799</v>
      </c>
      <c r="F540" t="s">
        <v>26</v>
      </c>
      <c r="G540" t="s">
        <v>800</v>
      </c>
      <c r="H540" t="s">
        <v>801</v>
      </c>
      <c r="I540" t="s">
        <v>14</v>
      </c>
      <c r="J540" t="s">
        <v>132</v>
      </c>
      <c r="K540" t="s">
        <v>32</v>
      </c>
      <c r="L540" t="s">
        <v>62</v>
      </c>
      <c r="M540">
        <v>203</v>
      </c>
      <c r="N540">
        <v>4</v>
      </c>
      <c r="O540">
        <v>0.8</v>
      </c>
      <c r="P540">
        <v>-304.22399999999999</v>
      </c>
      <c r="Q540">
        <v>11.94</v>
      </c>
      <c r="R540" t="s">
        <v>9</v>
      </c>
    </row>
    <row r="541" spans="1:18" x14ac:dyDescent="0.25">
      <c r="A541" t="s">
        <v>802</v>
      </c>
      <c r="B541" s="1">
        <v>40583</v>
      </c>
      <c r="C541" s="1">
        <v>40587</v>
      </c>
      <c r="D541" t="s">
        <v>1</v>
      </c>
      <c r="E541" t="s">
        <v>803</v>
      </c>
      <c r="F541" t="s">
        <v>26</v>
      </c>
      <c r="G541" t="s">
        <v>235</v>
      </c>
      <c r="H541" t="s">
        <v>13</v>
      </c>
      <c r="I541" t="s">
        <v>14</v>
      </c>
      <c r="J541" t="s">
        <v>15</v>
      </c>
      <c r="K541" t="s">
        <v>32</v>
      </c>
      <c r="L541" t="s">
        <v>33</v>
      </c>
      <c r="M541">
        <v>137</v>
      </c>
      <c r="N541">
        <v>6</v>
      </c>
      <c r="O541">
        <v>0.1</v>
      </c>
      <c r="P541">
        <v>22.626000000000001</v>
      </c>
      <c r="Q541">
        <v>9.4499999999999993</v>
      </c>
      <c r="R541" t="s">
        <v>9</v>
      </c>
    </row>
    <row r="542" spans="1:18" x14ac:dyDescent="0.25">
      <c r="A542" t="s">
        <v>794</v>
      </c>
      <c r="B542" s="1">
        <v>40583</v>
      </c>
      <c r="C542" s="1">
        <v>40587</v>
      </c>
      <c r="D542" t="s">
        <v>1</v>
      </c>
      <c r="E542" t="s">
        <v>89</v>
      </c>
      <c r="F542" t="s">
        <v>43</v>
      </c>
      <c r="G542" t="s">
        <v>795</v>
      </c>
      <c r="H542" t="s">
        <v>207</v>
      </c>
      <c r="I542" t="s">
        <v>29</v>
      </c>
      <c r="J542" t="s">
        <v>76</v>
      </c>
      <c r="K542" t="s">
        <v>7</v>
      </c>
      <c r="L542" t="s">
        <v>96</v>
      </c>
      <c r="M542">
        <v>55</v>
      </c>
      <c r="N542">
        <v>4</v>
      </c>
      <c r="O542">
        <v>0.5</v>
      </c>
      <c r="P542">
        <v>-18.66</v>
      </c>
      <c r="Q542">
        <v>5.71</v>
      </c>
      <c r="R542" t="s">
        <v>23</v>
      </c>
    </row>
    <row r="543" spans="1:18" x14ac:dyDescent="0.25">
      <c r="A543" t="s">
        <v>796</v>
      </c>
      <c r="B543" s="1">
        <v>40583</v>
      </c>
      <c r="C543" s="1">
        <v>40588</v>
      </c>
      <c r="D543" t="s">
        <v>1</v>
      </c>
      <c r="E543" t="s">
        <v>797</v>
      </c>
      <c r="F543" t="s">
        <v>26</v>
      </c>
      <c r="G543" t="s">
        <v>712</v>
      </c>
      <c r="H543" t="s">
        <v>276</v>
      </c>
      <c r="I543" t="s">
        <v>29</v>
      </c>
      <c r="J543" t="s">
        <v>102</v>
      </c>
      <c r="K543" t="s">
        <v>7</v>
      </c>
      <c r="L543" t="s">
        <v>91</v>
      </c>
      <c r="M543">
        <v>93</v>
      </c>
      <c r="N543">
        <v>2</v>
      </c>
      <c r="O543">
        <v>0</v>
      </c>
      <c r="P543">
        <v>24.06</v>
      </c>
      <c r="Q543">
        <v>5.54</v>
      </c>
      <c r="R543" t="s">
        <v>9</v>
      </c>
    </row>
    <row r="544" spans="1:18" x14ac:dyDescent="0.25">
      <c r="A544" t="s">
        <v>796</v>
      </c>
      <c r="B544" s="1">
        <v>40583</v>
      </c>
      <c r="C544" s="1">
        <v>40588</v>
      </c>
      <c r="D544" t="s">
        <v>1</v>
      </c>
      <c r="E544" t="s">
        <v>797</v>
      </c>
      <c r="F544" t="s">
        <v>26</v>
      </c>
      <c r="G544" t="s">
        <v>712</v>
      </c>
      <c r="H544" t="s">
        <v>276</v>
      </c>
      <c r="I544" t="s">
        <v>29</v>
      </c>
      <c r="J544" t="s">
        <v>102</v>
      </c>
      <c r="K544" t="s">
        <v>7</v>
      </c>
      <c r="L544" t="s">
        <v>137</v>
      </c>
      <c r="M544">
        <v>85</v>
      </c>
      <c r="N544">
        <v>3</v>
      </c>
      <c r="O544">
        <v>0</v>
      </c>
      <c r="P544">
        <v>17.73</v>
      </c>
      <c r="Q544">
        <v>5.17</v>
      </c>
      <c r="R544" t="s">
        <v>9</v>
      </c>
    </row>
    <row r="545" spans="1:18" x14ac:dyDescent="0.25">
      <c r="A545" t="s">
        <v>796</v>
      </c>
      <c r="B545" s="1">
        <v>40583</v>
      </c>
      <c r="C545" s="1">
        <v>40588</v>
      </c>
      <c r="D545" t="s">
        <v>1</v>
      </c>
      <c r="E545" t="s">
        <v>797</v>
      </c>
      <c r="F545" t="s">
        <v>26</v>
      </c>
      <c r="G545" t="s">
        <v>712</v>
      </c>
      <c r="H545" t="s">
        <v>276</v>
      </c>
      <c r="I545" t="s">
        <v>29</v>
      </c>
      <c r="J545" t="s">
        <v>102</v>
      </c>
      <c r="K545" t="s">
        <v>7</v>
      </c>
      <c r="L545" t="s">
        <v>8</v>
      </c>
      <c r="M545">
        <v>60</v>
      </c>
      <c r="N545">
        <v>4</v>
      </c>
      <c r="O545">
        <v>0.1</v>
      </c>
      <c r="P545">
        <v>-2.6640000000000001</v>
      </c>
      <c r="Q545">
        <v>2.85</v>
      </c>
      <c r="R545" t="s">
        <v>9</v>
      </c>
    </row>
    <row r="546" spans="1:18" x14ac:dyDescent="0.25">
      <c r="A546" t="s">
        <v>796</v>
      </c>
      <c r="B546" s="1">
        <v>40583</v>
      </c>
      <c r="C546" s="1">
        <v>40588</v>
      </c>
      <c r="D546" t="s">
        <v>1</v>
      </c>
      <c r="E546" t="s">
        <v>797</v>
      </c>
      <c r="F546" t="s">
        <v>26</v>
      </c>
      <c r="G546" t="s">
        <v>712</v>
      </c>
      <c r="H546" t="s">
        <v>276</v>
      </c>
      <c r="I546" t="s">
        <v>29</v>
      </c>
      <c r="J546" t="s">
        <v>102</v>
      </c>
      <c r="K546" t="s">
        <v>7</v>
      </c>
      <c r="L546" t="s">
        <v>97</v>
      </c>
      <c r="M546">
        <v>48</v>
      </c>
      <c r="N546">
        <v>3</v>
      </c>
      <c r="O546">
        <v>0</v>
      </c>
      <c r="P546">
        <v>4.7699999999999996</v>
      </c>
      <c r="Q546">
        <v>2.34</v>
      </c>
      <c r="R546" t="s">
        <v>9</v>
      </c>
    </row>
    <row r="547" spans="1:18" x14ac:dyDescent="0.25">
      <c r="A547" t="s">
        <v>804</v>
      </c>
      <c r="B547" s="1">
        <v>40583</v>
      </c>
      <c r="C547" s="1">
        <v>40584</v>
      </c>
      <c r="D547" t="s">
        <v>142</v>
      </c>
      <c r="E547" t="s">
        <v>590</v>
      </c>
      <c r="F547" t="s">
        <v>26</v>
      </c>
      <c r="G547" t="s">
        <v>529</v>
      </c>
      <c r="H547" t="s">
        <v>126</v>
      </c>
      <c r="I547" t="s">
        <v>127</v>
      </c>
      <c r="J547" t="s">
        <v>192</v>
      </c>
      <c r="K547" t="s">
        <v>32</v>
      </c>
      <c r="L547" t="s">
        <v>33</v>
      </c>
      <c r="M547">
        <v>15</v>
      </c>
      <c r="N547">
        <v>2</v>
      </c>
      <c r="O547">
        <v>0</v>
      </c>
      <c r="P547">
        <v>5.5327999999999999</v>
      </c>
      <c r="Q547">
        <v>1.57</v>
      </c>
      <c r="R547" t="s">
        <v>9</v>
      </c>
    </row>
    <row r="548" spans="1:18" x14ac:dyDescent="0.25">
      <c r="A548" t="s">
        <v>798</v>
      </c>
      <c r="B548" s="1">
        <v>40583</v>
      </c>
      <c r="C548" s="1">
        <v>40589</v>
      </c>
      <c r="D548" t="s">
        <v>1</v>
      </c>
      <c r="E548" t="s">
        <v>799</v>
      </c>
      <c r="F548" t="s">
        <v>26</v>
      </c>
      <c r="G548" t="s">
        <v>800</v>
      </c>
      <c r="H548" t="s">
        <v>801</v>
      </c>
      <c r="I548" t="s">
        <v>14</v>
      </c>
      <c r="J548" t="s">
        <v>132</v>
      </c>
      <c r="K548" t="s">
        <v>38</v>
      </c>
      <c r="L548" t="s">
        <v>39</v>
      </c>
      <c r="M548">
        <v>25</v>
      </c>
      <c r="N548">
        <v>1</v>
      </c>
      <c r="O548">
        <v>0.5</v>
      </c>
      <c r="P548">
        <v>-20.79</v>
      </c>
      <c r="Q548">
        <v>1.49</v>
      </c>
      <c r="R548" t="s">
        <v>9</v>
      </c>
    </row>
    <row r="549" spans="1:18" x14ac:dyDescent="0.25">
      <c r="A549" t="s">
        <v>798</v>
      </c>
      <c r="B549" s="1">
        <v>40583</v>
      </c>
      <c r="C549" s="1">
        <v>40589</v>
      </c>
      <c r="D549" t="s">
        <v>1</v>
      </c>
      <c r="E549" t="s">
        <v>799</v>
      </c>
      <c r="F549" t="s">
        <v>26</v>
      </c>
      <c r="G549" t="s">
        <v>800</v>
      </c>
      <c r="H549" t="s">
        <v>801</v>
      </c>
      <c r="I549" t="s">
        <v>14</v>
      </c>
      <c r="J549" t="s">
        <v>132</v>
      </c>
      <c r="K549" t="s">
        <v>7</v>
      </c>
      <c r="L549" t="s">
        <v>137</v>
      </c>
      <c r="M549">
        <v>26</v>
      </c>
      <c r="N549">
        <v>1</v>
      </c>
      <c r="O549">
        <v>0.5</v>
      </c>
      <c r="P549">
        <v>-11.835000000000001</v>
      </c>
      <c r="Q549">
        <v>1.27</v>
      </c>
      <c r="R549" t="s">
        <v>9</v>
      </c>
    </row>
    <row r="550" spans="1:18" x14ac:dyDescent="0.25">
      <c r="A550" t="s">
        <v>805</v>
      </c>
      <c r="B550" s="1">
        <v>40584</v>
      </c>
      <c r="C550" s="1">
        <v>40589</v>
      </c>
      <c r="D550" t="s">
        <v>1</v>
      </c>
      <c r="E550" t="s">
        <v>607</v>
      </c>
      <c r="F550" t="s">
        <v>43</v>
      </c>
      <c r="G550" t="s">
        <v>806</v>
      </c>
      <c r="H550" t="s">
        <v>131</v>
      </c>
      <c r="I550" t="s">
        <v>14</v>
      </c>
      <c r="J550" t="s">
        <v>132</v>
      </c>
      <c r="K550" t="s">
        <v>38</v>
      </c>
      <c r="L550" t="s">
        <v>77</v>
      </c>
      <c r="M550" s="2">
        <v>6999</v>
      </c>
      <c r="N550">
        <v>11</v>
      </c>
      <c r="O550">
        <v>0</v>
      </c>
      <c r="P550">
        <v>2939.31</v>
      </c>
      <c r="Q550">
        <v>413.8</v>
      </c>
      <c r="R550" t="s">
        <v>9</v>
      </c>
    </row>
    <row r="551" spans="1:18" x14ac:dyDescent="0.25">
      <c r="A551" t="s">
        <v>807</v>
      </c>
      <c r="B551" s="1">
        <v>40584</v>
      </c>
      <c r="C551" s="1">
        <v>40589</v>
      </c>
      <c r="D551" t="s">
        <v>18</v>
      </c>
      <c r="E551" t="s">
        <v>808</v>
      </c>
      <c r="F551" t="s">
        <v>3</v>
      </c>
      <c r="G551" t="s">
        <v>351</v>
      </c>
      <c r="H551" t="s">
        <v>259</v>
      </c>
      <c r="I551" t="s">
        <v>6</v>
      </c>
      <c r="J551" t="s">
        <v>6</v>
      </c>
      <c r="K551" t="s">
        <v>38</v>
      </c>
      <c r="L551" t="s">
        <v>77</v>
      </c>
      <c r="M551">
        <v>718</v>
      </c>
      <c r="N551">
        <v>8</v>
      </c>
      <c r="O551">
        <v>0</v>
      </c>
      <c r="P551">
        <v>243.84</v>
      </c>
      <c r="Q551">
        <v>143.07</v>
      </c>
      <c r="R551" t="s">
        <v>9</v>
      </c>
    </row>
    <row r="552" spans="1:18" x14ac:dyDescent="0.25">
      <c r="A552" t="s">
        <v>809</v>
      </c>
      <c r="B552" s="1">
        <v>40584</v>
      </c>
      <c r="C552" s="1">
        <v>40589</v>
      </c>
      <c r="D552" t="s">
        <v>1</v>
      </c>
      <c r="E552" t="s">
        <v>810</v>
      </c>
      <c r="F552" t="s">
        <v>43</v>
      </c>
      <c r="G552" t="s">
        <v>605</v>
      </c>
      <c r="H552" t="s">
        <v>276</v>
      </c>
      <c r="I552" t="s">
        <v>29</v>
      </c>
      <c r="J552" t="s">
        <v>102</v>
      </c>
      <c r="K552" t="s">
        <v>32</v>
      </c>
      <c r="L552" t="s">
        <v>67</v>
      </c>
      <c r="M552">
        <v>822</v>
      </c>
      <c r="N552">
        <v>2</v>
      </c>
      <c r="O552">
        <v>0</v>
      </c>
      <c r="P552">
        <v>353.22</v>
      </c>
      <c r="Q552">
        <v>67.95</v>
      </c>
      <c r="R552" t="s">
        <v>23</v>
      </c>
    </row>
    <row r="553" spans="1:18" x14ac:dyDescent="0.25">
      <c r="A553" t="s">
        <v>811</v>
      </c>
      <c r="B553" s="1">
        <v>40584</v>
      </c>
      <c r="C553" s="1">
        <v>40584</v>
      </c>
      <c r="D553" t="s">
        <v>41</v>
      </c>
      <c r="E553" t="s">
        <v>812</v>
      </c>
      <c r="F553" t="s">
        <v>26</v>
      </c>
      <c r="G553" t="s">
        <v>304</v>
      </c>
      <c r="H553" t="s">
        <v>305</v>
      </c>
      <c r="I553" t="s">
        <v>29</v>
      </c>
      <c r="J553" t="s">
        <v>76</v>
      </c>
      <c r="K553" t="s">
        <v>7</v>
      </c>
      <c r="L553" t="s">
        <v>8</v>
      </c>
      <c r="M553">
        <v>215</v>
      </c>
      <c r="N553">
        <v>4</v>
      </c>
      <c r="O553">
        <v>0.6</v>
      </c>
      <c r="P553">
        <v>-220.03200000000001</v>
      </c>
      <c r="Q553">
        <v>60.85</v>
      </c>
      <c r="R553" t="s">
        <v>23</v>
      </c>
    </row>
    <row r="554" spans="1:18" x14ac:dyDescent="0.25">
      <c r="A554" t="s">
        <v>813</v>
      </c>
      <c r="B554" s="1">
        <v>40584</v>
      </c>
      <c r="C554" s="1">
        <v>40587</v>
      </c>
      <c r="D554" t="s">
        <v>142</v>
      </c>
      <c r="E554" t="s">
        <v>549</v>
      </c>
      <c r="F554" t="s">
        <v>3</v>
      </c>
      <c r="G554" t="s">
        <v>814</v>
      </c>
      <c r="H554" t="s">
        <v>71</v>
      </c>
      <c r="I554" t="s">
        <v>14</v>
      </c>
      <c r="J554" t="s">
        <v>61</v>
      </c>
      <c r="K554" t="s">
        <v>32</v>
      </c>
      <c r="L554" t="s">
        <v>56</v>
      </c>
      <c r="M554">
        <v>305</v>
      </c>
      <c r="N554">
        <v>7</v>
      </c>
      <c r="O554">
        <v>0</v>
      </c>
      <c r="P554">
        <v>2.94</v>
      </c>
      <c r="Q554">
        <v>59.42</v>
      </c>
      <c r="R554" t="s">
        <v>45</v>
      </c>
    </row>
    <row r="555" spans="1:18" x14ac:dyDescent="0.25">
      <c r="A555" t="s">
        <v>815</v>
      </c>
      <c r="B555" s="1">
        <v>40584</v>
      </c>
      <c r="C555" s="1">
        <v>40588</v>
      </c>
      <c r="D555" t="s">
        <v>1</v>
      </c>
      <c r="E555" t="s">
        <v>816</v>
      </c>
      <c r="F555" t="s">
        <v>43</v>
      </c>
      <c r="G555" t="s">
        <v>817</v>
      </c>
      <c r="H555" t="s">
        <v>818</v>
      </c>
      <c r="I555" t="s">
        <v>29</v>
      </c>
      <c r="J555" t="s">
        <v>76</v>
      </c>
      <c r="K555" t="s">
        <v>32</v>
      </c>
      <c r="L555" t="s">
        <v>67</v>
      </c>
      <c r="M555">
        <v>780</v>
      </c>
      <c r="N555">
        <v>2</v>
      </c>
      <c r="O555">
        <v>0</v>
      </c>
      <c r="P555">
        <v>117</v>
      </c>
      <c r="Q555">
        <v>50.42</v>
      </c>
      <c r="R555" t="s">
        <v>9</v>
      </c>
    </row>
    <row r="556" spans="1:18" x14ac:dyDescent="0.25">
      <c r="A556" t="s">
        <v>819</v>
      </c>
      <c r="B556" s="1">
        <v>40584</v>
      </c>
      <c r="C556" s="1">
        <v>40588</v>
      </c>
      <c r="D556" t="s">
        <v>1</v>
      </c>
      <c r="E556" t="s">
        <v>820</v>
      </c>
      <c r="F556" t="s">
        <v>3</v>
      </c>
      <c r="G556" t="s">
        <v>184</v>
      </c>
      <c r="H556" t="s">
        <v>115</v>
      </c>
      <c r="I556" t="s">
        <v>29</v>
      </c>
      <c r="J556" t="s">
        <v>76</v>
      </c>
      <c r="K556" t="s">
        <v>38</v>
      </c>
      <c r="L556" t="s">
        <v>39</v>
      </c>
      <c r="M556">
        <v>206</v>
      </c>
      <c r="N556">
        <v>2</v>
      </c>
      <c r="O556">
        <v>0.15</v>
      </c>
      <c r="P556">
        <v>26.55</v>
      </c>
      <c r="Q556">
        <v>24</v>
      </c>
      <c r="R556" t="s">
        <v>23</v>
      </c>
    </row>
    <row r="557" spans="1:18" x14ac:dyDescent="0.25">
      <c r="A557" t="s">
        <v>821</v>
      </c>
      <c r="B557" s="1">
        <v>40584</v>
      </c>
      <c r="C557" s="1">
        <v>40588</v>
      </c>
      <c r="D557" t="s">
        <v>1</v>
      </c>
      <c r="E557" t="s">
        <v>822</v>
      </c>
      <c r="F557" t="s">
        <v>43</v>
      </c>
      <c r="G557" t="s">
        <v>301</v>
      </c>
      <c r="H557" t="s">
        <v>106</v>
      </c>
      <c r="I557" t="s">
        <v>75</v>
      </c>
      <c r="J557" t="s">
        <v>30</v>
      </c>
      <c r="K557" t="s">
        <v>7</v>
      </c>
      <c r="L557" t="s">
        <v>44</v>
      </c>
      <c r="M557">
        <v>133</v>
      </c>
      <c r="N557">
        <v>2</v>
      </c>
      <c r="O557">
        <v>0</v>
      </c>
      <c r="P557">
        <v>9.2799999999999994</v>
      </c>
      <c r="Q557">
        <v>22.02</v>
      </c>
      <c r="R557" t="s">
        <v>23</v>
      </c>
    </row>
    <row r="558" spans="1:18" x14ac:dyDescent="0.25">
      <c r="A558" t="s">
        <v>805</v>
      </c>
      <c r="B558" s="1">
        <v>40584</v>
      </c>
      <c r="C558" s="1">
        <v>40589</v>
      </c>
      <c r="D558" t="s">
        <v>1</v>
      </c>
      <c r="E558" t="s">
        <v>607</v>
      </c>
      <c r="F558" t="s">
        <v>43</v>
      </c>
      <c r="G558" t="s">
        <v>806</v>
      </c>
      <c r="H558" t="s">
        <v>131</v>
      </c>
      <c r="I558" t="s">
        <v>14</v>
      </c>
      <c r="J558" t="s">
        <v>132</v>
      </c>
      <c r="K558" t="s">
        <v>7</v>
      </c>
      <c r="L558" t="s">
        <v>16</v>
      </c>
      <c r="M558">
        <v>307</v>
      </c>
      <c r="N558">
        <v>7</v>
      </c>
      <c r="O558">
        <v>0</v>
      </c>
      <c r="P558">
        <v>70.56</v>
      </c>
      <c r="Q558">
        <v>21.57</v>
      </c>
      <c r="R558" t="s">
        <v>9</v>
      </c>
    </row>
    <row r="559" spans="1:18" x14ac:dyDescent="0.25">
      <c r="A559" t="s">
        <v>807</v>
      </c>
      <c r="B559" s="1">
        <v>40584</v>
      </c>
      <c r="C559" s="1">
        <v>40589</v>
      </c>
      <c r="D559" t="s">
        <v>18</v>
      </c>
      <c r="E559" t="s">
        <v>808</v>
      </c>
      <c r="F559" t="s">
        <v>3</v>
      </c>
      <c r="G559" t="s">
        <v>351</v>
      </c>
      <c r="H559" t="s">
        <v>259</v>
      </c>
      <c r="I559" t="s">
        <v>6</v>
      </c>
      <c r="J559" t="s">
        <v>6</v>
      </c>
      <c r="K559" t="s">
        <v>7</v>
      </c>
      <c r="L559" t="s">
        <v>137</v>
      </c>
      <c r="M559">
        <v>115</v>
      </c>
      <c r="N559">
        <v>4</v>
      </c>
      <c r="O559">
        <v>0</v>
      </c>
      <c r="P559">
        <v>51.84</v>
      </c>
      <c r="Q559">
        <v>13.47</v>
      </c>
      <c r="R559" t="s">
        <v>9</v>
      </c>
    </row>
    <row r="560" spans="1:18" x14ac:dyDescent="0.25">
      <c r="A560" t="s">
        <v>823</v>
      </c>
      <c r="B560" s="1">
        <v>40584</v>
      </c>
      <c r="C560" s="1">
        <v>40590</v>
      </c>
      <c r="D560" t="s">
        <v>1</v>
      </c>
      <c r="E560" t="s">
        <v>824</v>
      </c>
      <c r="F560" t="s">
        <v>26</v>
      </c>
      <c r="G560" t="s">
        <v>471</v>
      </c>
      <c r="H560" t="s">
        <v>305</v>
      </c>
      <c r="I560" t="s">
        <v>29</v>
      </c>
      <c r="J560" t="s">
        <v>76</v>
      </c>
      <c r="K560" t="s">
        <v>7</v>
      </c>
      <c r="L560" t="s">
        <v>91</v>
      </c>
      <c r="M560">
        <v>124</v>
      </c>
      <c r="N560">
        <v>5</v>
      </c>
      <c r="O560">
        <v>0</v>
      </c>
      <c r="P560">
        <v>39.6</v>
      </c>
      <c r="Q560">
        <v>12.38</v>
      </c>
      <c r="R560" t="s">
        <v>9</v>
      </c>
    </row>
    <row r="561" spans="1:18" x14ac:dyDescent="0.25">
      <c r="A561" t="s">
        <v>805</v>
      </c>
      <c r="B561" s="1">
        <v>40584</v>
      </c>
      <c r="C561" s="1">
        <v>40589</v>
      </c>
      <c r="D561" t="s">
        <v>1</v>
      </c>
      <c r="E561" t="s">
        <v>607</v>
      </c>
      <c r="F561" t="s">
        <v>43</v>
      </c>
      <c r="G561" t="s">
        <v>806</v>
      </c>
      <c r="H561" t="s">
        <v>131</v>
      </c>
      <c r="I561" t="s">
        <v>14</v>
      </c>
      <c r="J561" t="s">
        <v>132</v>
      </c>
      <c r="K561" t="s">
        <v>32</v>
      </c>
      <c r="L561" t="s">
        <v>33</v>
      </c>
      <c r="M561">
        <v>201</v>
      </c>
      <c r="N561">
        <v>4</v>
      </c>
      <c r="O561">
        <v>0</v>
      </c>
      <c r="P561">
        <v>24.12</v>
      </c>
      <c r="Q561">
        <v>12.3</v>
      </c>
      <c r="R561" t="s">
        <v>9</v>
      </c>
    </row>
    <row r="562" spans="1:18" x14ac:dyDescent="0.25">
      <c r="A562" t="s">
        <v>825</v>
      </c>
      <c r="B562" s="1">
        <v>40584</v>
      </c>
      <c r="C562" s="1">
        <v>40588</v>
      </c>
      <c r="D562" t="s">
        <v>1</v>
      </c>
      <c r="E562" t="s">
        <v>826</v>
      </c>
      <c r="F562" t="s">
        <v>26</v>
      </c>
      <c r="G562" t="s">
        <v>827</v>
      </c>
      <c r="H562" t="s">
        <v>828</v>
      </c>
      <c r="I562" t="s">
        <v>22</v>
      </c>
      <c r="J562" t="s">
        <v>22</v>
      </c>
      <c r="K562" t="s">
        <v>7</v>
      </c>
      <c r="L562" t="s">
        <v>8</v>
      </c>
      <c r="M562">
        <v>197</v>
      </c>
      <c r="N562">
        <v>1</v>
      </c>
      <c r="O562">
        <v>0</v>
      </c>
      <c r="P562">
        <v>17.760000000000002</v>
      </c>
      <c r="Q562">
        <v>11.44</v>
      </c>
      <c r="R562" t="s">
        <v>9</v>
      </c>
    </row>
    <row r="563" spans="1:18" x14ac:dyDescent="0.25">
      <c r="A563" t="s">
        <v>821</v>
      </c>
      <c r="B563" s="1">
        <v>40584</v>
      </c>
      <c r="C563" s="1">
        <v>40588</v>
      </c>
      <c r="D563" t="s">
        <v>1</v>
      </c>
      <c r="E563" t="s">
        <v>822</v>
      </c>
      <c r="F563" t="s">
        <v>43</v>
      </c>
      <c r="G563" t="s">
        <v>301</v>
      </c>
      <c r="H563" t="s">
        <v>106</v>
      </c>
      <c r="I563" t="s">
        <v>75</v>
      </c>
      <c r="J563" t="s">
        <v>30</v>
      </c>
      <c r="K563" t="s">
        <v>7</v>
      </c>
      <c r="L563" t="s">
        <v>96</v>
      </c>
      <c r="M563">
        <v>87</v>
      </c>
      <c r="N563">
        <v>7</v>
      </c>
      <c r="O563">
        <v>0</v>
      </c>
      <c r="P563">
        <v>0.84</v>
      </c>
      <c r="Q563">
        <v>11.22</v>
      </c>
      <c r="R563" t="s">
        <v>23</v>
      </c>
    </row>
    <row r="564" spans="1:18" x14ac:dyDescent="0.25">
      <c r="A564" t="s">
        <v>811</v>
      </c>
      <c r="B564" s="1">
        <v>40584</v>
      </c>
      <c r="C564" s="1">
        <v>40584</v>
      </c>
      <c r="D564" t="s">
        <v>41</v>
      </c>
      <c r="E564" t="s">
        <v>812</v>
      </c>
      <c r="F564" t="s">
        <v>26</v>
      </c>
      <c r="G564" t="s">
        <v>304</v>
      </c>
      <c r="H564" t="s">
        <v>305</v>
      </c>
      <c r="I564" t="s">
        <v>29</v>
      </c>
      <c r="J564" t="s">
        <v>76</v>
      </c>
      <c r="K564" t="s">
        <v>7</v>
      </c>
      <c r="L564" t="s">
        <v>137</v>
      </c>
      <c r="M564">
        <v>26</v>
      </c>
      <c r="N564">
        <v>5</v>
      </c>
      <c r="O564">
        <v>0.5</v>
      </c>
      <c r="P564">
        <v>-14.324999999999999</v>
      </c>
      <c r="Q564">
        <v>8.9499999999999993</v>
      </c>
      <c r="R564" t="s">
        <v>23</v>
      </c>
    </row>
    <row r="565" spans="1:18" x14ac:dyDescent="0.25">
      <c r="A565" t="s">
        <v>819</v>
      </c>
      <c r="B565" s="1">
        <v>40584</v>
      </c>
      <c r="C565" s="1">
        <v>40588</v>
      </c>
      <c r="D565" t="s">
        <v>1</v>
      </c>
      <c r="E565" t="s">
        <v>820</v>
      </c>
      <c r="F565" t="s">
        <v>3</v>
      </c>
      <c r="G565" t="s">
        <v>184</v>
      </c>
      <c r="H565" t="s">
        <v>115</v>
      </c>
      <c r="I565" t="s">
        <v>29</v>
      </c>
      <c r="J565" t="s">
        <v>76</v>
      </c>
      <c r="K565" t="s">
        <v>7</v>
      </c>
      <c r="L565" t="s">
        <v>96</v>
      </c>
      <c r="M565">
        <v>50</v>
      </c>
      <c r="N565">
        <v>4</v>
      </c>
      <c r="O565">
        <v>0</v>
      </c>
      <c r="P565">
        <v>24</v>
      </c>
      <c r="Q565">
        <v>8.6300000000000008</v>
      </c>
      <c r="R565" t="s">
        <v>23</v>
      </c>
    </row>
    <row r="566" spans="1:18" x14ac:dyDescent="0.25">
      <c r="A566" t="s">
        <v>821</v>
      </c>
      <c r="B566" s="1">
        <v>40584</v>
      </c>
      <c r="C566" s="1">
        <v>40588</v>
      </c>
      <c r="D566" t="s">
        <v>1</v>
      </c>
      <c r="E566" t="s">
        <v>822</v>
      </c>
      <c r="F566" t="s">
        <v>43</v>
      </c>
      <c r="G566" t="s">
        <v>301</v>
      </c>
      <c r="H566" t="s">
        <v>106</v>
      </c>
      <c r="I566" t="s">
        <v>75</v>
      </c>
      <c r="J566" t="s">
        <v>30</v>
      </c>
      <c r="K566" t="s">
        <v>7</v>
      </c>
      <c r="L566" t="s">
        <v>16</v>
      </c>
      <c r="M566">
        <v>41</v>
      </c>
      <c r="N566">
        <v>4</v>
      </c>
      <c r="O566">
        <v>0</v>
      </c>
      <c r="P566">
        <v>16.399999999999999</v>
      </c>
      <c r="Q566">
        <v>6.63</v>
      </c>
      <c r="R566" t="s">
        <v>23</v>
      </c>
    </row>
    <row r="567" spans="1:18" x14ac:dyDescent="0.25">
      <c r="A567" t="s">
        <v>825</v>
      </c>
      <c r="B567" s="1">
        <v>40584</v>
      </c>
      <c r="C567" s="1">
        <v>40588</v>
      </c>
      <c r="D567" t="s">
        <v>1</v>
      </c>
      <c r="E567" t="s">
        <v>826</v>
      </c>
      <c r="F567" t="s">
        <v>26</v>
      </c>
      <c r="G567" t="s">
        <v>827</v>
      </c>
      <c r="H567" t="s">
        <v>828</v>
      </c>
      <c r="I567" t="s">
        <v>22</v>
      </c>
      <c r="J567" t="s">
        <v>22</v>
      </c>
      <c r="K567" t="s">
        <v>7</v>
      </c>
      <c r="L567" t="s">
        <v>91</v>
      </c>
      <c r="M567">
        <v>67</v>
      </c>
      <c r="N567">
        <v>4</v>
      </c>
      <c r="O567">
        <v>0</v>
      </c>
      <c r="P567">
        <v>24.24</v>
      </c>
      <c r="Q567">
        <v>6.28</v>
      </c>
      <c r="R567" t="s">
        <v>9</v>
      </c>
    </row>
    <row r="568" spans="1:18" x14ac:dyDescent="0.25">
      <c r="A568" t="s">
        <v>821</v>
      </c>
      <c r="B568" s="1">
        <v>40584</v>
      </c>
      <c r="C568" s="1">
        <v>40588</v>
      </c>
      <c r="D568" t="s">
        <v>1</v>
      </c>
      <c r="E568" t="s">
        <v>822</v>
      </c>
      <c r="F568" t="s">
        <v>43</v>
      </c>
      <c r="G568" t="s">
        <v>301</v>
      </c>
      <c r="H568" t="s">
        <v>106</v>
      </c>
      <c r="I568" t="s">
        <v>75</v>
      </c>
      <c r="J568" t="s">
        <v>30</v>
      </c>
      <c r="K568" t="s">
        <v>7</v>
      </c>
      <c r="L568" t="s">
        <v>96</v>
      </c>
      <c r="M568">
        <v>66</v>
      </c>
      <c r="N568">
        <v>4</v>
      </c>
      <c r="O568">
        <v>0</v>
      </c>
      <c r="P568">
        <v>12.56</v>
      </c>
      <c r="Q568">
        <v>5.64</v>
      </c>
      <c r="R568" t="s">
        <v>23</v>
      </c>
    </row>
    <row r="569" spans="1:18" x14ac:dyDescent="0.25">
      <c r="A569" t="s">
        <v>825</v>
      </c>
      <c r="B569" s="1">
        <v>40584</v>
      </c>
      <c r="C569" s="1">
        <v>40588</v>
      </c>
      <c r="D569" t="s">
        <v>1</v>
      </c>
      <c r="E569" t="s">
        <v>826</v>
      </c>
      <c r="F569" t="s">
        <v>26</v>
      </c>
      <c r="G569" t="s">
        <v>827</v>
      </c>
      <c r="H569" t="s">
        <v>828</v>
      </c>
      <c r="I569" t="s">
        <v>22</v>
      </c>
      <c r="J569" t="s">
        <v>22</v>
      </c>
      <c r="K569" t="s">
        <v>32</v>
      </c>
      <c r="L569" t="s">
        <v>33</v>
      </c>
      <c r="M569">
        <v>52</v>
      </c>
      <c r="N569">
        <v>1</v>
      </c>
      <c r="O569">
        <v>0</v>
      </c>
      <c r="P569">
        <v>1.02</v>
      </c>
      <c r="Q569">
        <v>3.9</v>
      </c>
      <c r="R569" t="s">
        <v>9</v>
      </c>
    </row>
    <row r="570" spans="1:18" x14ac:dyDescent="0.25">
      <c r="A570" t="s">
        <v>825</v>
      </c>
      <c r="B570" s="1">
        <v>40584</v>
      </c>
      <c r="C570" s="1">
        <v>40588</v>
      </c>
      <c r="D570" t="s">
        <v>1</v>
      </c>
      <c r="E570" t="s">
        <v>826</v>
      </c>
      <c r="F570" t="s">
        <v>26</v>
      </c>
      <c r="G570" t="s">
        <v>827</v>
      </c>
      <c r="H570" t="s">
        <v>828</v>
      </c>
      <c r="I570" t="s">
        <v>22</v>
      </c>
      <c r="J570" t="s">
        <v>22</v>
      </c>
      <c r="K570" t="s">
        <v>38</v>
      </c>
      <c r="L570" t="s">
        <v>77</v>
      </c>
      <c r="M570">
        <v>170</v>
      </c>
      <c r="N570">
        <v>1</v>
      </c>
      <c r="O570">
        <v>0</v>
      </c>
      <c r="P570">
        <v>30.54</v>
      </c>
      <c r="Q570">
        <v>3.44</v>
      </c>
      <c r="R570" t="s">
        <v>9</v>
      </c>
    </row>
    <row r="571" spans="1:18" x14ac:dyDescent="0.25">
      <c r="A571" t="s">
        <v>807</v>
      </c>
      <c r="B571" s="1">
        <v>40584</v>
      </c>
      <c r="C571" s="1">
        <v>40589</v>
      </c>
      <c r="D571" t="s">
        <v>18</v>
      </c>
      <c r="E571" t="s">
        <v>808</v>
      </c>
      <c r="F571" t="s">
        <v>3</v>
      </c>
      <c r="G571" t="s">
        <v>351</v>
      </c>
      <c r="H571" t="s">
        <v>259</v>
      </c>
      <c r="I571" t="s">
        <v>6</v>
      </c>
      <c r="J571" t="s">
        <v>6</v>
      </c>
      <c r="K571" t="s">
        <v>7</v>
      </c>
      <c r="L571" t="s">
        <v>97</v>
      </c>
      <c r="M571">
        <v>44</v>
      </c>
      <c r="N571">
        <v>4</v>
      </c>
      <c r="O571">
        <v>0</v>
      </c>
      <c r="P571">
        <v>18</v>
      </c>
      <c r="Q571">
        <v>3.1</v>
      </c>
      <c r="R571" t="s">
        <v>9</v>
      </c>
    </row>
    <row r="572" spans="1:18" x14ac:dyDescent="0.25">
      <c r="A572" t="s">
        <v>825</v>
      </c>
      <c r="B572" s="1">
        <v>40584</v>
      </c>
      <c r="C572" s="1">
        <v>40588</v>
      </c>
      <c r="D572" t="s">
        <v>1</v>
      </c>
      <c r="E572" t="s">
        <v>826</v>
      </c>
      <c r="F572" t="s">
        <v>26</v>
      </c>
      <c r="G572" t="s">
        <v>827</v>
      </c>
      <c r="H572" t="s">
        <v>828</v>
      </c>
      <c r="I572" t="s">
        <v>22</v>
      </c>
      <c r="J572" t="s">
        <v>22</v>
      </c>
      <c r="K572" t="s">
        <v>7</v>
      </c>
      <c r="L572" t="s">
        <v>16</v>
      </c>
      <c r="M572">
        <v>53</v>
      </c>
      <c r="N572">
        <v>2</v>
      </c>
      <c r="O572">
        <v>0</v>
      </c>
      <c r="P572">
        <v>22.38</v>
      </c>
      <c r="Q572">
        <v>2.85</v>
      </c>
      <c r="R572" t="s">
        <v>9</v>
      </c>
    </row>
    <row r="573" spans="1:18" x14ac:dyDescent="0.25">
      <c r="A573" t="s">
        <v>809</v>
      </c>
      <c r="B573" s="1">
        <v>40584</v>
      </c>
      <c r="C573" s="1">
        <v>40589</v>
      </c>
      <c r="D573" t="s">
        <v>1</v>
      </c>
      <c r="E573" t="s">
        <v>810</v>
      </c>
      <c r="F573" t="s">
        <v>43</v>
      </c>
      <c r="G573" t="s">
        <v>605</v>
      </c>
      <c r="H573" t="s">
        <v>276</v>
      </c>
      <c r="I573" t="s">
        <v>29</v>
      </c>
      <c r="J573" t="s">
        <v>102</v>
      </c>
      <c r="K573" t="s">
        <v>7</v>
      </c>
      <c r="L573" t="s">
        <v>91</v>
      </c>
      <c r="M573">
        <v>19</v>
      </c>
      <c r="N573">
        <v>1</v>
      </c>
      <c r="O573">
        <v>0</v>
      </c>
      <c r="P573">
        <v>4.2</v>
      </c>
      <c r="Q573">
        <v>2.2400000000000002</v>
      </c>
      <c r="R573" t="s">
        <v>23</v>
      </c>
    </row>
    <row r="574" spans="1:18" x14ac:dyDescent="0.25">
      <c r="A574" t="s">
        <v>815</v>
      </c>
      <c r="B574" s="1">
        <v>40584</v>
      </c>
      <c r="C574" s="1">
        <v>40588</v>
      </c>
      <c r="D574" t="s">
        <v>1</v>
      </c>
      <c r="E574" t="s">
        <v>816</v>
      </c>
      <c r="F574" t="s">
        <v>43</v>
      </c>
      <c r="G574" t="s">
        <v>817</v>
      </c>
      <c r="H574" t="s">
        <v>818</v>
      </c>
      <c r="I574" t="s">
        <v>29</v>
      </c>
      <c r="J574" t="s">
        <v>76</v>
      </c>
      <c r="K574" t="s">
        <v>7</v>
      </c>
      <c r="L574" t="s">
        <v>91</v>
      </c>
      <c r="M574">
        <v>19</v>
      </c>
      <c r="N574">
        <v>1</v>
      </c>
      <c r="O574">
        <v>0</v>
      </c>
      <c r="P574">
        <v>7.56</v>
      </c>
      <c r="Q574">
        <v>1.44</v>
      </c>
      <c r="R574" t="s">
        <v>9</v>
      </c>
    </row>
    <row r="575" spans="1:18" x14ac:dyDescent="0.25">
      <c r="A575" t="s">
        <v>825</v>
      </c>
      <c r="B575" s="1">
        <v>40584</v>
      </c>
      <c r="C575" s="1">
        <v>40588</v>
      </c>
      <c r="D575" t="s">
        <v>1</v>
      </c>
      <c r="E575" t="s">
        <v>826</v>
      </c>
      <c r="F575" t="s">
        <v>26</v>
      </c>
      <c r="G575" t="s">
        <v>827</v>
      </c>
      <c r="H575" t="s">
        <v>828</v>
      </c>
      <c r="I575" t="s">
        <v>22</v>
      </c>
      <c r="J575" t="s">
        <v>22</v>
      </c>
      <c r="K575" t="s">
        <v>7</v>
      </c>
      <c r="L575" t="s">
        <v>91</v>
      </c>
      <c r="M575">
        <v>14</v>
      </c>
      <c r="N575">
        <v>1</v>
      </c>
      <c r="O575">
        <v>0</v>
      </c>
      <c r="P575">
        <v>6.54</v>
      </c>
      <c r="Q575">
        <v>1.32</v>
      </c>
      <c r="R575" t="s">
        <v>9</v>
      </c>
    </row>
    <row r="576" spans="1:18" x14ac:dyDescent="0.25">
      <c r="A576" t="s">
        <v>829</v>
      </c>
      <c r="B576" s="1">
        <v>40584</v>
      </c>
      <c r="C576" s="1">
        <v>40587</v>
      </c>
      <c r="D576" t="s">
        <v>18</v>
      </c>
      <c r="E576" t="s">
        <v>810</v>
      </c>
      <c r="F576" t="s">
        <v>43</v>
      </c>
      <c r="G576" t="s">
        <v>685</v>
      </c>
      <c r="H576" t="s">
        <v>169</v>
      </c>
      <c r="I576" t="s">
        <v>14</v>
      </c>
      <c r="J576" t="s">
        <v>132</v>
      </c>
      <c r="K576" t="s">
        <v>7</v>
      </c>
      <c r="L576" t="s">
        <v>16</v>
      </c>
      <c r="M576">
        <v>9</v>
      </c>
      <c r="N576">
        <v>1</v>
      </c>
      <c r="O576">
        <v>0.5</v>
      </c>
      <c r="P576">
        <v>-7.7249999999999996</v>
      </c>
      <c r="Q576">
        <v>0.98</v>
      </c>
      <c r="R576" t="s">
        <v>23</v>
      </c>
    </row>
    <row r="577" spans="1:18" x14ac:dyDescent="0.25">
      <c r="A577" t="s">
        <v>807</v>
      </c>
      <c r="B577" s="1">
        <v>40584</v>
      </c>
      <c r="C577" s="1">
        <v>40589</v>
      </c>
      <c r="D577" t="s">
        <v>18</v>
      </c>
      <c r="E577" t="s">
        <v>808</v>
      </c>
      <c r="F577" t="s">
        <v>3</v>
      </c>
      <c r="G577" t="s">
        <v>351</v>
      </c>
      <c r="H577" t="s">
        <v>259</v>
      </c>
      <c r="I577" t="s">
        <v>6</v>
      </c>
      <c r="J577" t="s">
        <v>6</v>
      </c>
      <c r="K577" t="s">
        <v>7</v>
      </c>
      <c r="L577" t="s">
        <v>137</v>
      </c>
      <c r="M577">
        <v>8</v>
      </c>
      <c r="N577">
        <v>1</v>
      </c>
      <c r="O577">
        <v>0</v>
      </c>
      <c r="P577">
        <v>3.09</v>
      </c>
      <c r="Q577">
        <v>0.84</v>
      </c>
      <c r="R577" t="s">
        <v>9</v>
      </c>
    </row>
    <row r="578" spans="1:18" x14ac:dyDescent="0.25">
      <c r="A578" t="s">
        <v>825</v>
      </c>
      <c r="B578" s="1">
        <v>40584</v>
      </c>
      <c r="C578" s="1">
        <v>40588</v>
      </c>
      <c r="D578" t="s">
        <v>1</v>
      </c>
      <c r="E578" t="s">
        <v>826</v>
      </c>
      <c r="F578" t="s">
        <v>26</v>
      </c>
      <c r="G578" t="s">
        <v>827</v>
      </c>
      <c r="H578" t="s">
        <v>828</v>
      </c>
      <c r="I578" t="s">
        <v>22</v>
      </c>
      <c r="J578" t="s">
        <v>22</v>
      </c>
      <c r="K578" t="s">
        <v>7</v>
      </c>
      <c r="L578" t="s">
        <v>97</v>
      </c>
      <c r="M578">
        <v>13</v>
      </c>
      <c r="N578">
        <v>1</v>
      </c>
      <c r="O578">
        <v>0</v>
      </c>
      <c r="P578">
        <v>4.4400000000000004</v>
      </c>
      <c r="Q578">
        <v>0.83</v>
      </c>
      <c r="R578" t="s">
        <v>9</v>
      </c>
    </row>
    <row r="579" spans="1:18" x14ac:dyDescent="0.25">
      <c r="A579" t="s">
        <v>830</v>
      </c>
      <c r="B579" s="1">
        <v>40584</v>
      </c>
      <c r="C579" s="1">
        <v>40587</v>
      </c>
      <c r="D579" t="s">
        <v>142</v>
      </c>
      <c r="E579" t="s">
        <v>831</v>
      </c>
      <c r="F579" t="s">
        <v>3</v>
      </c>
      <c r="G579" t="s">
        <v>832</v>
      </c>
      <c r="H579" t="s">
        <v>833</v>
      </c>
      <c r="I579" t="s">
        <v>6</v>
      </c>
      <c r="J579" t="s">
        <v>6</v>
      </c>
      <c r="K579" t="s">
        <v>7</v>
      </c>
      <c r="L579" t="s">
        <v>137</v>
      </c>
      <c r="M579">
        <v>3</v>
      </c>
      <c r="N579">
        <v>1</v>
      </c>
      <c r="O579">
        <v>0.7</v>
      </c>
      <c r="P579">
        <v>-5.0519999999999996</v>
      </c>
      <c r="Q579">
        <v>0.39</v>
      </c>
      <c r="R579" t="s">
        <v>23</v>
      </c>
    </row>
    <row r="580" spans="1:18" x14ac:dyDescent="0.25">
      <c r="A580" t="s">
        <v>834</v>
      </c>
      <c r="B580" s="1">
        <v>40585</v>
      </c>
      <c r="C580" s="1">
        <v>40589</v>
      </c>
      <c r="D580" t="s">
        <v>1</v>
      </c>
      <c r="E580" t="s">
        <v>835</v>
      </c>
      <c r="F580" t="s">
        <v>43</v>
      </c>
      <c r="G580" t="s">
        <v>836</v>
      </c>
      <c r="H580" t="s">
        <v>837</v>
      </c>
      <c r="I580" t="s">
        <v>6</v>
      </c>
      <c r="J580" t="s">
        <v>6</v>
      </c>
      <c r="K580" t="s">
        <v>38</v>
      </c>
      <c r="L580" t="s">
        <v>50</v>
      </c>
      <c r="M580">
        <v>445</v>
      </c>
      <c r="N580">
        <v>10</v>
      </c>
      <c r="O580">
        <v>0.7</v>
      </c>
      <c r="P580">
        <v>-371.04</v>
      </c>
      <c r="Q580">
        <v>16.579999999999998</v>
      </c>
      <c r="R580" t="s">
        <v>23</v>
      </c>
    </row>
    <row r="581" spans="1:18" x14ac:dyDescent="0.25">
      <c r="A581" t="s">
        <v>838</v>
      </c>
      <c r="B581" s="1">
        <v>40585</v>
      </c>
      <c r="C581" s="1">
        <v>40587</v>
      </c>
      <c r="D581" t="s">
        <v>18</v>
      </c>
      <c r="E581" t="s">
        <v>839</v>
      </c>
      <c r="F581" t="s">
        <v>3</v>
      </c>
      <c r="G581" t="s">
        <v>840</v>
      </c>
      <c r="H581" t="s">
        <v>81</v>
      </c>
      <c r="I581" t="s">
        <v>22</v>
      </c>
      <c r="J581" t="s">
        <v>22</v>
      </c>
      <c r="K581" t="s">
        <v>38</v>
      </c>
      <c r="L581" t="s">
        <v>77</v>
      </c>
      <c r="M581">
        <v>138</v>
      </c>
      <c r="N581">
        <v>1</v>
      </c>
      <c r="O581">
        <v>0</v>
      </c>
      <c r="P581">
        <v>66.180000000000007</v>
      </c>
      <c r="Q581">
        <v>15.49</v>
      </c>
      <c r="R581" t="s">
        <v>45</v>
      </c>
    </row>
    <row r="582" spans="1:18" x14ac:dyDescent="0.25">
      <c r="A582" t="s">
        <v>841</v>
      </c>
      <c r="B582" s="1">
        <v>40585</v>
      </c>
      <c r="C582" s="1">
        <v>40589</v>
      </c>
      <c r="D582" t="s">
        <v>1</v>
      </c>
      <c r="E582" t="s">
        <v>350</v>
      </c>
      <c r="F582" t="s">
        <v>26</v>
      </c>
      <c r="G582" t="s">
        <v>100</v>
      </c>
      <c r="H582" t="s">
        <v>101</v>
      </c>
      <c r="I582" t="s">
        <v>75</v>
      </c>
      <c r="J582" t="s">
        <v>102</v>
      </c>
      <c r="K582" t="s">
        <v>38</v>
      </c>
      <c r="L582" t="s">
        <v>50</v>
      </c>
      <c r="M582">
        <v>190</v>
      </c>
      <c r="N582">
        <v>2</v>
      </c>
      <c r="O582">
        <v>2E-3</v>
      </c>
      <c r="P582">
        <v>81.419359999999998</v>
      </c>
      <c r="Q582">
        <v>11.76</v>
      </c>
      <c r="R582" t="s">
        <v>23</v>
      </c>
    </row>
    <row r="583" spans="1:18" x14ac:dyDescent="0.25">
      <c r="A583" t="s">
        <v>838</v>
      </c>
      <c r="B583" s="1">
        <v>40585</v>
      </c>
      <c r="C583" s="1">
        <v>40587</v>
      </c>
      <c r="D583" t="s">
        <v>18</v>
      </c>
      <c r="E583" t="s">
        <v>839</v>
      </c>
      <c r="F583" t="s">
        <v>3</v>
      </c>
      <c r="G583" t="s">
        <v>840</v>
      </c>
      <c r="H583" t="s">
        <v>81</v>
      </c>
      <c r="I583" t="s">
        <v>22</v>
      </c>
      <c r="J583" t="s">
        <v>22</v>
      </c>
      <c r="K583" t="s">
        <v>7</v>
      </c>
      <c r="L583" t="s">
        <v>8</v>
      </c>
      <c r="M583">
        <v>49</v>
      </c>
      <c r="N583">
        <v>1</v>
      </c>
      <c r="O583">
        <v>0</v>
      </c>
      <c r="P583">
        <v>22.02</v>
      </c>
      <c r="Q583">
        <v>6.81</v>
      </c>
      <c r="R583" t="s">
        <v>45</v>
      </c>
    </row>
    <row r="584" spans="1:18" x14ac:dyDescent="0.25">
      <c r="A584" t="s">
        <v>834</v>
      </c>
      <c r="B584" s="1">
        <v>40585</v>
      </c>
      <c r="C584" s="1">
        <v>40589</v>
      </c>
      <c r="D584" t="s">
        <v>1</v>
      </c>
      <c r="E584" t="s">
        <v>835</v>
      </c>
      <c r="F584" t="s">
        <v>43</v>
      </c>
      <c r="G584" t="s">
        <v>836</v>
      </c>
      <c r="H584" t="s">
        <v>837</v>
      </c>
      <c r="I584" t="s">
        <v>6</v>
      </c>
      <c r="J584" t="s">
        <v>6</v>
      </c>
      <c r="K584" t="s">
        <v>7</v>
      </c>
      <c r="L584" t="s">
        <v>16</v>
      </c>
      <c r="M584">
        <v>67</v>
      </c>
      <c r="N584">
        <v>6</v>
      </c>
      <c r="O584">
        <v>0.7</v>
      </c>
      <c r="P584">
        <v>-55.728000000000002</v>
      </c>
      <c r="Q584">
        <v>5.99</v>
      </c>
      <c r="R584" t="s">
        <v>23</v>
      </c>
    </row>
    <row r="585" spans="1:18" x14ac:dyDescent="0.25">
      <c r="A585" t="s">
        <v>834</v>
      </c>
      <c r="B585" s="1">
        <v>40585</v>
      </c>
      <c r="C585" s="1">
        <v>40589</v>
      </c>
      <c r="D585" t="s">
        <v>1</v>
      </c>
      <c r="E585" t="s">
        <v>835</v>
      </c>
      <c r="F585" t="s">
        <v>43</v>
      </c>
      <c r="G585" t="s">
        <v>836</v>
      </c>
      <c r="H585" t="s">
        <v>837</v>
      </c>
      <c r="I585" t="s">
        <v>6</v>
      </c>
      <c r="J585" t="s">
        <v>6</v>
      </c>
      <c r="K585" t="s">
        <v>7</v>
      </c>
      <c r="L585" t="s">
        <v>8</v>
      </c>
      <c r="M585">
        <v>85</v>
      </c>
      <c r="N585">
        <v>2</v>
      </c>
      <c r="O585">
        <v>0.7</v>
      </c>
      <c r="P585">
        <v>-124.66200000000001</v>
      </c>
      <c r="Q585">
        <v>5.61</v>
      </c>
      <c r="R585" t="s">
        <v>23</v>
      </c>
    </row>
    <row r="586" spans="1:18" x14ac:dyDescent="0.25">
      <c r="A586" t="s">
        <v>842</v>
      </c>
      <c r="B586" s="1">
        <v>40585</v>
      </c>
      <c r="C586" s="1">
        <v>40589</v>
      </c>
      <c r="D586" t="s">
        <v>1</v>
      </c>
      <c r="E586" t="s">
        <v>843</v>
      </c>
      <c r="F586" t="s">
        <v>43</v>
      </c>
      <c r="G586" t="s">
        <v>844</v>
      </c>
      <c r="H586" t="s">
        <v>280</v>
      </c>
      <c r="I586" t="s">
        <v>14</v>
      </c>
      <c r="J586" t="s">
        <v>281</v>
      </c>
      <c r="K586" t="s">
        <v>7</v>
      </c>
      <c r="L586" t="s">
        <v>137</v>
      </c>
      <c r="M586">
        <v>22</v>
      </c>
      <c r="N586">
        <v>3</v>
      </c>
      <c r="O586">
        <v>0</v>
      </c>
      <c r="P586">
        <v>3.87</v>
      </c>
      <c r="Q586">
        <v>2.92</v>
      </c>
      <c r="R586" t="s">
        <v>23</v>
      </c>
    </row>
    <row r="587" spans="1:18" x14ac:dyDescent="0.25">
      <c r="A587" t="s">
        <v>834</v>
      </c>
      <c r="B587" s="1">
        <v>40585</v>
      </c>
      <c r="C587" s="1">
        <v>40589</v>
      </c>
      <c r="D587" t="s">
        <v>1</v>
      </c>
      <c r="E587" t="s">
        <v>835</v>
      </c>
      <c r="F587" t="s">
        <v>43</v>
      </c>
      <c r="G587" t="s">
        <v>836</v>
      </c>
      <c r="H587" t="s">
        <v>837</v>
      </c>
      <c r="I587" t="s">
        <v>6</v>
      </c>
      <c r="J587" t="s">
        <v>6</v>
      </c>
      <c r="K587" t="s">
        <v>32</v>
      </c>
      <c r="L587" t="s">
        <v>33</v>
      </c>
      <c r="M587">
        <v>12</v>
      </c>
      <c r="N587">
        <v>2</v>
      </c>
      <c r="O587">
        <v>0.7</v>
      </c>
      <c r="P587">
        <v>-20.141999999999999</v>
      </c>
      <c r="Q587">
        <v>1.39</v>
      </c>
      <c r="R587" t="s">
        <v>23</v>
      </c>
    </row>
    <row r="588" spans="1:18" x14ac:dyDescent="0.25">
      <c r="A588" t="s">
        <v>845</v>
      </c>
      <c r="B588" s="1">
        <v>40586</v>
      </c>
      <c r="C588" s="1">
        <v>40590</v>
      </c>
      <c r="D588" t="s">
        <v>1</v>
      </c>
      <c r="E588" t="s">
        <v>846</v>
      </c>
      <c r="F588" t="s">
        <v>3</v>
      </c>
      <c r="G588" t="s">
        <v>294</v>
      </c>
      <c r="H588" t="s">
        <v>126</v>
      </c>
      <c r="I588" t="s">
        <v>127</v>
      </c>
      <c r="J588" t="s">
        <v>102</v>
      </c>
      <c r="K588" t="s">
        <v>32</v>
      </c>
      <c r="L588" t="s">
        <v>62</v>
      </c>
      <c r="M588" s="2">
        <v>1256</v>
      </c>
      <c r="N588">
        <v>6</v>
      </c>
      <c r="O588">
        <v>0</v>
      </c>
      <c r="P588">
        <v>75.373199999999997</v>
      </c>
      <c r="Q588">
        <v>212.94</v>
      </c>
      <c r="R588" t="s">
        <v>23</v>
      </c>
    </row>
    <row r="589" spans="1:18" x14ac:dyDescent="0.25">
      <c r="A589" t="s">
        <v>847</v>
      </c>
      <c r="B589" s="1">
        <v>40586</v>
      </c>
      <c r="C589" s="1">
        <v>40588</v>
      </c>
      <c r="D589" t="s">
        <v>142</v>
      </c>
      <c r="E589" t="s">
        <v>296</v>
      </c>
      <c r="F589" t="s">
        <v>3</v>
      </c>
      <c r="G589" t="s">
        <v>848</v>
      </c>
      <c r="H589" t="s">
        <v>580</v>
      </c>
      <c r="I589" t="s">
        <v>6</v>
      </c>
      <c r="J589" t="s">
        <v>6</v>
      </c>
      <c r="K589" t="s">
        <v>32</v>
      </c>
      <c r="L589" t="s">
        <v>56</v>
      </c>
      <c r="M589">
        <v>682</v>
      </c>
      <c r="N589">
        <v>4</v>
      </c>
      <c r="O589">
        <v>0</v>
      </c>
      <c r="P589">
        <v>327.12</v>
      </c>
      <c r="Q589">
        <v>201.54</v>
      </c>
      <c r="R589" t="s">
        <v>45</v>
      </c>
    </row>
    <row r="590" spans="1:18" x14ac:dyDescent="0.25">
      <c r="A590" t="s">
        <v>845</v>
      </c>
      <c r="B590" s="1">
        <v>40586</v>
      </c>
      <c r="C590" s="1">
        <v>40590</v>
      </c>
      <c r="D590" t="s">
        <v>1</v>
      </c>
      <c r="E590" t="s">
        <v>846</v>
      </c>
      <c r="F590" t="s">
        <v>3</v>
      </c>
      <c r="G590" t="s">
        <v>294</v>
      </c>
      <c r="H590" t="s">
        <v>126</v>
      </c>
      <c r="I590" t="s">
        <v>127</v>
      </c>
      <c r="J590" t="s">
        <v>102</v>
      </c>
      <c r="K590" t="s">
        <v>38</v>
      </c>
      <c r="L590" t="s">
        <v>82</v>
      </c>
      <c r="M590">
        <v>234</v>
      </c>
      <c r="N590">
        <v>3</v>
      </c>
      <c r="O590">
        <v>0</v>
      </c>
      <c r="P590">
        <v>103.158</v>
      </c>
      <c r="Q590">
        <v>38.36</v>
      </c>
      <c r="R590" t="s">
        <v>23</v>
      </c>
    </row>
    <row r="591" spans="1:18" x14ac:dyDescent="0.25">
      <c r="A591" t="s">
        <v>849</v>
      </c>
      <c r="B591" s="1">
        <v>40586</v>
      </c>
      <c r="C591" s="1">
        <v>40590</v>
      </c>
      <c r="D591" t="s">
        <v>18</v>
      </c>
      <c r="E591" t="s">
        <v>850</v>
      </c>
      <c r="F591" t="s">
        <v>3</v>
      </c>
      <c r="G591" t="s">
        <v>851</v>
      </c>
      <c r="H591" t="s">
        <v>126</v>
      </c>
      <c r="I591" t="s">
        <v>127</v>
      </c>
      <c r="J591" t="s">
        <v>76</v>
      </c>
      <c r="K591" t="s">
        <v>32</v>
      </c>
      <c r="L591" t="s">
        <v>33</v>
      </c>
      <c r="M591">
        <v>333</v>
      </c>
      <c r="N591">
        <v>3</v>
      </c>
      <c r="O591">
        <v>0</v>
      </c>
      <c r="P591">
        <v>53.270400000000002</v>
      </c>
      <c r="Q591">
        <v>18.55</v>
      </c>
      <c r="R591" t="s">
        <v>9</v>
      </c>
    </row>
    <row r="592" spans="1:18" x14ac:dyDescent="0.25">
      <c r="A592" t="s">
        <v>847</v>
      </c>
      <c r="B592" s="1">
        <v>40586</v>
      </c>
      <c r="C592" s="1">
        <v>40588</v>
      </c>
      <c r="D592" t="s">
        <v>142</v>
      </c>
      <c r="E592" t="s">
        <v>296</v>
      </c>
      <c r="F592" t="s">
        <v>3</v>
      </c>
      <c r="G592" t="s">
        <v>848</v>
      </c>
      <c r="H592" t="s">
        <v>580</v>
      </c>
      <c r="I592" t="s">
        <v>6</v>
      </c>
      <c r="J592" t="s">
        <v>6</v>
      </c>
      <c r="K592" t="s">
        <v>7</v>
      </c>
      <c r="L592" t="s">
        <v>8</v>
      </c>
      <c r="M592">
        <v>48</v>
      </c>
      <c r="N592">
        <v>1</v>
      </c>
      <c r="O592">
        <v>0</v>
      </c>
      <c r="P592">
        <v>22.08</v>
      </c>
      <c r="Q592">
        <v>12.48</v>
      </c>
      <c r="R592" t="s">
        <v>45</v>
      </c>
    </row>
    <row r="593" spans="1:18" x14ac:dyDescent="0.25">
      <c r="A593" t="s">
        <v>849</v>
      </c>
      <c r="B593" s="1">
        <v>40586</v>
      </c>
      <c r="C593" s="1">
        <v>40590</v>
      </c>
      <c r="D593" t="s">
        <v>18</v>
      </c>
      <c r="E593" t="s">
        <v>850</v>
      </c>
      <c r="F593" t="s">
        <v>3</v>
      </c>
      <c r="G593" t="s">
        <v>851</v>
      </c>
      <c r="H593" t="s">
        <v>126</v>
      </c>
      <c r="I593" t="s">
        <v>127</v>
      </c>
      <c r="J593" t="s">
        <v>76</v>
      </c>
      <c r="K593" t="s">
        <v>32</v>
      </c>
      <c r="L593" t="s">
        <v>56</v>
      </c>
      <c r="M593">
        <v>61</v>
      </c>
      <c r="N593">
        <v>1</v>
      </c>
      <c r="O593">
        <v>0</v>
      </c>
      <c r="P593">
        <v>15.2225</v>
      </c>
      <c r="Q593">
        <v>10.07</v>
      </c>
      <c r="R593" t="s">
        <v>9</v>
      </c>
    </row>
    <row r="594" spans="1:18" x14ac:dyDescent="0.25">
      <c r="A594" t="s">
        <v>847</v>
      </c>
      <c r="B594" s="1">
        <v>40586</v>
      </c>
      <c r="C594" s="1">
        <v>40588</v>
      </c>
      <c r="D594" t="s">
        <v>142</v>
      </c>
      <c r="E594" t="s">
        <v>296</v>
      </c>
      <c r="F594" t="s">
        <v>3</v>
      </c>
      <c r="G594" t="s">
        <v>848</v>
      </c>
      <c r="H594" t="s">
        <v>580</v>
      </c>
      <c r="I594" t="s">
        <v>6</v>
      </c>
      <c r="J594" t="s">
        <v>6</v>
      </c>
      <c r="K594" t="s">
        <v>7</v>
      </c>
      <c r="L594" t="s">
        <v>31</v>
      </c>
      <c r="M594">
        <v>26</v>
      </c>
      <c r="N594">
        <v>1</v>
      </c>
      <c r="O594">
        <v>0</v>
      </c>
      <c r="P594">
        <v>11.37</v>
      </c>
      <c r="Q594">
        <v>8.9700000000000006</v>
      </c>
      <c r="R594" t="s">
        <v>45</v>
      </c>
    </row>
    <row r="595" spans="1:18" x14ac:dyDescent="0.25">
      <c r="A595" t="s">
        <v>847</v>
      </c>
      <c r="B595" s="1">
        <v>40586</v>
      </c>
      <c r="C595" s="1">
        <v>40588</v>
      </c>
      <c r="D595" t="s">
        <v>142</v>
      </c>
      <c r="E595" t="s">
        <v>296</v>
      </c>
      <c r="F595" t="s">
        <v>3</v>
      </c>
      <c r="G595" t="s">
        <v>848</v>
      </c>
      <c r="H595" t="s">
        <v>580</v>
      </c>
      <c r="I595" t="s">
        <v>6</v>
      </c>
      <c r="J595" t="s">
        <v>6</v>
      </c>
      <c r="K595" t="s">
        <v>7</v>
      </c>
      <c r="L595" t="s">
        <v>8</v>
      </c>
      <c r="M595">
        <v>57</v>
      </c>
      <c r="N595">
        <v>1</v>
      </c>
      <c r="O595">
        <v>0</v>
      </c>
      <c r="P595">
        <v>3.99</v>
      </c>
      <c r="Q595">
        <v>8.9700000000000006</v>
      </c>
      <c r="R595" t="s">
        <v>45</v>
      </c>
    </row>
    <row r="596" spans="1:18" x14ac:dyDescent="0.25">
      <c r="A596" t="s">
        <v>849</v>
      </c>
      <c r="B596" s="1">
        <v>40586</v>
      </c>
      <c r="C596" s="1">
        <v>40590</v>
      </c>
      <c r="D596" t="s">
        <v>18</v>
      </c>
      <c r="E596" t="s">
        <v>850</v>
      </c>
      <c r="F596" t="s">
        <v>3</v>
      </c>
      <c r="G596" t="s">
        <v>851</v>
      </c>
      <c r="H596" t="s">
        <v>126</v>
      </c>
      <c r="I596" t="s">
        <v>127</v>
      </c>
      <c r="J596" t="s">
        <v>76</v>
      </c>
      <c r="K596" t="s">
        <v>7</v>
      </c>
      <c r="L596" t="s">
        <v>8</v>
      </c>
      <c r="M596">
        <v>65</v>
      </c>
      <c r="N596">
        <v>2</v>
      </c>
      <c r="O596">
        <v>0</v>
      </c>
      <c r="P596">
        <v>2.5983999999999998</v>
      </c>
      <c r="Q596">
        <v>6.78</v>
      </c>
      <c r="R596" t="s">
        <v>9</v>
      </c>
    </row>
    <row r="597" spans="1:18" x14ac:dyDescent="0.25">
      <c r="A597" t="s">
        <v>849</v>
      </c>
      <c r="B597" s="1">
        <v>40586</v>
      </c>
      <c r="C597" s="1">
        <v>40590</v>
      </c>
      <c r="D597" t="s">
        <v>18</v>
      </c>
      <c r="E597" t="s">
        <v>850</v>
      </c>
      <c r="F597" t="s">
        <v>3</v>
      </c>
      <c r="G597" t="s">
        <v>851</v>
      </c>
      <c r="H597" t="s">
        <v>126</v>
      </c>
      <c r="I597" t="s">
        <v>127</v>
      </c>
      <c r="J597" t="s">
        <v>76</v>
      </c>
      <c r="K597" t="s">
        <v>7</v>
      </c>
      <c r="L597" t="s">
        <v>137</v>
      </c>
      <c r="M597">
        <v>52</v>
      </c>
      <c r="N597">
        <v>3</v>
      </c>
      <c r="O597">
        <v>0</v>
      </c>
      <c r="P597">
        <v>24.393000000000001</v>
      </c>
      <c r="Q597">
        <v>3.52</v>
      </c>
      <c r="R597" t="s">
        <v>9</v>
      </c>
    </row>
    <row r="598" spans="1:18" x14ac:dyDescent="0.25">
      <c r="A598" t="s">
        <v>845</v>
      </c>
      <c r="B598" s="1">
        <v>40586</v>
      </c>
      <c r="C598" s="1">
        <v>40590</v>
      </c>
      <c r="D598" t="s">
        <v>1</v>
      </c>
      <c r="E598" t="s">
        <v>846</v>
      </c>
      <c r="F598" t="s">
        <v>3</v>
      </c>
      <c r="G598" t="s">
        <v>294</v>
      </c>
      <c r="H598" t="s">
        <v>126</v>
      </c>
      <c r="I598" t="s">
        <v>127</v>
      </c>
      <c r="J598" t="s">
        <v>102</v>
      </c>
      <c r="K598" t="s">
        <v>7</v>
      </c>
      <c r="L598" t="s">
        <v>137</v>
      </c>
      <c r="M598">
        <v>17</v>
      </c>
      <c r="N598">
        <v>2</v>
      </c>
      <c r="O598">
        <v>0</v>
      </c>
      <c r="P598">
        <v>8.2062000000000008</v>
      </c>
      <c r="Q598">
        <v>1.47</v>
      </c>
      <c r="R598" t="s">
        <v>23</v>
      </c>
    </row>
    <row r="599" spans="1:18" x14ac:dyDescent="0.25">
      <c r="A599" t="s">
        <v>849</v>
      </c>
      <c r="B599" s="1">
        <v>40586</v>
      </c>
      <c r="C599" s="1">
        <v>40590</v>
      </c>
      <c r="D599" t="s">
        <v>18</v>
      </c>
      <c r="E599" t="s">
        <v>850</v>
      </c>
      <c r="F599" t="s">
        <v>3</v>
      </c>
      <c r="G599" t="s">
        <v>851</v>
      </c>
      <c r="H599" t="s">
        <v>126</v>
      </c>
      <c r="I599" t="s">
        <v>127</v>
      </c>
      <c r="J599" t="s">
        <v>76</v>
      </c>
      <c r="K599" t="s">
        <v>7</v>
      </c>
      <c r="L599" t="s">
        <v>87</v>
      </c>
      <c r="M599">
        <v>15</v>
      </c>
      <c r="N599">
        <v>3</v>
      </c>
      <c r="O599">
        <v>0</v>
      </c>
      <c r="P599">
        <v>6.8723999999999998</v>
      </c>
      <c r="Q599">
        <v>1.1200000000000001</v>
      </c>
      <c r="R599" t="s">
        <v>9</v>
      </c>
    </row>
    <row r="600" spans="1:18" x14ac:dyDescent="0.25">
      <c r="A600" t="s">
        <v>852</v>
      </c>
      <c r="B600" s="1">
        <v>40586</v>
      </c>
      <c r="C600" s="1">
        <v>40593</v>
      </c>
      <c r="D600" t="s">
        <v>1</v>
      </c>
      <c r="E600" t="s">
        <v>143</v>
      </c>
      <c r="F600" t="s">
        <v>26</v>
      </c>
      <c r="G600" t="s">
        <v>591</v>
      </c>
      <c r="H600" t="s">
        <v>280</v>
      </c>
      <c r="I600" t="s">
        <v>14</v>
      </c>
      <c r="J600" t="s">
        <v>281</v>
      </c>
      <c r="K600" t="s">
        <v>7</v>
      </c>
      <c r="L600" t="s">
        <v>137</v>
      </c>
      <c r="M600">
        <v>14</v>
      </c>
      <c r="N600">
        <v>1</v>
      </c>
      <c r="O600">
        <v>0</v>
      </c>
      <c r="P600">
        <v>3.3</v>
      </c>
      <c r="Q600">
        <v>0.97</v>
      </c>
      <c r="R600" t="s">
        <v>9</v>
      </c>
    </row>
    <row r="601" spans="1:18" x14ac:dyDescent="0.25">
      <c r="A601" t="s">
        <v>849</v>
      </c>
      <c r="B601" s="1">
        <v>40586</v>
      </c>
      <c r="C601" s="1">
        <v>40590</v>
      </c>
      <c r="D601" t="s">
        <v>18</v>
      </c>
      <c r="E601" t="s">
        <v>850</v>
      </c>
      <c r="F601" t="s">
        <v>3</v>
      </c>
      <c r="G601" t="s">
        <v>851</v>
      </c>
      <c r="H601" t="s">
        <v>126</v>
      </c>
      <c r="I601" t="s">
        <v>127</v>
      </c>
      <c r="J601" t="s">
        <v>76</v>
      </c>
      <c r="K601" t="s">
        <v>7</v>
      </c>
      <c r="L601" t="s">
        <v>137</v>
      </c>
      <c r="M601">
        <v>10</v>
      </c>
      <c r="N601">
        <v>2</v>
      </c>
      <c r="O601">
        <v>0</v>
      </c>
      <c r="P601">
        <v>4.4344000000000001</v>
      </c>
      <c r="Q601">
        <v>0.33</v>
      </c>
      <c r="R601" t="s">
        <v>9</v>
      </c>
    </row>
    <row r="602" spans="1:18" x14ac:dyDescent="0.25">
      <c r="A602" t="s">
        <v>853</v>
      </c>
      <c r="B602" s="1">
        <v>40587</v>
      </c>
      <c r="C602" s="1">
        <v>40593</v>
      </c>
      <c r="D602" t="s">
        <v>1</v>
      </c>
      <c r="E602" t="s">
        <v>854</v>
      </c>
      <c r="F602" t="s">
        <v>3</v>
      </c>
      <c r="G602" t="s">
        <v>191</v>
      </c>
      <c r="H602" t="s">
        <v>126</v>
      </c>
      <c r="I602" t="s">
        <v>127</v>
      </c>
      <c r="J602" t="s">
        <v>192</v>
      </c>
      <c r="K602" t="s">
        <v>32</v>
      </c>
      <c r="L602" t="s">
        <v>56</v>
      </c>
      <c r="M602">
        <v>130</v>
      </c>
      <c r="N602">
        <v>2</v>
      </c>
      <c r="O602">
        <v>0.2</v>
      </c>
      <c r="P602">
        <v>-24.294</v>
      </c>
      <c r="Q602">
        <v>3.26</v>
      </c>
      <c r="R602" t="s">
        <v>9</v>
      </c>
    </row>
    <row r="603" spans="1:18" x14ac:dyDescent="0.25">
      <c r="A603" t="s">
        <v>855</v>
      </c>
      <c r="B603" s="1">
        <v>40588</v>
      </c>
      <c r="C603" s="1">
        <v>40590</v>
      </c>
      <c r="D603" t="s">
        <v>18</v>
      </c>
      <c r="E603" t="s">
        <v>475</v>
      </c>
      <c r="F603" t="s">
        <v>43</v>
      </c>
      <c r="G603" t="s">
        <v>856</v>
      </c>
      <c r="H603" t="s">
        <v>454</v>
      </c>
      <c r="I603" t="s">
        <v>22</v>
      </c>
      <c r="J603" t="s">
        <v>22</v>
      </c>
      <c r="K603" t="s">
        <v>38</v>
      </c>
      <c r="L603" t="s">
        <v>50</v>
      </c>
      <c r="M603" s="2">
        <v>1279</v>
      </c>
      <c r="N603">
        <v>4</v>
      </c>
      <c r="O603">
        <v>0</v>
      </c>
      <c r="P603">
        <v>319.8</v>
      </c>
      <c r="Q603">
        <v>286.19</v>
      </c>
      <c r="R603" t="s">
        <v>45</v>
      </c>
    </row>
    <row r="604" spans="1:18" x14ac:dyDescent="0.25">
      <c r="A604" t="s">
        <v>855</v>
      </c>
      <c r="B604" s="1">
        <v>40588</v>
      </c>
      <c r="C604" s="1">
        <v>40590</v>
      </c>
      <c r="D604" t="s">
        <v>18</v>
      </c>
      <c r="E604" t="s">
        <v>475</v>
      </c>
      <c r="F604" t="s">
        <v>43</v>
      </c>
      <c r="G604" t="s">
        <v>856</v>
      </c>
      <c r="H604" t="s">
        <v>454</v>
      </c>
      <c r="I604" t="s">
        <v>22</v>
      </c>
      <c r="J604" t="s">
        <v>22</v>
      </c>
      <c r="K604" t="s">
        <v>32</v>
      </c>
      <c r="L604" t="s">
        <v>33</v>
      </c>
      <c r="M604">
        <v>465</v>
      </c>
      <c r="N604">
        <v>4</v>
      </c>
      <c r="O604">
        <v>0</v>
      </c>
      <c r="P604">
        <v>130.19999999999999</v>
      </c>
      <c r="Q604">
        <v>121.21</v>
      </c>
      <c r="R604" t="s">
        <v>45</v>
      </c>
    </row>
    <row r="605" spans="1:18" x14ac:dyDescent="0.25">
      <c r="A605" t="s">
        <v>855</v>
      </c>
      <c r="B605" s="1">
        <v>40588</v>
      </c>
      <c r="C605" s="1">
        <v>40590</v>
      </c>
      <c r="D605" t="s">
        <v>18</v>
      </c>
      <c r="E605" t="s">
        <v>475</v>
      </c>
      <c r="F605" t="s">
        <v>43</v>
      </c>
      <c r="G605" t="s">
        <v>856</v>
      </c>
      <c r="H605" t="s">
        <v>454</v>
      </c>
      <c r="I605" t="s">
        <v>22</v>
      </c>
      <c r="J605" t="s">
        <v>22</v>
      </c>
      <c r="K605" t="s">
        <v>38</v>
      </c>
      <c r="L605" t="s">
        <v>50</v>
      </c>
      <c r="M605">
        <v>297</v>
      </c>
      <c r="N605">
        <v>2</v>
      </c>
      <c r="O605">
        <v>0</v>
      </c>
      <c r="P605">
        <v>145.74</v>
      </c>
      <c r="Q605">
        <v>82.46</v>
      </c>
      <c r="R605" t="s">
        <v>45</v>
      </c>
    </row>
    <row r="606" spans="1:18" x14ac:dyDescent="0.25">
      <c r="A606" t="s">
        <v>857</v>
      </c>
      <c r="B606" s="1">
        <v>40588</v>
      </c>
      <c r="C606" s="1">
        <v>40592</v>
      </c>
      <c r="D606" t="s">
        <v>1</v>
      </c>
      <c r="E606" t="s">
        <v>858</v>
      </c>
      <c r="F606" t="s">
        <v>26</v>
      </c>
      <c r="G606" t="s">
        <v>12</v>
      </c>
      <c r="H606" t="s">
        <v>13</v>
      </c>
      <c r="I606" t="s">
        <v>14</v>
      </c>
      <c r="J606" t="s">
        <v>15</v>
      </c>
      <c r="K606" t="s">
        <v>38</v>
      </c>
      <c r="L606" t="s">
        <v>77</v>
      </c>
      <c r="M606">
        <v>607</v>
      </c>
      <c r="N606">
        <v>4</v>
      </c>
      <c r="O606">
        <v>0</v>
      </c>
      <c r="P606">
        <v>115.32</v>
      </c>
      <c r="Q606">
        <v>31.65</v>
      </c>
      <c r="R606" t="s">
        <v>9</v>
      </c>
    </row>
    <row r="607" spans="1:18" x14ac:dyDescent="0.25">
      <c r="A607" t="s">
        <v>857</v>
      </c>
      <c r="B607" s="1">
        <v>40588</v>
      </c>
      <c r="C607" s="1">
        <v>40592</v>
      </c>
      <c r="D607" t="s">
        <v>1</v>
      </c>
      <c r="E607" t="s">
        <v>858</v>
      </c>
      <c r="F607" t="s">
        <v>26</v>
      </c>
      <c r="G607" t="s">
        <v>12</v>
      </c>
      <c r="H607" t="s">
        <v>13</v>
      </c>
      <c r="I607" t="s">
        <v>14</v>
      </c>
      <c r="J607" t="s">
        <v>15</v>
      </c>
      <c r="K607" t="s">
        <v>7</v>
      </c>
      <c r="L607" t="s">
        <v>8</v>
      </c>
      <c r="M607">
        <v>406</v>
      </c>
      <c r="N607">
        <v>2</v>
      </c>
      <c r="O607">
        <v>0</v>
      </c>
      <c r="P607">
        <v>178.8</v>
      </c>
      <c r="Q607">
        <v>30.38</v>
      </c>
      <c r="R607" t="s">
        <v>9</v>
      </c>
    </row>
    <row r="608" spans="1:18" x14ac:dyDescent="0.25">
      <c r="A608" t="s">
        <v>859</v>
      </c>
      <c r="B608" s="1">
        <v>40588</v>
      </c>
      <c r="C608" s="1">
        <v>40592</v>
      </c>
      <c r="D608" t="s">
        <v>1</v>
      </c>
      <c r="E608" t="s">
        <v>134</v>
      </c>
      <c r="F608" t="s">
        <v>3</v>
      </c>
      <c r="G608" t="s">
        <v>860</v>
      </c>
      <c r="H608" t="s">
        <v>861</v>
      </c>
      <c r="I608" t="s">
        <v>6</v>
      </c>
      <c r="J608" t="s">
        <v>6</v>
      </c>
      <c r="K608" t="s">
        <v>7</v>
      </c>
      <c r="L608" t="s">
        <v>31</v>
      </c>
      <c r="M608">
        <v>238</v>
      </c>
      <c r="N608">
        <v>8</v>
      </c>
      <c r="O608">
        <v>0</v>
      </c>
      <c r="P608">
        <v>106.8</v>
      </c>
      <c r="Q608">
        <v>28.45</v>
      </c>
      <c r="R608" t="s">
        <v>23</v>
      </c>
    </row>
    <row r="609" spans="1:18" x14ac:dyDescent="0.25">
      <c r="A609" t="s">
        <v>862</v>
      </c>
      <c r="B609" s="1">
        <v>40588</v>
      </c>
      <c r="C609" s="1">
        <v>40593</v>
      </c>
      <c r="D609" t="s">
        <v>1</v>
      </c>
      <c r="E609" t="s">
        <v>863</v>
      </c>
      <c r="F609" t="s">
        <v>26</v>
      </c>
      <c r="G609" t="s">
        <v>864</v>
      </c>
      <c r="H609" t="s">
        <v>110</v>
      </c>
      <c r="I609" t="s">
        <v>75</v>
      </c>
      <c r="J609" t="s">
        <v>111</v>
      </c>
      <c r="K609" t="s">
        <v>38</v>
      </c>
      <c r="L609" t="s">
        <v>77</v>
      </c>
      <c r="M609">
        <v>192</v>
      </c>
      <c r="N609">
        <v>4</v>
      </c>
      <c r="O609">
        <v>0</v>
      </c>
      <c r="P609">
        <v>13.36</v>
      </c>
      <c r="Q609">
        <v>20.14</v>
      </c>
      <c r="R609" t="s">
        <v>23</v>
      </c>
    </row>
    <row r="610" spans="1:18" x14ac:dyDescent="0.25">
      <c r="A610" t="s">
        <v>865</v>
      </c>
      <c r="B610" s="1">
        <v>40588</v>
      </c>
      <c r="C610" s="1">
        <v>40592</v>
      </c>
      <c r="D610" t="s">
        <v>1</v>
      </c>
      <c r="E610" t="s">
        <v>866</v>
      </c>
      <c r="F610" t="s">
        <v>3</v>
      </c>
      <c r="G610" t="s">
        <v>867</v>
      </c>
      <c r="H610" t="s">
        <v>169</v>
      </c>
      <c r="I610" t="s">
        <v>14</v>
      </c>
      <c r="J610" t="s">
        <v>132</v>
      </c>
      <c r="K610" t="s">
        <v>7</v>
      </c>
      <c r="L610" t="s">
        <v>91</v>
      </c>
      <c r="M610">
        <v>254</v>
      </c>
      <c r="N610">
        <v>5</v>
      </c>
      <c r="O610">
        <v>0</v>
      </c>
      <c r="P610">
        <v>76.05</v>
      </c>
      <c r="Q610">
        <v>16.29</v>
      </c>
      <c r="R610" t="s">
        <v>9</v>
      </c>
    </row>
    <row r="611" spans="1:18" x14ac:dyDescent="0.25">
      <c r="A611" t="s">
        <v>868</v>
      </c>
      <c r="B611" s="1">
        <v>40588</v>
      </c>
      <c r="C611" s="1">
        <v>40592</v>
      </c>
      <c r="D611" t="s">
        <v>18</v>
      </c>
      <c r="E611" t="s">
        <v>869</v>
      </c>
      <c r="F611" t="s">
        <v>3</v>
      </c>
      <c r="G611" t="s">
        <v>870</v>
      </c>
      <c r="H611" t="s">
        <v>871</v>
      </c>
      <c r="I611" t="s">
        <v>6</v>
      </c>
      <c r="J611" t="s">
        <v>6</v>
      </c>
      <c r="K611" t="s">
        <v>7</v>
      </c>
      <c r="L611" t="s">
        <v>96</v>
      </c>
      <c r="M611">
        <v>77</v>
      </c>
      <c r="N611">
        <v>2</v>
      </c>
      <c r="O611">
        <v>0</v>
      </c>
      <c r="P611">
        <v>0.72</v>
      </c>
      <c r="Q611">
        <v>15.23</v>
      </c>
      <c r="R611" t="s">
        <v>23</v>
      </c>
    </row>
    <row r="612" spans="1:18" x14ac:dyDescent="0.25">
      <c r="A612" t="s">
        <v>862</v>
      </c>
      <c r="B612" s="1">
        <v>40588</v>
      </c>
      <c r="C612" s="1">
        <v>40593</v>
      </c>
      <c r="D612" t="s">
        <v>1</v>
      </c>
      <c r="E612" t="s">
        <v>863</v>
      </c>
      <c r="F612" t="s">
        <v>26</v>
      </c>
      <c r="G612" t="s">
        <v>864</v>
      </c>
      <c r="H612" t="s">
        <v>110</v>
      </c>
      <c r="I612" t="s">
        <v>75</v>
      </c>
      <c r="J612" t="s">
        <v>111</v>
      </c>
      <c r="K612" t="s">
        <v>7</v>
      </c>
      <c r="L612" t="s">
        <v>16</v>
      </c>
      <c r="M612">
        <v>77</v>
      </c>
      <c r="N612">
        <v>6</v>
      </c>
      <c r="O612">
        <v>0</v>
      </c>
      <c r="P612">
        <v>24.6</v>
      </c>
      <c r="Q612">
        <v>13.32</v>
      </c>
      <c r="R612" t="s">
        <v>23</v>
      </c>
    </row>
    <row r="613" spans="1:18" x14ac:dyDescent="0.25">
      <c r="A613" t="s">
        <v>865</v>
      </c>
      <c r="B613" s="1">
        <v>40588</v>
      </c>
      <c r="C613" s="1">
        <v>40592</v>
      </c>
      <c r="D613" t="s">
        <v>1</v>
      </c>
      <c r="E613" t="s">
        <v>866</v>
      </c>
      <c r="F613" t="s">
        <v>3</v>
      </c>
      <c r="G613" t="s">
        <v>867</v>
      </c>
      <c r="H613" t="s">
        <v>169</v>
      </c>
      <c r="I613" t="s">
        <v>14</v>
      </c>
      <c r="J613" t="s">
        <v>132</v>
      </c>
      <c r="K613" t="s">
        <v>32</v>
      </c>
      <c r="L613" t="s">
        <v>33</v>
      </c>
      <c r="M613">
        <v>147</v>
      </c>
      <c r="N613">
        <v>3</v>
      </c>
      <c r="O613">
        <v>0</v>
      </c>
      <c r="P613">
        <v>61.56</v>
      </c>
      <c r="Q613">
        <v>11.53</v>
      </c>
      <c r="R613" t="s">
        <v>9</v>
      </c>
    </row>
    <row r="614" spans="1:18" x14ac:dyDescent="0.25">
      <c r="A614" t="s">
        <v>862</v>
      </c>
      <c r="B614" s="1">
        <v>40588</v>
      </c>
      <c r="C614" s="1">
        <v>40593</v>
      </c>
      <c r="D614" t="s">
        <v>1</v>
      </c>
      <c r="E614" t="s">
        <v>863</v>
      </c>
      <c r="F614" t="s">
        <v>26</v>
      </c>
      <c r="G614" t="s">
        <v>864</v>
      </c>
      <c r="H614" t="s">
        <v>110</v>
      </c>
      <c r="I614" t="s">
        <v>75</v>
      </c>
      <c r="J614" t="s">
        <v>111</v>
      </c>
      <c r="K614" t="s">
        <v>7</v>
      </c>
      <c r="L614" t="s">
        <v>8</v>
      </c>
      <c r="M614">
        <v>82</v>
      </c>
      <c r="N614">
        <v>2</v>
      </c>
      <c r="O614">
        <v>0</v>
      </c>
      <c r="P614">
        <v>22.84</v>
      </c>
      <c r="Q614">
        <v>9.61</v>
      </c>
      <c r="R614" t="s">
        <v>23</v>
      </c>
    </row>
    <row r="615" spans="1:18" x14ac:dyDescent="0.25">
      <c r="A615" t="s">
        <v>862</v>
      </c>
      <c r="B615" s="1">
        <v>40588</v>
      </c>
      <c r="C615" s="1">
        <v>40593</v>
      </c>
      <c r="D615" t="s">
        <v>1</v>
      </c>
      <c r="E615" t="s">
        <v>863</v>
      </c>
      <c r="F615" t="s">
        <v>26</v>
      </c>
      <c r="G615" t="s">
        <v>864</v>
      </c>
      <c r="H615" t="s">
        <v>110</v>
      </c>
      <c r="I615" t="s">
        <v>75</v>
      </c>
      <c r="J615" t="s">
        <v>111</v>
      </c>
      <c r="K615" t="s">
        <v>38</v>
      </c>
      <c r="L615" t="s">
        <v>82</v>
      </c>
      <c r="M615">
        <v>77</v>
      </c>
      <c r="N615">
        <v>2</v>
      </c>
      <c r="O615">
        <v>0</v>
      </c>
      <c r="P615">
        <v>33.200000000000003</v>
      </c>
      <c r="Q615">
        <v>8.3800000000000008</v>
      </c>
      <c r="R615" t="s">
        <v>23</v>
      </c>
    </row>
    <row r="616" spans="1:18" x14ac:dyDescent="0.25">
      <c r="A616" t="s">
        <v>857</v>
      </c>
      <c r="B616" s="1">
        <v>40588</v>
      </c>
      <c r="C616" s="1">
        <v>40592</v>
      </c>
      <c r="D616" t="s">
        <v>1</v>
      </c>
      <c r="E616" t="s">
        <v>858</v>
      </c>
      <c r="F616" t="s">
        <v>26</v>
      </c>
      <c r="G616" t="s">
        <v>12</v>
      </c>
      <c r="H616" t="s">
        <v>13</v>
      </c>
      <c r="I616" t="s">
        <v>14</v>
      </c>
      <c r="J616" t="s">
        <v>15</v>
      </c>
      <c r="K616" t="s">
        <v>7</v>
      </c>
      <c r="L616" t="s">
        <v>16</v>
      </c>
      <c r="M616">
        <v>156</v>
      </c>
      <c r="N616">
        <v>4</v>
      </c>
      <c r="O616">
        <v>0</v>
      </c>
      <c r="P616">
        <v>26.52</v>
      </c>
      <c r="Q616">
        <v>6.91</v>
      </c>
      <c r="R616" t="s">
        <v>9</v>
      </c>
    </row>
    <row r="617" spans="1:18" x14ac:dyDescent="0.25">
      <c r="A617" t="s">
        <v>872</v>
      </c>
      <c r="B617" s="1">
        <v>40588</v>
      </c>
      <c r="C617" s="1">
        <v>40590</v>
      </c>
      <c r="D617" t="s">
        <v>18</v>
      </c>
      <c r="E617" t="s">
        <v>748</v>
      </c>
      <c r="F617" t="s">
        <v>26</v>
      </c>
      <c r="G617" t="s">
        <v>873</v>
      </c>
      <c r="H617" t="s">
        <v>873</v>
      </c>
      <c r="I617" t="s">
        <v>14</v>
      </c>
      <c r="J617" t="s">
        <v>132</v>
      </c>
      <c r="K617" t="s">
        <v>7</v>
      </c>
      <c r="L617" t="s">
        <v>97</v>
      </c>
      <c r="M617">
        <v>58</v>
      </c>
      <c r="N617">
        <v>3</v>
      </c>
      <c r="O617">
        <v>0</v>
      </c>
      <c r="P617">
        <v>5.13</v>
      </c>
      <c r="Q617">
        <v>6.7</v>
      </c>
      <c r="R617" t="s">
        <v>9</v>
      </c>
    </row>
    <row r="618" spans="1:18" x14ac:dyDescent="0.25">
      <c r="A618" t="s">
        <v>872</v>
      </c>
      <c r="B618" s="1">
        <v>40588</v>
      </c>
      <c r="C618" s="1">
        <v>40590</v>
      </c>
      <c r="D618" t="s">
        <v>18</v>
      </c>
      <c r="E618" t="s">
        <v>748</v>
      </c>
      <c r="F618" t="s">
        <v>26</v>
      </c>
      <c r="G618" t="s">
        <v>873</v>
      </c>
      <c r="H618" t="s">
        <v>873</v>
      </c>
      <c r="I618" t="s">
        <v>14</v>
      </c>
      <c r="J618" t="s">
        <v>132</v>
      </c>
      <c r="K618" t="s">
        <v>38</v>
      </c>
      <c r="L618" t="s">
        <v>77</v>
      </c>
      <c r="M618">
        <v>73</v>
      </c>
      <c r="N618">
        <v>1</v>
      </c>
      <c r="O618">
        <v>0</v>
      </c>
      <c r="P618">
        <v>29.94</v>
      </c>
      <c r="Q618">
        <v>6.34</v>
      </c>
      <c r="R618" t="s">
        <v>9</v>
      </c>
    </row>
    <row r="619" spans="1:18" x14ac:dyDescent="0.25">
      <c r="A619" t="s">
        <v>874</v>
      </c>
      <c r="B619" s="1">
        <v>40588</v>
      </c>
      <c r="C619" s="1">
        <v>40593</v>
      </c>
      <c r="D619" t="s">
        <v>18</v>
      </c>
      <c r="E619" t="s">
        <v>875</v>
      </c>
      <c r="F619" t="s">
        <v>3</v>
      </c>
      <c r="G619" t="s">
        <v>400</v>
      </c>
      <c r="H619" t="s">
        <v>276</v>
      </c>
      <c r="I619" t="s">
        <v>29</v>
      </c>
      <c r="J619" t="s">
        <v>102</v>
      </c>
      <c r="K619" t="s">
        <v>7</v>
      </c>
      <c r="L619" t="s">
        <v>91</v>
      </c>
      <c r="M619">
        <v>26</v>
      </c>
      <c r="N619">
        <v>1</v>
      </c>
      <c r="O619">
        <v>0</v>
      </c>
      <c r="P619">
        <v>0.51</v>
      </c>
      <c r="Q619">
        <v>2.68</v>
      </c>
      <c r="R619" t="s">
        <v>9</v>
      </c>
    </row>
    <row r="620" spans="1:18" x14ac:dyDescent="0.25">
      <c r="A620" t="s">
        <v>857</v>
      </c>
      <c r="B620" s="1">
        <v>40588</v>
      </c>
      <c r="C620" s="1">
        <v>40592</v>
      </c>
      <c r="D620" t="s">
        <v>1</v>
      </c>
      <c r="E620" t="s">
        <v>858</v>
      </c>
      <c r="F620" t="s">
        <v>26</v>
      </c>
      <c r="G620" t="s">
        <v>12</v>
      </c>
      <c r="H620" t="s">
        <v>13</v>
      </c>
      <c r="I620" t="s">
        <v>14</v>
      </c>
      <c r="J620" t="s">
        <v>15</v>
      </c>
      <c r="K620" t="s">
        <v>7</v>
      </c>
      <c r="L620" t="s">
        <v>137</v>
      </c>
      <c r="M620">
        <v>27</v>
      </c>
      <c r="N620">
        <v>4</v>
      </c>
      <c r="O620">
        <v>0</v>
      </c>
      <c r="P620">
        <v>5.04</v>
      </c>
      <c r="Q620">
        <v>2.11</v>
      </c>
      <c r="R620" t="s">
        <v>9</v>
      </c>
    </row>
    <row r="621" spans="1:18" x14ac:dyDescent="0.25">
      <c r="A621" t="s">
        <v>868</v>
      </c>
      <c r="B621" s="1">
        <v>40588</v>
      </c>
      <c r="C621" s="1">
        <v>40592</v>
      </c>
      <c r="D621" t="s">
        <v>18</v>
      </c>
      <c r="E621" t="s">
        <v>869</v>
      </c>
      <c r="F621" t="s">
        <v>3</v>
      </c>
      <c r="G621" t="s">
        <v>870</v>
      </c>
      <c r="H621" t="s">
        <v>871</v>
      </c>
      <c r="I621" t="s">
        <v>6</v>
      </c>
      <c r="J621" t="s">
        <v>6</v>
      </c>
      <c r="K621" t="s">
        <v>7</v>
      </c>
      <c r="L621" t="s">
        <v>137</v>
      </c>
      <c r="M621">
        <v>16</v>
      </c>
      <c r="N621">
        <v>2</v>
      </c>
      <c r="O621">
        <v>0</v>
      </c>
      <c r="P621">
        <v>6.42</v>
      </c>
      <c r="Q621">
        <v>2.0299999999999998</v>
      </c>
      <c r="R621" t="s">
        <v>23</v>
      </c>
    </row>
    <row r="622" spans="1:18" x14ac:dyDescent="0.25">
      <c r="A622" t="s">
        <v>876</v>
      </c>
      <c r="B622" s="1">
        <v>40588</v>
      </c>
      <c r="C622" s="1">
        <v>40594</v>
      </c>
      <c r="D622" t="s">
        <v>1</v>
      </c>
      <c r="E622" t="s">
        <v>2</v>
      </c>
      <c r="F622" t="s">
        <v>3</v>
      </c>
      <c r="G622" t="s">
        <v>877</v>
      </c>
      <c r="H622" t="s">
        <v>454</v>
      </c>
      <c r="I622" t="s">
        <v>22</v>
      </c>
      <c r="J622" t="s">
        <v>22</v>
      </c>
      <c r="K622" t="s">
        <v>7</v>
      </c>
      <c r="L622" t="s">
        <v>91</v>
      </c>
      <c r="M622">
        <v>27</v>
      </c>
      <c r="N622">
        <v>1</v>
      </c>
      <c r="O622">
        <v>0</v>
      </c>
      <c r="P622">
        <v>13.53</v>
      </c>
      <c r="Q622">
        <v>2.0299999999999998</v>
      </c>
      <c r="R622" t="s">
        <v>51</v>
      </c>
    </row>
    <row r="623" spans="1:18" x14ac:dyDescent="0.25">
      <c r="A623" t="s">
        <v>862</v>
      </c>
      <c r="B623" s="1">
        <v>40588</v>
      </c>
      <c r="C623" s="1">
        <v>40593</v>
      </c>
      <c r="D623" t="s">
        <v>1</v>
      </c>
      <c r="E623" t="s">
        <v>863</v>
      </c>
      <c r="F623" t="s">
        <v>26</v>
      </c>
      <c r="G623" t="s">
        <v>864</v>
      </c>
      <c r="H623" t="s">
        <v>110</v>
      </c>
      <c r="I623" t="s">
        <v>75</v>
      </c>
      <c r="J623" t="s">
        <v>111</v>
      </c>
      <c r="K623" t="s">
        <v>7</v>
      </c>
      <c r="L623" t="s">
        <v>91</v>
      </c>
      <c r="M623">
        <v>14</v>
      </c>
      <c r="N623">
        <v>2</v>
      </c>
      <c r="O623">
        <v>0</v>
      </c>
      <c r="P623">
        <v>6.16</v>
      </c>
      <c r="Q623">
        <v>1.78</v>
      </c>
      <c r="R623" t="s">
        <v>23</v>
      </c>
    </row>
    <row r="624" spans="1:18" x14ac:dyDescent="0.25">
      <c r="A624" t="s">
        <v>874</v>
      </c>
      <c r="B624" s="1">
        <v>40588</v>
      </c>
      <c r="C624" s="1">
        <v>40593</v>
      </c>
      <c r="D624" t="s">
        <v>18</v>
      </c>
      <c r="E624" t="s">
        <v>875</v>
      </c>
      <c r="F624" t="s">
        <v>3</v>
      </c>
      <c r="G624" t="s">
        <v>400</v>
      </c>
      <c r="H624" t="s">
        <v>276</v>
      </c>
      <c r="I624" t="s">
        <v>29</v>
      </c>
      <c r="J624" t="s">
        <v>102</v>
      </c>
      <c r="K624" t="s">
        <v>7</v>
      </c>
      <c r="L624" t="s">
        <v>8</v>
      </c>
      <c r="M624">
        <v>9</v>
      </c>
      <c r="N624">
        <v>1</v>
      </c>
      <c r="O624">
        <v>0.1</v>
      </c>
      <c r="P624">
        <v>1.6140000000000001</v>
      </c>
      <c r="Q624">
        <v>0.79</v>
      </c>
      <c r="R624" t="s">
        <v>9</v>
      </c>
    </row>
    <row r="625" spans="1:18" x14ac:dyDescent="0.25">
      <c r="A625" t="s">
        <v>878</v>
      </c>
      <c r="B625" s="1">
        <v>40589</v>
      </c>
      <c r="C625" s="1">
        <v>40590</v>
      </c>
      <c r="D625" t="s">
        <v>142</v>
      </c>
      <c r="E625" t="s">
        <v>879</v>
      </c>
      <c r="F625" t="s">
        <v>26</v>
      </c>
      <c r="G625" t="s">
        <v>737</v>
      </c>
      <c r="H625" t="s">
        <v>259</v>
      </c>
      <c r="I625" t="s">
        <v>6</v>
      </c>
      <c r="J625" t="s">
        <v>6</v>
      </c>
      <c r="K625" t="s">
        <v>7</v>
      </c>
      <c r="L625" t="s">
        <v>8</v>
      </c>
      <c r="M625" s="2">
        <v>2785</v>
      </c>
      <c r="N625">
        <v>14</v>
      </c>
      <c r="O625">
        <v>0</v>
      </c>
      <c r="P625">
        <v>779.52</v>
      </c>
      <c r="Q625">
        <v>422.25</v>
      </c>
      <c r="R625" t="s">
        <v>45</v>
      </c>
    </row>
    <row r="626" spans="1:18" x14ac:dyDescent="0.25">
      <c r="A626" t="s">
        <v>880</v>
      </c>
      <c r="B626" s="1">
        <v>40589</v>
      </c>
      <c r="C626" s="1">
        <v>40593</v>
      </c>
      <c r="D626" t="s">
        <v>1</v>
      </c>
      <c r="E626" t="s">
        <v>881</v>
      </c>
      <c r="F626" t="s">
        <v>3</v>
      </c>
      <c r="G626" t="s">
        <v>882</v>
      </c>
      <c r="H626" t="s">
        <v>131</v>
      </c>
      <c r="I626" t="s">
        <v>14</v>
      </c>
      <c r="J626" t="s">
        <v>132</v>
      </c>
      <c r="K626" t="s">
        <v>32</v>
      </c>
      <c r="L626" t="s">
        <v>67</v>
      </c>
      <c r="M626" s="2">
        <v>1744</v>
      </c>
      <c r="N626">
        <v>4</v>
      </c>
      <c r="O626">
        <v>0</v>
      </c>
      <c r="P626">
        <v>645.24</v>
      </c>
      <c r="Q626">
        <v>181.61</v>
      </c>
      <c r="R626" t="s">
        <v>9</v>
      </c>
    </row>
    <row r="627" spans="1:18" x14ac:dyDescent="0.25">
      <c r="A627" t="s">
        <v>883</v>
      </c>
      <c r="B627" s="1">
        <v>40589</v>
      </c>
      <c r="C627" s="1">
        <v>40595</v>
      </c>
      <c r="D627" t="s">
        <v>1</v>
      </c>
      <c r="E627" t="s">
        <v>217</v>
      </c>
      <c r="F627" t="s">
        <v>3</v>
      </c>
      <c r="G627" t="s">
        <v>59</v>
      </c>
      <c r="H627" t="s">
        <v>60</v>
      </c>
      <c r="I627" t="s">
        <v>14</v>
      </c>
      <c r="J627" t="s">
        <v>61</v>
      </c>
      <c r="K627" t="s">
        <v>38</v>
      </c>
      <c r="L627" t="s">
        <v>77</v>
      </c>
      <c r="M627">
        <v>921</v>
      </c>
      <c r="N627">
        <v>9</v>
      </c>
      <c r="O627">
        <v>0.25</v>
      </c>
      <c r="P627">
        <v>-172.125</v>
      </c>
      <c r="Q627">
        <v>128.01</v>
      </c>
      <c r="R627" t="s">
        <v>51</v>
      </c>
    </row>
    <row r="628" spans="1:18" x14ac:dyDescent="0.25">
      <c r="A628" t="s">
        <v>883</v>
      </c>
      <c r="B628" s="1">
        <v>40589</v>
      </c>
      <c r="C628" s="1">
        <v>40595</v>
      </c>
      <c r="D628" t="s">
        <v>1</v>
      </c>
      <c r="E628" t="s">
        <v>217</v>
      </c>
      <c r="F628" t="s">
        <v>3</v>
      </c>
      <c r="G628" t="s">
        <v>59</v>
      </c>
      <c r="H628" t="s">
        <v>60</v>
      </c>
      <c r="I628" t="s">
        <v>14</v>
      </c>
      <c r="J628" t="s">
        <v>61</v>
      </c>
      <c r="K628" t="s">
        <v>38</v>
      </c>
      <c r="L628" t="s">
        <v>50</v>
      </c>
      <c r="M628" s="2">
        <v>1235</v>
      </c>
      <c r="N628">
        <v>6</v>
      </c>
      <c r="O628">
        <v>0.35</v>
      </c>
      <c r="P628">
        <v>-456.17399999999998</v>
      </c>
      <c r="Q628">
        <v>118.63</v>
      </c>
      <c r="R628" t="s">
        <v>51</v>
      </c>
    </row>
    <row r="629" spans="1:18" x14ac:dyDescent="0.25">
      <c r="A629" t="s">
        <v>884</v>
      </c>
      <c r="B629" s="1">
        <v>40589</v>
      </c>
      <c r="C629" s="1">
        <v>40594</v>
      </c>
      <c r="D629" t="s">
        <v>1</v>
      </c>
      <c r="E629" t="s">
        <v>885</v>
      </c>
      <c r="F629" t="s">
        <v>3</v>
      </c>
      <c r="G629" t="s">
        <v>795</v>
      </c>
      <c r="H629" t="s">
        <v>207</v>
      </c>
      <c r="I629" t="s">
        <v>29</v>
      </c>
      <c r="J629" t="s">
        <v>76</v>
      </c>
      <c r="K629" t="s">
        <v>32</v>
      </c>
      <c r="L629" t="s">
        <v>67</v>
      </c>
      <c r="M629">
        <v>875</v>
      </c>
      <c r="N629">
        <v>4</v>
      </c>
      <c r="O629">
        <v>0.5</v>
      </c>
      <c r="P629">
        <v>-577.32000000000005</v>
      </c>
      <c r="Q629">
        <v>78.180000000000007</v>
      </c>
      <c r="R629" t="s">
        <v>9</v>
      </c>
    </row>
    <row r="630" spans="1:18" x14ac:dyDescent="0.25">
      <c r="A630" t="s">
        <v>886</v>
      </c>
      <c r="B630" s="1">
        <v>40589</v>
      </c>
      <c r="C630" s="1">
        <v>40595</v>
      </c>
      <c r="D630" t="s">
        <v>1</v>
      </c>
      <c r="E630" t="s">
        <v>887</v>
      </c>
      <c r="F630" t="s">
        <v>43</v>
      </c>
      <c r="G630" t="s">
        <v>705</v>
      </c>
      <c r="H630" t="s">
        <v>276</v>
      </c>
      <c r="I630" t="s">
        <v>29</v>
      </c>
      <c r="J630" t="s">
        <v>102</v>
      </c>
      <c r="K630" t="s">
        <v>32</v>
      </c>
      <c r="L630" t="s">
        <v>56</v>
      </c>
      <c r="M630">
        <v>728</v>
      </c>
      <c r="N630">
        <v>2</v>
      </c>
      <c r="O630">
        <v>0.2</v>
      </c>
      <c r="P630">
        <v>-81.864000000000004</v>
      </c>
      <c r="Q630">
        <v>60.76</v>
      </c>
      <c r="R630" t="s">
        <v>9</v>
      </c>
    </row>
    <row r="631" spans="1:18" x14ac:dyDescent="0.25">
      <c r="A631" t="s">
        <v>884</v>
      </c>
      <c r="B631" s="1">
        <v>40589</v>
      </c>
      <c r="C631" s="1">
        <v>40594</v>
      </c>
      <c r="D631" t="s">
        <v>1</v>
      </c>
      <c r="E631" t="s">
        <v>885</v>
      </c>
      <c r="F631" t="s">
        <v>3</v>
      </c>
      <c r="G631" t="s">
        <v>795</v>
      </c>
      <c r="H631" t="s">
        <v>207</v>
      </c>
      <c r="I631" t="s">
        <v>29</v>
      </c>
      <c r="J631" t="s">
        <v>76</v>
      </c>
      <c r="K631" t="s">
        <v>32</v>
      </c>
      <c r="L631" t="s">
        <v>62</v>
      </c>
      <c r="M631">
        <v>273</v>
      </c>
      <c r="N631">
        <v>3</v>
      </c>
      <c r="O631">
        <v>0.7</v>
      </c>
      <c r="P631">
        <v>-499.97699999999998</v>
      </c>
      <c r="Q631">
        <v>21.13</v>
      </c>
      <c r="R631" t="s">
        <v>9</v>
      </c>
    </row>
    <row r="632" spans="1:18" x14ac:dyDescent="0.25">
      <c r="A632" t="s">
        <v>888</v>
      </c>
      <c r="B632" s="1">
        <v>40589</v>
      </c>
      <c r="C632" s="1">
        <v>40593</v>
      </c>
      <c r="D632" t="s">
        <v>1</v>
      </c>
      <c r="E632" t="s">
        <v>889</v>
      </c>
      <c r="F632" t="s">
        <v>43</v>
      </c>
      <c r="G632" t="s">
        <v>740</v>
      </c>
      <c r="H632" t="s">
        <v>126</v>
      </c>
      <c r="I632" t="s">
        <v>127</v>
      </c>
      <c r="J632" t="s">
        <v>192</v>
      </c>
      <c r="K632" t="s">
        <v>7</v>
      </c>
      <c r="L632" t="s">
        <v>16</v>
      </c>
      <c r="M632">
        <v>239</v>
      </c>
      <c r="N632">
        <v>2</v>
      </c>
      <c r="O632">
        <v>0</v>
      </c>
      <c r="P632">
        <v>4.7724000000000002</v>
      </c>
      <c r="Q632">
        <v>20.079999999999998</v>
      </c>
      <c r="R632" t="s">
        <v>9</v>
      </c>
    </row>
    <row r="633" spans="1:18" x14ac:dyDescent="0.25">
      <c r="A633" t="s">
        <v>883</v>
      </c>
      <c r="B633" s="1">
        <v>40589</v>
      </c>
      <c r="C633" s="1">
        <v>40595</v>
      </c>
      <c r="D633" t="s">
        <v>1</v>
      </c>
      <c r="E633" t="s">
        <v>217</v>
      </c>
      <c r="F633" t="s">
        <v>3</v>
      </c>
      <c r="G633" t="s">
        <v>59</v>
      </c>
      <c r="H633" t="s">
        <v>60</v>
      </c>
      <c r="I633" t="s">
        <v>14</v>
      </c>
      <c r="J633" t="s">
        <v>61</v>
      </c>
      <c r="K633" t="s">
        <v>38</v>
      </c>
      <c r="L633" t="s">
        <v>77</v>
      </c>
      <c r="M633">
        <v>137</v>
      </c>
      <c r="N633">
        <v>2</v>
      </c>
      <c r="O633">
        <v>0.25</v>
      </c>
      <c r="P633">
        <v>-1.845</v>
      </c>
      <c r="Q633">
        <v>16.420000000000002</v>
      </c>
      <c r="R633" t="s">
        <v>51</v>
      </c>
    </row>
    <row r="634" spans="1:18" x14ac:dyDescent="0.25">
      <c r="A634" t="s">
        <v>890</v>
      </c>
      <c r="B634" s="1">
        <v>40589</v>
      </c>
      <c r="C634" s="1">
        <v>40594</v>
      </c>
      <c r="D634" t="s">
        <v>1</v>
      </c>
      <c r="E634" t="s">
        <v>891</v>
      </c>
      <c r="F634" t="s">
        <v>3</v>
      </c>
      <c r="G634" t="s">
        <v>892</v>
      </c>
      <c r="H634" t="s">
        <v>893</v>
      </c>
      <c r="I634" t="s">
        <v>6</v>
      </c>
      <c r="J634" t="s">
        <v>6</v>
      </c>
      <c r="K634" t="s">
        <v>38</v>
      </c>
      <c r="L634" t="s">
        <v>39</v>
      </c>
      <c r="M634">
        <v>209</v>
      </c>
      <c r="N634">
        <v>4</v>
      </c>
      <c r="O634">
        <v>0</v>
      </c>
      <c r="P634">
        <v>4.08</v>
      </c>
      <c r="Q634">
        <v>15.22</v>
      </c>
      <c r="R634" t="s">
        <v>9</v>
      </c>
    </row>
    <row r="635" spans="1:18" x14ac:dyDescent="0.25">
      <c r="A635" t="s">
        <v>888</v>
      </c>
      <c r="B635" s="1">
        <v>40589</v>
      </c>
      <c r="C635" s="1">
        <v>40593</v>
      </c>
      <c r="D635" t="s">
        <v>1</v>
      </c>
      <c r="E635" t="s">
        <v>889</v>
      </c>
      <c r="F635" t="s">
        <v>43</v>
      </c>
      <c r="G635" t="s">
        <v>740</v>
      </c>
      <c r="H635" t="s">
        <v>126</v>
      </c>
      <c r="I635" t="s">
        <v>127</v>
      </c>
      <c r="J635" t="s">
        <v>192</v>
      </c>
      <c r="K635" t="s">
        <v>38</v>
      </c>
      <c r="L635" t="s">
        <v>82</v>
      </c>
      <c r="M635">
        <v>240</v>
      </c>
      <c r="N635">
        <v>3</v>
      </c>
      <c r="O635">
        <v>0</v>
      </c>
      <c r="P635">
        <v>86.389200000000002</v>
      </c>
      <c r="Q635">
        <v>13.45</v>
      </c>
      <c r="R635" t="s">
        <v>9</v>
      </c>
    </row>
    <row r="636" spans="1:18" x14ac:dyDescent="0.25">
      <c r="A636" t="s">
        <v>890</v>
      </c>
      <c r="B636" s="1">
        <v>40589</v>
      </c>
      <c r="C636" s="1">
        <v>40594</v>
      </c>
      <c r="D636" t="s">
        <v>1</v>
      </c>
      <c r="E636" t="s">
        <v>891</v>
      </c>
      <c r="F636" t="s">
        <v>3</v>
      </c>
      <c r="G636" t="s">
        <v>892</v>
      </c>
      <c r="H636" t="s">
        <v>893</v>
      </c>
      <c r="I636" t="s">
        <v>6</v>
      </c>
      <c r="J636" t="s">
        <v>6</v>
      </c>
      <c r="K636" t="s">
        <v>7</v>
      </c>
      <c r="L636" t="s">
        <v>8</v>
      </c>
      <c r="M636">
        <v>135</v>
      </c>
      <c r="N636">
        <v>1</v>
      </c>
      <c r="O636">
        <v>0</v>
      </c>
      <c r="P636">
        <v>63.24</v>
      </c>
      <c r="Q636">
        <v>13.08</v>
      </c>
      <c r="R636" t="s">
        <v>9</v>
      </c>
    </row>
    <row r="637" spans="1:18" x14ac:dyDescent="0.25">
      <c r="A637" t="s">
        <v>890</v>
      </c>
      <c r="B637" s="1">
        <v>40589</v>
      </c>
      <c r="C637" s="1">
        <v>40594</v>
      </c>
      <c r="D637" t="s">
        <v>1</v>
      </c>
      <c r="E637" t="s">
        <v>891</v>
      </c>
      <c r="F637" t="s">
        <v>3</v>
      </c>
      <c r="G637" t="s">
        <v>892</v>
      </c>
      <c r="H637" t="s">
        <v>893</v>
      </c>
      <c r="I637" t="s">
        <v>6</v>
      </c>
      <c r="J637" t="s">
        <v>6</v>
      </c>
      <c r="K637" t="s">
        <v>7</v>
      </c>
      <c r="L637" t="s">
        <v>91</v>
      </c>
      <c r="M637">
        <v>158</v>
      </c>
      <c r="N637">
        <v>6</v>
      </c>
      <c r="O637">
        <v>0</v>
      </c>
      <c r="P637">
        <v>64.8</v>
      </c>
      <c r="Q637">
        <v>10.16</v>
      </c>
      <c r="R637" t="s">
        <v>9</v>
      </c>
    </row>
    <row r="638" spans="1:18" x14ac:dyDescent="0.25">
      <c r="A638" t="s">
        <v>890</v>
      </c>
      <c r="B638" s="1">
        <v>40589</v>
      </c>
      <c r="C638" s="1">
        <v>40594</v>
      </c>
      <c r="D638" t="s">
        <v>1</v>
      </c>
      <c r="E638" t="s">
        <v>891</v>
      </c>
      <c r="F638" t="s">
        <v>3</v>
      </c>
      <c r="G638" t="s">
        <v>892</v>
      </c>
      <c r="H638" t="s">
        <v>893</v>
      </c>
      <c r="I638" t="s">
        <v>6</v>
      </c>
      <c r="J638" t="s">
        <v>6</v>
      </c>
      <c r="K638" t="s">
        <v>7</v>
      </c>
      <c r="L638" t="s">
        <v>44</v>
      </c>
      <c r="M638">
        <v>133</v>
      </c>
      <c r="N638">
        <v>2</v>
      </c>
      <c r="O638">
        <v>0</v>
      </c>
      <c r="P638">
        <v>1.32</v>
      </c>
      <c r="Q638">
        <v>9.99</v>
      </c>
      <c r="R638" t="s">
        <v>9</v>
      </c>
    </row>
    <row r="639" spans="1:18" x14ac:dyDescent="0.25">
      <c r="A639" t="s">
        <v>890</v>
      </c>
      <c r="B639" s="1">
        <v>40589</v>
      </c>
      <c r="C639" s="1">
        <v>40594</v>
      </c>
      <c r="D639" t="s">
        <v>1</v>
      </c>
      <c r="E639" t="s">
        <v>891</v>
      </c>
      <c r="F639" t="s">
        <v>3</v>
      </c>
      <c r="G639" t="s">
        <v>892</v>
      </c>
      <c r="H639" t="s">
        <v>893</v>
      </c>
      <c r="I639" t="s">
        <v>6</v>
      </c>
      <c r="J639" t="s">
        <v>6</v>
      </c>
      <c r="K639" t="s">
        <v>7</v>
      </c>
      <c r="L639" t="s">
        <v>91</v>
      </c>
      <c r="M639">
        <v>99</v>
      </c>
      <c r="N639">
        <v>2</v>
      </c>
      <c r="O639">
        <v>0</v>
      </c>
      <c r="P639">
        <v>23.82</v>
      </c>
      <c r="Q639">
        <v>9.19</v>
      </c>
      <c r="R639" t="s">
        <v>9</v>
      </c>
    </row>
    <row r="640" spans="1:18" x14ac:dyDescent="0.25">
      <c r="A640" t="s">
        <v>886</v>
      </c>
      <c r="B640" s="1">
        <v>40589</v>
      </c>
      <c r="C640" s="1">
        <v>40595</v>
      </c>
      <c r="D640" t="s">
        <v>1</v>
      </c>
      <c r="E640" t="s">
        <v>887</v>
      </c>
      <c r="F640" t="s">
        <v>43</v>
      </c>
      <c r="G640" t="s">
        <v>705</v>
      </c>
      <c r="H640" t="s">
        <v>276</v>
      </c>
      <c r="I640" t="s">
        <v>29</v>
      </c>
      <c r="J640" t="s">
        <v>102</v>
      </c>
      <c r="K640" t="s">
        <v>32</v>
      </c>
      <c r="L640" t="s">
        <v>33</v>
      </c>
      <c r="M640">
        <v>127</v>
      </c>
      <c r="N640">
        <v>3</v>
      </c>
      <c r="O640">
        <v>0</v>
      </c>
      <c r="P640">
        <v>19.079999999999998</v>
      </c>
      <c r="Q640">
        <v>8.5299999999999994</v>
      </c>
      <c r="R640" t="s">
        <v>9</v>
      </c>
    </row>
    <row r="641" spans="1:18" x14ac:dyDescent="0.25">
      <c r="A641" t="s">
        <v>890</v>
      </c>
      <c r="B641" s="1">
        <v>40589</v>
      </c>
      <c r="C641" s="1">
        <v>40594</v>
      </c>
      <c r="D641" t="s">
        <v>1</v>
      </c>
      <c r="E641" t="s">
        <v>891</v>
      </c>
      <c r="F641" t="s">
        <v>3</v>
      </c>
      <c r="G641" t="s">
        <v>892</v>
      </c>
      <c r="H641" t="s">
        <v>893</v>
      </c>
      <c r="I641" t="s">
        <v>6</v>
      </c>
      <c r="J641" t="s">
        <v>6</v>
      </c>
      <c r="K641" t="s">
        <v>7</v>
      </c>
      <c r="L641" t="s">
        <v>31</v>
      </c>
      <c r="M641">
        <v>95</v>
      </c>
      <c r="N641">
        <v>4</v>
      </c>
      <c r="O641">
        <v>0</v>
      </c>
      <c r="P641">
        <v>9.48</v>
      </c>
      <c r="Q641">
        <v>6.19</v>
      </c>
      <c r="R641" t="s">
        <v>9</v>
      </c>
    </row>
    <row r="642" spans="1:18" x14ac:dyDescent="0.25">
      <c r="A642" t="s">
        <v>890</v>
      </c>
      <c r="B642" s="1">
        <v>40589</v>
      </c>
      <c r="C642" s="1">
        <v>40594</v>
      </c>
      <c r="D642" t="s">
        <v>1</v>
      </c>
      <c r="E642" t="s">
        <v>891</v>
      </c>
      <c r="F642" t="s">
        <v>3</v>
      </c>
      <c r="G642" t="s">
        <v>892</v>
      </c>
      <c r="H642" t="s">
        <v>893</v>
      </c>
      <c r="I642" t="s">
        <v>6</v>
      </c>
      <c r="J642" t="s">
        <v>6</v>
      </c>
      <c r="K642" t="s">
        <v>32</v>
      </c>
      <c r="L642" t="s">
        <v>33</v>
      </c>
      <c r="M642">
        <v>55</v>
      </c>
      <c r="N642">
        <v>1</v>
      </c>
      <c r="O642">
        <v>0</v>
      </c>
      <c r="P642">
        <v>18.72</v>
      </c>
      <c r="Q642">
        <v>5.69</v>
      </c>
      <c r="R642" t="s">
        <v>9</v>
      </c>
    </row>
    <row r="643" spans="1:18" x14ac:dyDescent="0.25">
      <c r="A643" t="s">
        <v>888</v>
      </c>
      <c r="B643" s="1">
        <v>40589</v>
      </c>
      <c r="C643" s="1">
        <v>40593</v>
      </c>
      <c r="D643" t="s">
        <v>1</v>
      </c>
      <c r="E643" t="s">
        <v>889</v>
      </c>
      <c r="F643" t="s">
        <v>43</v>
      </c>
      <c r="G643" t="s">
        <v>740</v>
      </c>
      <c r="H643" t="s">
        <v>126</v>
      </c>
      <c r="I643" t="s">
        <v>127</v>
      </c>
      <c r="J643" t="s">
        <v>192</v>
      </c>
      <c r="K643" t="s">
        <v>7</v>
      </c>
      <c r="L643" t="s">
        <v>44</v>
      </c>
      <c r="M643">
        <v>82</v>
      </c>
      <c r="N643">
        <v>2</v>
      </c>
      <c r="O643">
        <v>0</v>
      </c>
      <c r="P643">
        <v>22.948799999999999</v>
      </c>
      <c r="Q643">
        <v>4.71</v>
      </c>
      <c r="R643" t="s">
        <v>9</v>
      </c>
    </row>
    <row r="644" spans="1:18" x14ac:dyDescent="0.25">
      <c r="A644" t="s">
        <v>890</v>
      </c>
      <c r="B644" s="1">
        <v>40589</v>
      </c>
      <c r="C644" s="1">
        <v>40594</v>
      </c>
      <c r="D644" t="s">
        <v>1</v>
      </c>
      <c r="E644" t="s">
        <v>891</v>
      </c>
      <c r="F644" t="s">
        <v>3</v>
      </c>
      <c r="G644" t="s">
        <v>892</v>
      </c>
      <c r="H644" t="s">
        <v>893</v>
      </c>
      <c r="I644" t="s">
        <v>6</v>
      </c>
      <c r="J644" t="s">
        <v>6</v>
      </c>
      <c r="K644" t="s">
        <v>7</v>
      </c>
      <c r="L644" t="s">
        <v>31</v>
      </c>
      <c r="M644">
        <v>31</v>
      </c>
      <c r="N644">
        <v>1</v>
      </c>
      <c r="O644">
        <v>0</v>
      </c>
      <c r="P644">
        <v>3.42</v>
      </c>
      <c r="Q644">
        <v>1.95</v>
      </c>
      <c r="R644" t="s">
        <v>9</v>
      </c>
    </row>
    <row r="645" spans="1:18" x14ac:dyDescent="0.25">
      <c r="A645" t="s">
        <v>894</v>
      </c>
      <c r="B645" s="1">
        <v>40589</v>
      </c>
      <c r="C645" s="1">
        <v>40594</v>
      </c>
      <c r="D645" t="s">
        <v>18</v>
      </c>
      <c r="E645" t="s">
        <v>789</v>
      </c>
      <c r="F645" t="s">
        <v>3</v>
      </c>
      <c r="G645" t="s">
        <v>125</v>
      </c>
      <c r="H645" t="s">
        <v>126</v>
      </c>
      <c r="I645" t="s">
        <v>127</v>
      </c>
      <c r="J645" t="s">
        <v>76</v>
      </c>
      <c r="K645" t="s">
        <v>7</v>
      </c>
      <c r="L645" t="s">
        <v>31</v>
      </c>
      <c r="M645">
        <v>16</v>
      </c>
      <c r="N645">
        <v>3</v>
      </c>
      <c r="O645">
        <v>0.2</v>
      </c>
      <c r="P645">
        <v>6.0659999999999998</v>
      </c>
      <c r="Q645">
        <v>1.27</v>
      </c>
      <c r="R645" t="s">
        <v>23</v>
      </c>
    </row>
    <row r="646" spans="1:18" x14ac:dyDescent="0.25">
      <c r="A646" t="s">
        <v>890</v>
      </c>
      <c r="B646" s="1">
        <v>40589</v>
      </c>
      <c r="C646" s="1">
        <v>40594</v>
      </c>
      <c r="D646" t="s">
        <v>1</v>
      </c>
      <c r="E646" t="s">
        <v>891</v>
      </c>
      <c r="F646" t="s">
        <v>3</v>
      </c>
      <c r="G646" t="s">
        <v>892</v>
      </c>
      <c r="H646" t="s">
        <v>893</v>
      </c>
      <c r="I646" t="s">
        <v>6</v>
      </c>
      <c r="J646" t="s">
        <v>6</v>
      </c>
      <c r="K646" t="s">
        <v>7</v>
      </c>
      <c r="L646" t="s">
        <v>97</v>
      </c>
      <c r="M646">
        <v>30</v>
      </c>
      <c r="N646">
        <v>2</v>
      </c>
      <c r="O646">
        <v>0</v>
      </c>
      <c r="P646">
        <v>12</v>
      </c>
      <c r="Q646">
        <v>0.95</v>
      </c>
      <c r="R646" t="s">
        <v>9</v>
      </c>
    </row>
    <row r="647" spans="1:18" x14ac:dyDescent="0.25">
      <c r="A647" t="s">
        <v>895</v>
      </c>
      <c r="B647" s="1">
        <v>40590</v>
      </c>
      <c r="C647" s="1">
        <v>40593</v>
      </c>
      <c r="D647" t="s">
        <v>18</v>
      </c>
      <c r="E647" t="s">
        <v>896</v>
      </c>
      <c r="F647" t="s">
        <v>43</v>
      </c>
      <c r="G647" t="s">
        <v>215</v>
      </c>
      <c r="H647" t="s">
        <v>115</v>
      </c>
      <c r="I647" t="s">
        <v>29</v>
      </c>
      <c r="J647" t="s">
        <v>76</v>
      </c>
      <c r="K647" t="s">
        <v>32</v>
      </c>
      <c r="L647" t="s">
        <v>56</v>
      </c>
      <c r="M647" s="2">
        <v>4544</v>
      </c>
      <c r="N647">
        <v>11</v>
      </c>
      <c r="O647">
        <v>0.1</v>
      </c>
      <c r="P647">
        <v>1868.13</v>
      </c>
      <c r="Q647">
        <v>506.27</v>
      </c>
      <c r="R647" t="s">
        <v>9</v>
      </c>
    </row>
    <row r="648" spans="1:18" x14ac:dyDescent="0.25">
      <c r="A648" t="s">
        <v>897</v>
      </c>
      <c r="B648" s="1">
        <v>40590</v>
      </c>
      <c r="C648" s="1">
        <v>40595</v>
      </c>
      <c r="D648" t="s">
        <v>1</v>
      </c>
      <c r="E648" t="s">
        <v>898</v>
      </c>
      <c r="F648" t="s">
        <v>26</v>
      </c>
      <c r="G648" t="s">
        <v>899</v>
      </c>
      <c r="H648" t="s">
        <v>280</v>
      </c>
      <c r="I648" t="s">
        <v>14</v>
      </c>
      <c r="J648" t="s">
        <v>281</v>
      </c>
      <c r="K648" t="s">
        <v>38</v>
      </c>
      <c r="L648" t="s">
        <v>39</v>
      </c>
      <c r="M648" s="2">
        <v>1211</v>
      </c>
      <c r="N648">
        <v>7</v>
      </c>
      <c r="O648">
        <v>0</v>
      </c>
      <c r="P648">
        <v>423.78</v>
      </c>
      <c r="Q648">
        <v>113.03</v>
      </c>
      <c r="R648" t="s">
        <v>9</v>
      </c>
    </row>
    <row r="649" spans="1:18" x14ac:dyDescent="0.25">
      <c r="A649" t="s">
        <v>900</v>
      </c>
      <c r="B649" s="1">
        <v>40590</v>
      </c>
      <c r="C649" s="1">
        <v>40594</v>
      </c>
      <c r="D649" t="s">
        <v>1</v>
      </c>
      <c r="E649" t="s">
        <v>901</v>
      </c>
      <c r="F649" t="s">
        <v>43</v>
      </c>
      <c r="G649" t="s">
        <v>567</v>
      </c>
      <c r="H649" t="s">
        <v>110</v>
      </c>
      <c r="I649" t="s">
        <v>75</v>
      </c>
      <c r="J649" t="s">
        <v>111</v>
      </c>
      <c r="K649" t="s">
        <v>38</v>
      </c>
      <c r="L649" t="s">
        <v>82</v>
      </c>
      <c r="M649">
        <v>517</v>
      </c>
      <c r="N649">
        <v>3</v>
      </c>
      <c r="O649">
        <v>0</v>
      </c>
      <c r="P649">
        <v>180.96</v>
      </c>
      <c r="Q649">
        <v>48.23</v>
      </c>
      <c r="R649" t="s">
        <v>9</v>
      </c>
    </row>
    <row r="650" spans="1:18" x14ac:dyDescent="0.25">
      <c r="A650" t="s">
        <v>895</v>
      </c>
      <c r="B650" s="1">
        <v>40590</v>
      </c>
      <c r="C650" s="1">
        <v>40593</v>
      </c>
      <c r="D650" t="s">
        <v>18</v>
      </c>
      <c r="E650" t="s">
        <v>896</v>
      </c>
      <c r="F650" t="s">
        <v>43</v>
      </c>
      <c r="G650" t="s">
        <v>215</v>
      </c>
      <c r="H650" t="s">
        <v>115</v>
      </c>
      <c r="I650" t="s">
        <v>29</v>
      </c>
      <c r="J650" t="s">
        <v>76</v>
      </c>
      <c r="K650" t="s">
        <v>7</v>
      </c>
      <c r="L650" t="s">
        <v>44</v>
      </c>
      <c r="M650">
        <v>277</v>
      </c>
      <c r="N650">
        <v>1</v>
      </c>
      <c r="O650">
        <v>0.1</v>
      </c>
      <c r="P650">
        <v>-2.7E-2</v>
      </c>
      <c r="Q650">
        <v>27.94</v>
      </c>
      <c r="R650" t="s">
        <v>9</v>
      </c>
    </row>
    <row r="651" spans="1:18" x14ac:dyDescent="0.25">
      <c r="A651" t="s">
        <v>902</v>
      </c>
      <c r="B651" s="1">
        <v>40590</v>
      </c>
      <c r="C651" s="1">
        <v>40595</v>
      </c>
      <c r="D651" t="s">
        <v>1</v>
      </c>
      <c r="E651" t="s">
        <v>903</v>
      </c>
      <c r="F651" t="s">
        <v>43</v>
      </c>
      <c r="G651" t="s">
        <v>332</v>
      </c>
      <c r="H651" t="s">
        <v>13</v>
      </c>
      <c r="I651" t="s">
        <v>14</v>
      </c>
      <c r="J651" t="s">
        <v>15</v>
      </c>
      <c r="K651" t="s">
        <v>38</v>
      </c>
      <c r="L651" t="s">
        <v>39</v>
      </c>
      <c r="M651">
        <v>480</v>
      </c>
      <c r="N651">
        <v>2</v>
      </c>
      <c r="O651">
        <v>0.1</v>
      </c>
      <c r="P651">
        <v>58.637999999999998</v>
      </c>
      <c r="Q651">
        <v>26.73</v>
      </c>
      <c r="R651" t="s">
        <v>9</v>
      </c>
    </row>
    <row r="652" spans="1:18" x14ac:dyDescent="0.25">
      <c r="A652" t="s">
        <v>902</v>
      </c>
      <c r="B652" s="1">
        <v>40590</v>
      </c>
      <c r="C652" s="1">
        <v>40595</v>
      </c>
      <c r="D652" t="s">
        <v>1</v>
      </c>
      <c r="E652" t="s">
        <v>903</v>
      </c>
      <c r="F652" t="s">
        <v>43</v>
      </c>
      <c r="G652" t="s">
        <v>332</v>
      </c>
      <c r="H652" t="s">
        <v>13</v>
      </c>
      <c r="I652" t="s">
        <v>14</v>
      </c>
      <c r="J652" t="s">
        <v>15</v>
      </c>
      <c r="K652" t="s">
        <v>32</v>
      </c>
      <c r="L652" t="s">
        <v>56</v>
      </c>
      <c r="M652">
        <v>476</v>
      </c>
      <c r="N652">
        <v>3</v>
      </c>
      <c r="O652">
        <v>0.1</v>
      </c>
      <c r="P652">
        <v>15.831</v>
      </c>
      <c r="Q652">
        <v>25.88</v>
      </c>
      <c r="R652" t="s">
        <v>9</v>
      </c>
    </row>
    <row r="653" spans="1:18" x14ac:dyDescent="0.25">
      <c r="A653" t="s">
        <v>895</v>
      </c>
      <c r="B653" s="1">
        <v>40590</v>
      </c>
      <c r="C653" s="1">
        <v>40593</v>
      </c>
      <c r="D653" t="s">
        <v>18</v>
      </c>
      <c r="E653" t="s">
        <v>896</v>
      </c>
      <c r="F653" t="s">
        <v>43</v>
      </c>
      <c r="G653" t="s">
        <v>215</v>
      </c>
      <c r="H653" t="s">
        <v>115</v>
      </c>
      <c r="I653" t="s">
        <v>29</v>
      </c>
      <c r="J653" t="s">
        <v>76</v>
      </c>
      <c r="K653" t="s">
        <v>38</v>
      </c>
      <c r="L653" t="s">
        <v>77</v>
      </c>
      <c r="M653">
        <v>284</v>
      </c>
      <c r="N653">
        <v>2</v>
      </c>
      <c r="O653">
        <v>0.15</v>
      </c>
      <c r="P653">
        <v>43.371000000000002</v>
      </c>
      <c r="Q653">
        <v>23.67</v>
      </c>
      <c r="R653" t="s">
        <v>9</v>
      </c>
    </row>
    <row r="654" spans="1:18" x14ac:dyDescent="0.25">
      <c r="A654" t="s">
        <v>902</v>
      </c>
      <c r="B654" s="1">
        <v>40590</v>
      </c>
      <c r="C654" s="1">
        <v>40595</v>
      </c>
      <c r="D654" t="s">
        <v>1</v>
      </c>
      <c r="E654" t="s">
        <v>903</v>
      </c>
      <c r="F654" t="s">
        <v>43</v>
      </c>
      <c r="G654" t="s">
        <v>332</v>
      </c>
      <c r="H654" t="s">
        <v>13</v>
      </c>
      <c r="I654" t="s">
        <v>14</v>
      </c>
      <c r="J654" t="s">
        <v>15</v>
      </c>
      <c r="K654" t="s">
        <v>32</v>
      </c>
      <c r="L654" t="s">
        <v>56</v>
      </c>
      <c r="M654">
        <v>292</v>
      </c>
      <c r="N654">
        <v>2</v>
      </c>
      <c r="O654">
        <v>0.1</v>
      </c>
      <c r="P654">
        <v>38.874000000000002</v>
      </c>
      <c r="Q654">
        <v>12.64</v>
      </c>
      <c r="R654" t="s">
        <v>9</v>
      </c>
    </row>
    <row r="655" spans="1:18" x14ac:dyDescent="0.25">
      <c r="A655" t="s">
        <v>900</v>
      </c>
      <c r="B655" s="1">
        <v>40590</v>
      </c>
      <c r="C655" s="1">
        <v>40594</v>
      </c>
      <c r="D655" t="s">
        <v>1</v>
      </c>
      <c r="E655" t="s">
        <v>901</v>
      </c>
      <c r="F655" t="s">
        <v>43</v>
      </c>
      <c r="G655" t="s">
        <v>567</v>
      </c>
      <c r="H655" t="s">
        <v>110</v>
      </c>
      <c r="I655" t="s">
        <v>75</v>
      </c>
      <c r="J655" t="s">
        <v>111</v>
      </c>
      <c r="K655" t="s">
        <v>7</v>
      </c>
      <c r="L655" t="s">
        <v>44</v>
      </c>
      <c r="M655">
        <v>239</v>
      </c>
      <c r="N655">
        <v>5</v>
      </c>
      <c r="O655">
        <v>0</v>
      </c>
      <c r="P655">
        <v>31.1</v>
      </c>
      <c r="Q655">
        <v>12.28</v>
      </c>
      <c r="R655" t="s">
        <v>9</v>
      </c>
    </row>
    <row r="656" spans="1:18" x14ac:dyDescent="0.25">
      <c r="A656" t="s">
        <v>897</v>
      </c>
      <c r="B656" s="1">
        <v>40590</v>
      </c>
      <c r="C656" s="1">
        <v>40595</v>
      </c>
      <c r="D656" t="s">
        <v>1</v>
      </c>
      <c r="E656" t="s">
        <v>898</v>
      </c>
      <c r="F656" t="s">
        <v>26</v>
      </c>
      <c r="G656" t="s">
        <v>899</v>
      </c>
      <c r="H656" t="s">
        <v>280</v>
      </c>
      <c r="I656" t="s">
        <v>14</v>
      </c>
      <c r="J656" t="s">
        <v>281</v>
      </c>
      <c r="K656" t="s">
        <v>32</v>
      </c>
      <c r="L656" t="s">
        <v>33</v>
      </c>
      <c r="M656">
        <v>150</v>
      </c>
      <c r="N656">
        <v>3</v>
      </c>
      <c r="O656">
        <v>0</v>
      </c>
      <c r="P656">
        <v>58.5</v>
      </c>
      <c r="Q656">
        <v>8.48</v>
      </c>
      <c r="R656" t="s">
        <v>9</v>
      </c>
    </row>
    <row r="657" spans="1:18" x14ac:dyDescent="0.25">
      <c r="A657" t="s">
        <v>900</v>
      </c>
      <c r="B657" s="1">
        <v>40590</v>
      </c>
      <c r="C657" s="1">
        <v>40594</v>
      </c>
      <c r="D657" t="s">
        <v>1</v>
      </c>
      <c r="E657" t="s">
        <v>901</v>
      </c>
      <c r="F657" t="s">
        <v>43</v>
      </c>
      <c r="G657" t="s">
        <v>567</v>
      </c>
      <c r="H657" t="s">
        <v>110</v>
      </c>
      <c r="I657" t="s">
        <v>75</v>
      </c>
      <c r="J657" t="s">
        <v>111</v>
      </c>
      <c r="K657" t="s">
        <v>38</v>
      </c>
      <c r="L657" t="s">
        <v>50</v>
      </c>
      <c r="M657">
        <v>294</v>
      </c>
      <c r="N657">
        <v>3</v>
      </c>
      <c r="O657">
        <v>2E-3</v>
      </c>
      <c r="P657">
        <v>49.450800000000001</v>
      </c>
      <c r="Q657">
        <v>7.47</v>
      </c>
      <c r="R657" t="s">
        <v>9</v>
      </c>
    </row>
    <row r="658" spans="1:18" x14ac:dyDescent="0.25">
      <c r="A658" t="s">
        <v>895</v>
      </c>
      <c r="B658" s="1">
        <v>40590</v>
      </c>
      <c r="C658" s="1">
        <v>40593</v>
      </c>
      <c r="D658" t="s">
        <v>18</v>
      </c>
      <c r="E658" t="s">
        <v>896</v>
      </c>
      <c r="F658" t="s">
        <v>43</v>
      </c>
      <c r="G658" t="s">
        <v>215</v>
      </c>
      <c r="H658" t="s">
        <v>115</v>
      </c>
      <c r="I658" t="s">
        <v>29</v>
      </c>
      <c r="J658" t="s">
        <v>76</v>
      </c>
      <c r="K658" t="s">
        <v>7</v>
      </c>
      <c r="L658" t="s">
        <v>91</v>
      </c>
      <c r="M658">
        <v>90</v>
      </c>
      <c r="N658">
        <v>6</v>
      </c>
      <c r="O658">
        <v>0</v>
      </c>
      <c r="P658">
        <v>32.22</v>
      </c>
      <c r="Q658">
        <v>6.89</v>
      </c>
      <c r="R658" t="s">
        <v>9</v>
      </c>
    </row>
    <row r="659" spans="1:18" x14ac:dyDescent="0.25">
      <c r="A659" t="s">
        <v>584</v>
      </c>
      <c r="B659" s="1">
        <v>40590</v>
      </c>
      <c r="C659" s="1">
        <v>40594</v>
      </c>
      <c r="D659" t="s">
        <v>1</v>
      </c>
      <c r="E659" t="s">
        <v>904</v>
      </c>
      <c r="F659" t="s">
        <v>43</v>
      </c>
      <c r="G659" t="s">
        <v>596</v>
      </c>
      <c r="H659" t="s">
        <v>115</v>
      </c>
      <c r="I659" t="s">
        <v>29</v>
      </c>
      <c r="J659" t="s">
        <v>76</v>
      </c>
      <c r="K659" t="s">
        <v>38</v>
      </c>
      <c r="L659" t="s">
        <v>77</v>
      </c>
      <c r="M659">
        <v>105</v>
      </c>
      <c r="N659">
        <v>1</v>
      </c>
      <c r="O659">
        <v>0.15</v>
      </c>
      <c r="P659">
        <v>30.8415</v>
      </c>
      <c r="Q659">
        <v>5.83</v>
      </c>
      <c r="R659" t="s">
        <v>9</v>
      </c>
    </row>
    <row r="660" spans="1:18" x14ac:dyDescent="0.25">
      <c r="A660" t="s">
        <v>905</v>
      </c>
      <c r="B660" s="1">
        <v>40590</v>
      </c>
      <c r="C660" s="1">
        <v>40594</v>
      </c>
      <c r="D660" t="s">
        <v>18</v>
      </c>
      <c r="E660" t="s">
        <v>906</v>
      </c>
      <c r="F660" t="s">
        <v>3</v>
      </c>
      <c r="G660" t="s">
        <v>459</v>
      </c>
      <c r="H660" t="s">
        <v>345</v>
      </c>
      <c r="I660" t="s">
        <v>75</v>
      </c>
      <c r="J660" t="s">
        <v>76</v>
      </c>
      <c r="K660" t="s">
        <v>32</v>
      </c>
      <c r="L660" t="s">
        <v>33</v>
      </c>
      <c r="M660">
        <v>80</v>
      </c>
      <c r="N660">
        <v>5</v>
      </c>
      <c r="O660">
        <v>0</v>
      </c>
      <c r="P660">
        <v>1.5</v>
      </c>
      <c r="Q660">
        <v>4.3899999999999997</v>
      </c>
      <c r="R660" t="s">
        <v>9</v>
      </c>
    </row>
    <row r="661" spans="1:18" x14ac:dyDescent="0.25">
      <c r="A661" t="s">
        <v>584</v>
      </c>
      <c r="B661" s="1">
        <v>40590</v>
      </c>
      <c r="C661" s="1">
        <v>40594</v>
      </c>
      <c r="D661" t="s">
        <v>1</v>
      </c>
      <c r="E661" t="s">
        <v>904</v>
      </c>
      <c r="F661" t="s">
        <v>43</v>
      </c>
      <c r="G661" t="s">
        <v>596</v>
      </c>
      <c r="H661" t="s">
        <v>115</v>
      </c>
      <c r="I661" t="s">
        <v>29</v>
      </c>
      <c r="J661" t="s">
        <v>76</v>
      </c>
      <c r="K661" t="s">
        <v>7</v>
      </c>
      <c r="L661" t="s">
        <v>31</v>
      </c>
      <c r="M661">
        <v>62</v>
      </c>
      <c r="N661">
        <v>4</v>
      </c>
      <c r="O661">
        <v>0</v>
      </c>
      <c r="P661">
        <v>0</v>
      </c>
      <c r="Q661">
        <v>3.13</v>
      </c>
      <c r="R661" t="s">
        <v>9</v>
      </c>
    </row>
    <row r="662" spans="1:18" x14ac:dyDescent="0.25">
      <c r="A662" t="s">
        <v>907</v>
      </c>
      <c r="B662" s="1">
        <v>40590</v>
      </c>
      <c r="C662" s="1">
        <v>40594</v>
      </c>
      <c r="D662" t="s">
        <v>1</v>
      </c>
      <c r="E662" t="s">
        <v>908</v>
      </c>
      <c r="F662" t="s">
        <v>43</v>
      </c>
      <c r="G662" t="s">
        <v>740</v>
      </c>
      <c r="H662" t="s">
        <v>126</v>
      </c>
      <c r="I662" t="s">
        <v>127</v>
      </c>
      <c r="J662" t="s">
        <v>192</v>
      </c>
      <c r="K662" t="s">
        <v>7</v>
      </c>
      <c r="L662" t="s">
        <v>137</v>
      </c>
      <c r="M662">
        <v>21</v>
      </c>
      <c r="N662">
        <v>5</v>
      </c>
      <c r="O662">
        <v>0.2</v>
      </c>
      <c r="P662">
        <v>7.2089999999999996</v>
      </c>
      <c r="Q662">
        <v>2.41</v>
      </c>
      <c r="R662" t="s">
        <v>9</v>
      </c>
    </row>
    <row r="663" spans="1:18" x14ac:dyDescent="0.25">
      <c r="A663" t="s">
        <v>897</v>
      </c>
      <c r="B663" s="1">
        <v>40590</v>
      </c>
      <c r="C663" s="1">
        <v>40595</v>
      </c>
      <c r="D663" t="s">
        <v>1</v>
      </c>
      <c r="E663" t="s">
        <v>898</v>
      </c>
      <c r="F663" t="s">
        <v>26</v>
      </c>
      <c r="G663" t="s">
        <v>899</v>
      </c>
      <c r="H663" t="s">
        <v>280</v>
      </c>
      <c r="I663" t="s">
        <v>14</v>
      </c>
      <c r="J663" t="s">
        <v>281</v>
      </c>
      <c r="K663" t="s">
        <v>7</v>
      </c>
      <c r="L663" t="s">
        <v>87</v>
      </c>
      <c r="M663">
        <v>40</v>
      </c>
      <c r="N663">
        <v>3</v>
      </c>
      <c r="O663">
        <v>0</v>
      </c>
      <c r="P663">
        <v>8.73</v>
      </c>
      <c r="Q663">
        <v>2.35</v>
      </c>
      <c r="R663" t="s">
        <v>9</v>
      </c>
    </row>
    <row r="664" spans="1:18" x14ac:dyDescent="0.25">
      <c r="A664" t="s">
        <v>897</v>
      </c>
      <c r="B664" s="1">
        <v>40590</v>
      </c>
      <c r="C664" s="1">
        <v>40595</v>
      </c>
      <c r="D664" t="s">
        <v>1</v>
      </c>
      <c r="E664" t="s">
        <v>898</v>
      </c>
      <c r="F664" t="s">
        <v>26</v>
      </c>
      <c r="G664" t="s">
        <v>899</v>
      </c>
      <c r="H664" t="s">
        <v>280</v>
      </c>
      <c r="I664" t="s">
        <v>14</v>
      </c>
      <c r="J664" t="s">
        <v>281</v>
      </c>
      <c r="K664" t="s">
        <v>32</v>
      </c>
      <c r="L664" t="s">
        <v>67</v>
      </c>
      <c r="M664">
        <v>123</v>
      </c>
      <c r="N664">
        <v>1</v>
      </c>
      <c r="O664">
        <v>0</v>
      </c>
      <c r="P664">
        <v>50.61</v>
      </c>
      <c r="Q664">
        <v>1.34</v>
      </c>
      <c r="R664" t="s">
        <v>9</v>
      </c>
    </row>
    <row r="665" spans="1:18" x14ac:dyDescent="0.25">
      <c r="A665" t="s">
        <v>584</v>
      </c>
      <c r="B665" s="1">
        <v>40590</v>
      </c>
      <c r="C665" s="1">
        <v>40594</v>
      </c>
      <c r="D665" t="s">
        <v>1</v>
      </c>
      <c r="E665" t="s">
        <v>904</v>
      </c>
      <c r="F665" t="s">
        <v>43</v>
      </c>
      <c r="G665" t="s">
        <v>596</v>
      </c>
      <c r="H665" t="s">
        <v>115</v>
      </c>
      <c r="I665" t="s">
        <v>29</v>
      </c>
      <c r="J665" t="s">
        <v>76</v>
      </c>
      <c r="K665" t="s">
        <v>7</v>
      </c>
      <c r="L665" t="s">
        <v>91</v>
      </c>
      <c r="M665">
        <v>38</v>
      </c>
      <c r="N665">
        <v>2</v>
      </c>
      <c r="O665">
        <v>0</v>
      </c>
      <c r="P665">
        <v>8.4</v>
      </c>
      <c r="Q665">
        <v>1.32</v>
      </c>
      <c r="R665" t="s">
        <v>9</v>
      </c>
    </row>
    <row r="666" spans="1:18" x14ac:dyDescent="0.25">
      <c r="A666" t="s">
        <v>900</v>
      </c>
      <c r="B666" s="1">
        <v>40590</v>
      </c>
      <c r="C666" s="1">
        <v>40594</v>
      </c>
      <c r="D666" t="s">
        <v>1</v>
      </c>
      <c r="E666" t="s">
        <v>901</v>
      </c>
      <c r="F666" t="s">
        <v>43</v>
      </c>
      <c r="G666" t="s">
        <v>567</v>
      </c>
      <c r="H666" t="s">
        <v>110</v>
      </c>
      <c r="I666" t="s">
        <v>75</v>
      </c>
      <c r="J666" t="s">
        <v>111</v>
      </c>
      <c r="K666" t="s">
        <v>7</v>
      </c>
      <c r="L666" t="s">
        <v>137</v>
      </c>
      <c r="M666">
        <v>11</v>
      </c>
      <c r="N666">
        <v>2</v>
      </c>
      <c r="O666">
        <v>0</v>
      </c>
      <c r="P666">
        <v>4.4800000000000004</v>
      </c>
      <c r="Q666">
        <v>0.7</v>
      </c>
      <c r="R666" t="s">
        <v>9</v>
      </c>
    </row>
    <row r="667" spans="1:18" x14ac:dyDescent="0.25">
      <c r="A667" t="s">
        <v>909</v>
      </c>
      <c r="B667" s="1">
        <v>40591</v>
      </c>
      <c r="C667" s="1">
        <v>40596</v>
      </c>
      <c r="D667" t="s">
        <v>1</v>
      </c>
      <c r="E667" t="s">
        <v>910</v>
      </c>
      <c r="F667" t="s">
        <v>26</v>
      </c>
      <c r="G667" t="s">
        <v>74</v>
      </c>
      <c r="H667" t="s">
        <v>74</v>
      </c>
      <c r="I667" t="s">
        <v>75</v>
      </c>
      <c r="J667" t="s">
        <v>76</v>
      </c>
      <c r="K667" t="s">
        <v>38</v>
      </c>
      <c r="L667" t="s">
        <v>77</v>
      </c>
      <c r="M667">
        <v>309</v>
      </c>
      <c r="N667">
        <v>3</v>
      </c>
      <c r="O667">
        <v>0</v>
      </c>
      <c r="P667">
        <v>102.06</v>
      </c>
      <c r="Q667">
        <v>26.54</v>
      </c>
      <c r="R667" t="s">
        <v>23</v>
      </c>
    </row>
    <row r="668" spans="1:18" x14ac:dyDescent="0.25">
      <c r="A668" t="s">
        <v>909</v>
      </c>
      <c r="B668" s="1">
        <v>40591</v>
      </c>
      <c r="C668" s="1">
        <v>40596</v>
      </c>
      <c r="D668" t="s">
        <v>1</v>
      </c>
      <c r="E668" t="s">
        <v>910</v>
      </c>
      <c r="F668" t="s">
        <v>26</v>
      </c>
      <c r="G668" t="s">
        <v>74</v>
      </c>
      <c r="H668" t="s">
        <v>74</v>
      </c>
      <c r="I668" t="s">
        <v>75</v>
      </c>
      <c r="J668" t="s">
        <v>76</v>
      </c>
      <c r="K668" t="s">
        <v>32</v>
      </c>
      <c r="L668" t="s">
        <v>33</v>
      </c>
      <c r="M668">
        <v>67</v>
      </c>
      <c r="N668">
        <v>5</v>
      </c>
      <c r="O668">
        <v>0</v>
      </c>
      <c r="P668">
        <v>2.6</v>
      </c>
      <c r="Q668">
        <v>11.37</v>
      </c>
      <c r="R668" t="s">
        <v>23</v>
      </c>
    </row>
    <row r="669" spans="1:18" x14ac:dyDescent="0.25">
      <c r="A669" t="s">
        <v>911</v>
      </c>
      <c r="B669" s="1">
        <v>40591</v>
      </c>
      <c r="C669" s="1">
        <v>40593</v>
      </c>
      <c r="D669" t="s">
        <v>142</v>
      </c>
      <c r="E669" t="s">
        <v>912</v>
      </c>
      <c r="F669" t="s">
        <v>43</v>
      </c>
      <c r="G669" t="s">
        <v>913</v>
      </c>
      <c r="H669" t="s">
        <v>169</v>
      </c>
      <c r="I669" t="s">
        <v>14</v>
      </c>
      <c r="J669" t="s">
        <v>132</v>
      </c>
      <c r="K669" t="s">
        <v>7</v>
      </c>
      <c r="L669" t="s">
        <v>97</v>
      </c>
      <c r="M669">
        <v>70</v>
      </c>
      <c r="N669">
        <v>5</v>
      </c>
      <c r="O669">
        <v>0</v>
      </c>
      <c r="P669">
        <v>29.4</v>
      </c>
      <c r="Q669">
        <v>10.97</v>
      </c>
      <c r="R669" t="s">
        <v>45</v>
      </c>
    </row>
    <row r="670" spans="1:18" x14ac:dyDescent="0.25">
      <c r="A670" t="s">
        <v>914</v>
      </c>
      <c r="B670" s="1">
        <v>40591</v>
      </c>
      <c r="C670" s="1">
        <v>40596</v>
      </c>
      <c r="D670" t="s">
        <v>1</v>
      </c>
      <c r="E670" t="s">
        <v>863</v>
      </c>
      <c r="F670" t="s">
        <v>26</v>
      </c>
      <c r="G670" t="s">
        <v>264</v>
      </c>
      <c r="H670" t="s">
        <v>86</v>
      </c>
      <c r="I670" t="s">
        <v>14</v>
      </c>
      <c r="J670" t="s">
        <v>61</v>
      </c>
      <c r="K670" t="s">
        <v>7</v>
      </c>
      <c r="L670" t="s">
        <v>137</v>
      </c>
      <c r="M670">
        <v>127</v>
      </c>
      <c r="N670">
        <v>3</v>
      </c>
      <c r="O670">
        <v>0.17</v>
      </c>
      <c r="P670">
        <v>-25.948799999999999</v>
      </c>
      <c r="Q670">
        <v>7.69</v>
      </c>
      <c r="R670" t="s">
        <v>9</v>
      </c>
    </row>
    <row r="671" spans="1:18" x14ac:dyDescent="0.25">
      <c r="A671" t="s">
        <v>909</v>
      </c>
      <c r="B671" s="1">
        <v>40591</v>
      </c>
      <c r="C671" s="1">
        <v>40596</v>
      </c>
      <c r="D671" t="s">
        <v>1</v>
      </c>
      <c r="E671" t="s">
        <v>910</v>
      </c>
      <c r="F671" t="s">
        <v>26</v>
      </c>
      <c r="G671" t="s">
        <v>74</v>
      </c>
      <c r="H671" t="s">
        <v>74</v>
      </c>
      <c r="I671" t="s">
        <v>75</v>
      </c>
      <c r="J671" t="s">
        <v>76</v>
      </c>
      <c r="K671" t="s">
        <v>7</v>
      </c>
      <c r="L671" t="s">
        <v>96</v>
      </c>
      <c r="M671">
        <v>29</v>
      </c>
      <c r="N671">
        <v>2</v>
      </c>
      <c r="O671">
        <v>0</v>
      </c>
      <c r="P671">
        <v>13.96</v>
      </c>
      <c r="Q671">
        <v>2.5299999999999998</v>
      </c>
      <c r="R671" t="s">
        <v>23</v>
      </c>
    </row>
    <row r="672" spans="1:18" x14ac:dyDescent="0.25">
      <c r="A672" t="s">
        <v>915</v>
      </c>
      <c r="B672" s="1">
        <v>40591</v>
      </c>
      <c r="C672" s="1">
        <v>40593</v>
      </c>
      <c r="D672" t="s">
        <v>142</v>
      </c>
      <c r="E672" t="s">
        <v>916</v>
      </c>
      <c r="F672" t="s">
        <v>3</v>
      </c>
      <c r="G672" t="s">
        <v>917</v>
      </c>
      <c r="H672" t="s">
        <v>837</v>
      </c>
      <c r="I672" t="s">
        <v>6</v>
      </c>
      <c r="J672" t="s">
        <v>6</v>
      </c>
      <c r="K672" t="s">
        <v>7</v>
      </c>
      <c r="L672" t="s">
        <v>91</v>
      </c>
      <c r="M672">
        <v>8</v>
      </c>
      <c r="N672">
        <v>1</v>
      </c>
      <c r="O672">
        <v>0.7</v>
      </c>
      <c r="P672">
        <v>-14.468999999999999</v>
      </c>
      <c r="Q672">
        <v>2.38</v>
      </c>
      <c r="R672" t="s">
        <v>9</v>
      </c>
    </row>
    <row r="673" spans="1:18" x14ac:dyDescent="0.25">
      <c r="A673" t="s">
        <v>918</v>
      </c>
      <c r="B673" s="1">
        <v>40591</v>
      </c>
      <c r="C673" s="1">
        <v>40596</v>
      </c>
      <c r="D673" t="s">
        <v>1</v>
      </c>
      <c r="E673" t="s">
        <v>919</v>
      </c>
      <c r="F673" t="s">
        <v>3</v>
      </c>
      <c r="G673" t="s">
        <v>125</v>
      </c>
      <c r="H673" t="s">
        <v>126</v>
      </c>
      <c r="I673" t="s">
        <v>127</v>
      </c>
      <c r="J673" t="s">
        <v>76</v>
      </c>
      <c r="K673" t="s">
        <v>7</v>
      </c>
      <c r="L673" t="s">
        <v>44</v>
      </c>
      <c r="M673">
        <v>8</v>
      </c>
      <c r="N673">
        <v>2</v>
      </c>
      <c r="O673">
        <v>0.8</v>
      </c>
      <c r="P673">
        <v>-13.93</v>
      </c>
      <c r="Q673">
        <v>0.92</v>
      </c>
      <c r="R673" t="s">
        <v>23</v>
      </c>
    </row>
    <row r="674" spans="1:18" x14ac:dyDescent="0.25">
      <c r="A674" t="s">
        <v>920</v>
      </c>
      <c r="B674" s="1">
        <v>40591</v>
      </c>
      <c r="C674" s="1">
        <v>40596</v>
      </c>
      <c r="D674" t="s">
        <v>1</v>
      </c>
      <c r="E674" t="s">
        <v>316</v>
      </c>
      <c r="F674" t="s">
        <v>3</v>
      </c>
      <c r="G674" t="s">
        <v>222</v>
      </c>
      <c r="H674" t="s">
        <v>223</v>
      </c>
      <c r="I674" t="s">
        <v>6</v>
      </c>
      <c r="J674" t="s">
        <v>6</v>
      </c>
      <c r="K674" t="s">
        <v>7</v>
      </c>
      <c r="L674" t="s">
        <v>87</v>
      </c>
      <c r="M674">
        <v>6</v>
      </c>
      <c r="N674">
        <v>2</v>
      </c>
      <c r="O674">
        <v>0.7</v>
      </c>
      <c r="P674">
        <v>-7.05</v>
      </c>
      <c r="Q674">
        <v>0.56000000000000005</v>
      </c>
      <c r="R674" t="s">
        <v>9</v>
      </c>
    </row>
    <row r="675" spans="1:18" x14ac:dyDescent="0.25">
      <c r="A675" t="s">
        <v>915</v>
      </c>
      <c r="B675" s="1">
        <v>40591</v>
      </c>
      <c r="C675" s="1">
        <v>40593</v>
      </c>
      <c r="D675" t="s">
        <v>142</v>
      </c>
      <c r="E675" t="s">
        <v>916</v>
      </c>
      <c r="F675" t="s">
        <v>3</v>
      </c>
      <c r="G675" t="s">
        <v>917</v>
      </c>
      <c r="H675" t="s">
        <v>837</v>
      </c>
      <c r="I675" t="s">
        <v>6</v>
      </c>
      <c r="J675" t="s">
        <v>6</v>
      </c>
      <c r="K675" t="s">
        <v>7</v>
      </c>
      <c r="L675" t="s">
        <v>91</v>
      </c>
      <c r="M675">
        <v>6</v>
      </c>
      <c r="N675">
        <v>1</v>
      </c>
      <c r="O675">
        <v>0.7</v>
      </c>
      <c r="P675">
        <v>-6.4409999999999998</v>
      </c>
      <c r="Q675">
        <v>0.4</v>
      </c>
      <c r="R675" t="s">
        <v>9</v>
      </c>
    </row>
    <row r="676" spans="1:18" x14ac:dyDescent="0.25">
      <c r="A676" t="s">
        <v>918</v>
      </c>
      <c r="B676" s="1">
        <v>40591</v>
      </c>
      <c r="C676" s="1">
        <v>40596</v>
      </c>
      <c r="D676" t="s">
        <v>1</v>
      </c>
      <c r="E676" t="s">
        <v>919</v>
      </c>
      <c r="F676" t="s">
        <v>3</v>
      </c>
      <c r="G676" t="s">
        <v>125</v>
      </c>
      <c r="H676" t="s">
        <v>126</v>
      </c>
      <c r="I676" t="s">
        <v>127</v>
      </c>
      <c r="J676" t="s">
        <v>76</v>
      </c>
      <c r="K676" t="s">
        <v>7</v>
      </c>
      <c r="L676" t="s">
        <v>137</v>
      </c>
      <c r="M676">
        <v>1</v>
      </c>
      <c r="N676">
        <v>3</v>
      </c>
      <c r="O676">
        <v>0.8</v>
      </c>
      <c r="P676">
        <v>-1.728</v>
      </c>
      <c r="Q676">
        <v>0.11</v>
      </c>
      <c r="R676" t="s">
        <v>23</v>
      </c>
    </row>
    <row r="677" spans="1:18" x14ac:dyDescent="0.25">
      <c r="A677" t="s">
        <v>921</v>
      </c>
      <c r="B677" s="1">
        <v>40592</v>
      </c>
      <c r="C677" s="1">
        <v>40595</v>
      </c>
      <c r="D677" t="s">
        <v>18</v>
      </c>
      <c r="E677" t="s">
        <v>922</v>
      </c>
      <c r="F677" t="s">
        <v>43</v>
      </c>
      <c r="G677" t="s">
        <v>235</v>
      </c>
      <c r="H677" t="s">
        <v>13</v>
      </c>
      <c r="I677" t="s">
        <v>14</v>
      </c>
      <c r="J677" t="s">
        <v>15</v>
      </c>
      <c r="K677" t="s">
        <v>38</v>
      </c>
      <c r="L677" t="s">
        <v>77</v>
      </c>
      <c r="M677">
        <v>825</v>
      </c>
      <c r="N677">
        <v>5</v>
      </c>
      <c r="O677">
        <v>0.1</v>
      </c>
      <c r="P677">
        <v>54.87</v>
      </c>
      <c r="Q677">
        <v>161.63</v>
      </c>
      <c r="R677" t="s">
        <v>23</v>
      </c>
    </row>
    <row r="678" spans="1:18" x14ac:dyDescent="0.25">
      <c r="A678" t="s">
        <v>923</v>
      </c>
      <c r="B678" s="1">
        <v>40592</v>
      </c>
      <c r="C678" s="1">
        <v>40594</v>
      </c>
      <c r="D678" t="s">
        <v>142</v>
      </c>
      <c r="E678" t="s">
        <v>924</v>
      </c>
      <c r="F678" t="s">
        <v>26</v>
      </c>
      <c r="G678" t="s">
        <v>36</v>
      </c>
      <c r="H678" t="s">
        <v>37</v>
      </c>
      <c r="I678" t="s">
        <v>37</v>
      </c>
      <c r="J678" t="s">
        <v>37</v>
      </c>
      <c r="K678" t="s">
        <v>7</v>
      </c>
      <c r="L678" t="s">
        <v>44</v>
      </c>
      <c r="M678">
        <v>277</v>
      </c>
      <c r="N678">
        <v>1</v>
      </c>
      <c r="O678">
        <v>0</v>
      </c>
      <c r="P678">
        <v>30.42</v>
      </c>
      <c r="Q678">
        <v>46.69</v>
      </c>
      <c r="R678" t="s">
        <v>23</v>
      </c>
    </row>
    <row r="679" spans="1:18" x14ac:dyDescent="0.25">
      <c r="A679" t="s">
        <v>925</v>
      </c>
      <c r="B679" s="1">
        <v>40592</v>
      </c>
      <c r="C679" s="1">
        <v>40594</v>
      </c>
      <c r="D679" t="s">
        <v>142</v>
      </c>
      <c r="E679" t="s">
        <v>667</v>
      </c>
      <c r="F679" t="s">
        <v>3</v>
      </c>
      <c r="G679" t="s">
        <v>926</v>
      </c>
      <c r="H679" t="s">
        <v>801</v>
      </c>
      <c r="I679" t="s">
        <v>14</v>
      </c>
      <c r="J679" t="s">
        <v>132</v>
      </c>
      <c r="K679" t="s">
        <v>38</v>
      </c>
      <c r="L679" t="s">
        <v>82</v>
      </c>
      <c r="M679">
        <v>258</v>
      </c>
      <c r="N679">
        <v>2</v>
      </c>
      <c r="O679">
        <v>0.5</v>
      </c>
      <c r="P679">
        <v>-165.03</v>
      </c>
      <c r="Q679">
        <v>29.12</v>
      </c>
      <c r="R679" t="s">
        <v>9</v>
      </c>
    </row>
    <row r="680" spans="1:18" x14ac:dyDescent="0.25">
      <c r="A680" t="s">
        <v>927</v>
      </c>
      <c r="B680" s="1">
        <v>40592</v>
      </c>
      <c r="C680" s="1">
        <v>40597</v>
      </c>
      <c r="D680" t="s">
        <v>1</v>
      </c>
      <c r="E680" t="s">
        <v>928</v>
      </c>
      <c r="F680" t="s">
        <v>3</v>
      </c>
      <c r="G680" t="s">
        <v>153</v>
      </c>
      <c r="H680" t="s">
        <v>115</v>
      </c>
      <c r="I680" t="s">
        <v>29</v>
      </c>
      <c r="J680" t="s">
        <v>76</v>
      </c>
      <c r="K680" t="s">
        <v>38</v>
      </c>
      <c r="L680" t="s">
        <v>39</v>
      </c>
      <c r="M680">
        <v>129</v>
      </c>
      <c r="N680">
        <v>3</v>
      </c>
      <c r="O680">
        <v>0.15</v>
      </c>
      <c r="P680">
        <v>-1.53</v>
      </c>
      <c r="Q680">
        <v>13.21</v>
      </c>
      <c r="R680" t="s">
        <v>9</v>
      </c>
    </row>
    <row r="681" spans="1:18" x14ac:dyDescent="0.25">
      <c r="A681" t="s">
        <v>929</v>
      </c>
      <c r="B681" s="1">
        <v>40592</v>
      </c>
      <c r="C681" s="1">
        <v>40597</v>
      </c>
      <c r="D681" t="s">
        <v>1</v>
      </c>
      <c r="E681" t="s">
        <v>452</v>
      </c>
      <c r="F681" t="s">
        <v>3</v>
      </c>
      <c r="G681" t="s">
        <v>930</v>
      </c>
      <c r="H681" t="s">
        <v>280</v>
      </c>
      <c r="I681" t="s">
        <v>14</v>
      </c>
      <c r="J681" t="s">
        <v>281</v>
      </c>
      <c r="K681" t="s">
        <v>32</v>
      </c>
      <c r="L681" t="s">
        <v>56</v>
      </c>
      <c r="M681">
        <v>300</v>
      </c>
      <c r="N681">
        <v>3</v>
      </c>
      <c r="O681">
        <v>0</v>
      </c>
      <c r="P681">
        <v>18</v>
      </c>
      <c r="Q681">
        <v>12.23</v>
      </c>
      <c r="R681" t="s">
        <v>9</v>
      </c>
    </row>
    <row r="682" spans="1:18" x14ac:dyDescent="0.25">
      <c r="A682" t="s">
        <v>931</v>
      </c>
      <c r="B682" s="1">
        <v>40592</v>
      </c>
      <c r="C682" s="1">
        <v>40598</v>
      </c>
      <c r="D682" t="s">
        <v>1</v>
      </c>
      <c r="E682" t="s">
        <v>932</v>
      </c>
      <c r="F682" t="s">
        <v>3</v>
      </c>
      <c r="G682" t="s">
        <v>660</v>
      </c>
      <c r="H682" t="s">
        <v>13</v>
      </c>
      <c r="I682" t="s">
        <v>14</v>
      </c>
      <c r="J682" t="s">
        <v>15</v>
      </c>
      <c r="K682" t="s">
        <v>7</v>
      </c>
      <c r="L682" t="s">
        <v>31</v>
      </c>
      <c r="M682">
        <v>82</v>
      </c>
      <c r="N682">
        <v>5</v>
      </c>
      <c r="O682">
        <v>0.1</v>
      </c>
      <c r="P682">
        <v>24.39</v>
      </c>
      <c r="Q682">
        <v>7.44</v>
      </c>
      <c r="R682" t="s">
        <v>9</v>
      </c>
    </row>
    <row r="683" spans="1:18" x14ac:dyDescent="0.25">
      <c r="A683" t="s">
        <v>923</v>
      </c>
      <c r="B683" s="1">
        <v>40592</v>
      </c>
      <c r="C683" s="1">
        <v>40594</v>
      </c>
      <c r="D683" t="s">
        <v>142</v>
      </c>
      <c r="E683" t="s">
        <v>924</v>
      </c>
      <c r="F683" t="s">
        <v>26</v>
      </c>
      <c r="G683" t="s">
        <v>36</v>
      </c>
      <c r="H683" t="s">
        <v>37</v>
      </c>
      <c r="I683" t="s">
        <v>37</v>
      </c>
      <c r="J683" t="s">
        <v>37</v>
      </c>
      <c r="K683" t="s">
        <v>7</v>
      </c>
      <c r="L683" t="s">
        <v>16</v>
      </c>
      <c r="M683">
        <v>37</v>
      </c>
      <c r="N683">
        <v>1</v>
      </c>
      <c r="O683">
        <v>0</v>
      </c>
      <c r="P683">
        <v>13.02</v>
      </c>
      <c r="Q683">
        <v>7.41</v>
      </c>
      <c r="R683" t="s">
        <v>23</v>
      </c>
    </row>
    <row r="684" spans="1:18" x14ac:dyDescent="0.25">
      <c r="A684" t="s">
        <v>933</v>
      </c>
      <c r="B684" s="1">
        <v>40592</v>
      </c>
      <c r="C684" s="1">
        <v>40596</v>
      </c>
      <c r="D684" t="s">
        <v>18</v>
      </c>
      <c r="E684" t="s">
        <v>934</v>
      </c>
      <c r="F684" t="s">
        <v>3</v>
      </c>
      <c r="G684" t="s">
        <v>471</v>
      </c>
      <c r="H684" t="s">
        <v>305</v>
      </c>
      <c r="I684" t="s">
        <v>29</v>
      </c>
      <c r="J684" t="s">
        <v>76</v>
      </c>
      <c r="K684" t="s">
        <v>7</v>
      </c>
      <c r="L684" t="s">
        <v>97</v>
      </c>
      <c r="M684">
        <v>62</v>
      </c>
      <c r="N684">
        <v>7</v>
      </c>
      <c r="O684">
        <v>0</v>
      </c>
      <c r="P684">
        <v>23.31</v>
      </c>
      <c r="Q684">
        <v>7.12</v>
      </c>
      <c r="R684" t="s">
        <v>9</v>
      </c>
    </row>
    <row r="685" spans="1:18" x14ac:dyDescent="0.25">
      <c r="A685" t="s">
        <v>923</v>
      </c>
      <c r="B685" s="1">
        <v>40592</v>
      </c>
      <c r="C685" s="1">
        <v>40594</v>
      </c>
      <c r="D685" t="s">
        <v>142</v>
      </c>
      <c r="E685" t="s">
        <v>924</v>
      </c>
      <c r="F685" t="s">
        <v>26</v>
      </c>
      <c r="G685" t="s">
        <v>36</v>
      </c>
      <c r="H685" t="s">
        <v>37</v>
      </c>
      <c r="I685" t="s">
        <v>37</v>
      </c>
      <c r="J685" t="s">
        <v>37</v>
      </c>
      <c r="K685" t="s">
        <v>7</v>
      </c>
      <c r="L685" t="s">
        <v>44</v>
      </c>
      <c r="M685">
        <v>97</v>
      </c>
      <c r="N685">
        <v>1</v>
      </c>
      <c r="O685">
        <v>0</v>
      </c>
      <c r="P685">
        <v>36.840000000000003</v>
      </c>
      <c r="Q685">
        <v>6.88</v>
      </c>
      <c r="R685" t="s">
        <v>23</v>
      </c>
    </row>
    <row r="686" spans="1:18" x14ac:dyDescent="0.25">
      <c r="A686" t="s">
        <v>921</v>
      </c>
      <c r="B686" s="1">
        <v>40592</v>
      </c>
      <c r="C686" s="1">
        <v>40595</v>
      </c>
      <c r="D686" t="s">
        <v>18</v>
      </c>
      <c r="E686" t="s">
        <v>922</v>
      </c>
      <c r="F686" t="s">
        <v>43</v>
      </c>
      <c r="G686" t="s">
        <v>235</v>
      </c>
      <c r="H686" t="s">
        <v>13</v>
      </c>
      <c r="I686" t="s">
        <v>14</v>
      </c>
      <c r="J686" t="s">
        <v>15</v>
      </c>
      <c r="K686" t="s">
        <v>7</v>
      </c>
      <c r="L686" t="s">
        <v>16</v>
      </c>
      <c r="M686">
        <v>24</v>
      </c>
      <c r="N686">
        <v>1</v>
      </c>
      <c r="O686">
        <v>0.1</v>
      </c>
      <c r="P686">
        <v>10.41</v>
      </c>
      <c r="Q686">
        <v>5.13</v>
      </c>
      <c r="R686" t="s">
        <v>23</v>
      </c>
    </row>
    <row r="687" spans="1:18" x14ac:dyDescent="0.25">
      <c r="A687" t="s">
        <v>935</v>
      </c>
      <c r="B687" s="1">
        <v>40592</v>
      </c>
      <c r="C687" s="1">
        <v>40599</v>
      </c>
      <c r="D687" t="s">
        <v>1</v>
      </c>
      <c r="E687" t="s">
        <v>385</v>
      </c>
      <c r="F687" t="s">
        <v>3</v>
      </c>
      <c r="G687" t="s">
        <v>146</v>
      </c>
      <c r="H687" t="s">
        <v>126</v>
      </c>
      <c r="I687" t="s">
        <v>127</v>
      </c>
      <c r="J687" t="s">
        <v>76</v>
      </c>
      <c r="K687" t="s">
        <v>7</v>
      </c>
      <c r="L687" t="s">
        <v>91</v>
      </c>
      <c r="M687">
        <v>54</v>
      </c>
      <c r="N687">
        <v>14</v>
      </c>
      <c r="O687">
        <v>0.2</v>
      </c>
      <c r="P687">
        <v>8.8087999999999997</v>
      </c>
      <c r="Q687">
        <v>4.1100000000000003</v>
      </c>
      <c r="R687" t="s">
        <v>51</v>
      </c>
    </row>
    <row r="688" spans="1:18" x14ac:dyDescent="0.25">
      <c r="A688" t="s">
        <v>923</v>
      </c>
      <c r="B688" s="1">
        <v>40592</v>
      </c>
      <c r="C688" s="1">
        <v>40594</v>
      </c>
      <c r="D688" t="s">
        <v>142</v>
      </c>
      <c r="E688" t="s">
        <v>924</v>
      </c>
      <c r="F688" t="s">
        <v>26</v>
      </c>
      <c r="G688" t="s">
        <v>36</v>
      </c>
      <c r="H688" t="s">
        <v>37</v>
      </c>
      <c r="I688" t="s">
        <v>37</v>
      </c>
      <c r="J688" t="s">
        <v>37</v>
      </c>
      <c r="K688" t="s">
        <v>7</v>
      </c>
      <c r="L688" t="s">
        <v>31</v>
      </c>
      <c r="M688">
        <v>30</v>
      </c>
      <c r="N688">
        <v>1</v>
      </c>
      <c r="O688">
        <v>0</v>
      </c>
      <c r="P688">
        <v>7.71</v>
      </c>
      <c r="Q688">
        <v>3.92</v>
      </c>
      <c r="R688" t="s">
        <v>23</v>
      </c>
    </row>
    <row r="689" spans="1:18" x14ac:dyDescent="0.25">
      <c r="A689" t="s">
        <v>936</v>
      </c>
      <c r="B689" s="1">
        <v>40592</v>
      </c>
      <c r="C689" s="1">
        <v>40598</v>
      </c>
      <c r="D689" t="s">
        <v>1</v>
      </c>
      <c r="E689" t="s">
        <v>700</v>
      </c>
      <c r="F689" t="s">
        <v>43</v>
      </c>
      <c r="G689" t="s">
        <v>937</v>
      </c>
      <c r="H689" t="s">
        <v>115</v>
      </c>
      <c r="I689" t="s">
        <v>29</v>
      </c>
      <c r="J689" t="s">
        <v>76</v>
      </c>
      <c r="K689" t="s">
        <v>7</v>
      </c>
      <c r="L689" t="s">
        <v>97</v>
      </c>
      <c r="M689">
        <v>35</v>
      </c>
      <c r="N689">
        <v>3</v>
      </c>
      <c r="O689">
        <v>0</v>
      </c>
      <c r="P689">
        <v>13.77</v>
      </c>
      <c r="Q689">
        <v>3.5</v>
      </c>
      <c r="R689" t="s">
        <v>9</v>
      </c>
    </row>
    <row r="690" spans="1:18" x14ac:dyDescent="0.25">
      <c r="A690" t="s">
        <v>927</v>
      </c>
      <c r="B690" s="1">
        <v>40592</v>
      </c>
      <c r="C690" s="1">
        <v>40597</v>
      </c>
      <c r="D690" t="s">
        <v>1</v>
      </c>
      <c r="E690" t="s">
        <v>928</v>
      </c>
      <c r="F690" t="s">
        <v>3</v>
      </c>
      <c r="G690" t="s">
        <v>153</v>
      </c>
      <c r="H690" t="s">
        <v>115</v>
      </c>
      <c r="I690" t="s">
        <v>29</v>
      </c>
      <c r="J690" t="s">
        <v>76</v>
      </c>
      <c r="K690" t="s">
        <v>7</v>
      </c>
      <c r="L690" t="s">
        <v>137</v>
      </c>
      <c r="M690">
        <v>24</v>
      </c>
      <c r="N690">
        <v>4</v>
      </c>
      <c r="O690">
        <v>0</v>
      </c>
      <c r="P690">
        <v>8.4</v>
      </c>
      <c r="Q690">
        <v>2.77</v>
      </c>
      <c r="R690" t="s">
        <v>9</v>
      </c>
    </row>
    <row r="691" spans="1:18" x14ac:dyDescent="0.25">
      <c r="A691" t="s">
        <v>921</v>
      </c>
      <c r="B691" s="1">
        <v>40592</v>
      </c>
      <c r="C691" s="1">
        <v>40595</v>
      </c>
      <c r="D691" t="s">
        <v>18</v>
      </c>
      <c r="E691" t="s">
        <v>922</v>
      </c>
      <c r="F691" t="s">
        <v>43</v>
      </c>
      <c r="G691" t="s">
        <v>235</v>
      </c>
      <c r="H691" t="s">
        <v>13</v>
      </c>
      <c r="I691" t="s">
        <v>14</v>
      </c>
      <c r="J691" t="s">
        <v>15</v>
      </c>
      <c r="K691" t="s">
        <v>7</v>
      </c>
      <c r="L691" t="s">
        <v>87</v>
      </c>
      <c r="M691">
        <v>14</v>
      </c>
      <c r="N691">
        <v>2</v>
      </c>
      <c r="O691">
        <v>0.1</v>
      </c>
      <c r="P691">
        <v>1.6859999999999999</v>
      </c>
      <c r="Q691">
        <v>1.37</v>
      </c>
      <c r="R691" t="s">
        <v>23</v>
      </c>
    </row>
    <row r="692" spans="1:18" x14ac:dyDescent="0.25">
      <c r="A692" t="s">
        <v>933</v>
      </c>
      <c r="B692" s="1">
        <v>40592</v>
      </c>
      <c r="C692" s="1">
        <v>40596</v>
      </c>
      <c r="D692" t="s">
        <v>18</v>
      </c>
      <c r="E692" t="s">
        <v>934</v>
      </c>
      <c r="F692" t="s">
        <v>3</v>
      </c>
      <c r="G692" t="s">
        <v>471</v>
      </c>
      <c r="H692" t="s">
        <v>305</v>
      </c>
      <c r="I692" t="s">
        <v>29</v>
      </c>
      <c r="J692" t="s">
        <v>76</v>
      </c>
      <c r="K692" t="s">
        <v>7</v>
      </c>
      <c r="L692" t="s">
        <v>97</v>
      </c>
      <c r="M692">
        <v>55</v>
      </c>
      <c r="N692">
        <v>5</v>
      </c>
      <c r="O692">
        <v>0</v>
      </c>
      <c r="P692">
        <v>8.25</v>
      </c>
      <c r="Q692">
        <v>1.27</v>
      </c>
      <c r="R692" t="s">
        <v>9</v>
      </c>
    </row>
    <row r="693" spans="1:18" x14ac:dyDescent="0.25">
      <c r="A693" t="s">
        <v>938</v>
      </c>
      <c r="B693" s="1">
        <v>40593</v>
      </c>
      <c r="C693" s="1">
        <v>40595</v>
      </c>
      <c r="D693" t="s">
        <v>18</v>
      </c>
      <c r="E693" t="s">
        <v>509</v>
      </c>
      <c r="F693" t="s">
        <v>3</v>
      </c>
      <c r="G693" t="s">
        <v>591</v>
      </c>
      <c r="H693" t="s">
        <v>280</v>
      </c>
      <c r="I693" t="s">
        <v>14</v>
      </c>
      <c r="J693" t="s">
        <v>281</v>
      </c>
      <c r="K693" t="s">
        <v>7</v>
      </c>
      <c r="L693" t="s">
        <v>16</v>
      </c>
      <c r="M693">
        <v>118</v>
      </c>
      <c r="N693">
        <v>3</v>
      </c>
      <c r="O693">
        <v>0</v>
      </c>
      <c r="P693">
        <v>36.630000000000003</v>
      </c>
      <c r="Q693">
        <v>9.8699999999999992</v>
      </c>
      <c r="R693" t="s">
        <v>23</v>
      </c>
    </row>
    <row r="694" spans="1:18" x14ac:dyDescent="0.25">
      <c r="A694" t="s">
        <v>939</v>
      </c>
      <c r="B694" s="1">
        <v>40593</v>
      </c>
      <c r="C694" s="1">
        <v>40593</v>
      </c>
      <c r="D694" t="s">
        <v>41</v>
      </c>
      <c r="E694" t="s">
        <v>940</v>
      </c>
      <c r="F694" t="s">
        <v>3</v>
      </c>
      <c r="G694" t="s">
        <v>125</v>
      </c>
      <c r="H694" t="s">
        <v>126</v>
      </c>
      <c r="I694" t="s">
        <v>127</v>
      </c>
      <c r="J694" t="s">
        <v>76</v>
      </c>
      <c r="K694" t="s">
        <v>32</v>
      </c>
      <c r="L694" t="s">
        <v>33</v>
      </c>
      <c r="M694">
        <v>25</v>
      </c>
      <c r="N694">
        <v>5</v>
      </c>
      <c r="O694">
        <v>0.6</v>
      </c>
      <c r="P694">
        <v>-11.321999999999999</v>
      </c>
      <c r="Q694">
        <v>1.39</v>
      </c>
      <c r="R694" t="s">
        <v>23</v>
      </c>
    </row>
    <row r="695" spans="1:18" x14ac:dyDescent="0.25">
      <c r="A695" t="s">
        <v>941</v>
      </c>
      <c r="B695" s="1">
        <v>40593</v>
      </c>
      <c r="C695" s="1">
        <v>40599</v>
      </c>
      <c r="D695" t="s">
        <v>1</v>
      </c>
      <c r="E695" t="s">
        <v>942</v>
      </c>
      <c r="F695" t="s">
        <v>3</v>
      </c>
      <c r="G695" t="s">
        <v>125</v>
      </c>
      <c r="H695" t="s">
        <v>126</v>
      </c>
      <c r="I695" t="s">
        <v>127</v>
      </c>
      <c r="J695" t="s">
        <v>76</v>
      </c>
      <c r="K695" t="s">
        <v>7</v>
      </c>
      <c r="L695" t="s">
        <v>8</v>
      </c>
      <c r="M695">
        <v>13</v>
      </c>
      <c r="N695">
        <v>2</v>
      </c>
      <c r="O695">
        <v>0.2</v>
      </c>
      <c r="P695">
        <v>-2.5247999999999999</v>
      </c>
      <c r="Q695">
        <v>0.97</v>
      </c>
      <c r="R695" t="s">
        <v>51</v>
      </c>
    </row>
    <row r="696" spans="1:18" x14ac:dyDescent="0.25">
      <c r="A696" t="s">
        <v>943</v>
      </c>
      <c r="B696" s="1">
        <v>40595</v>
      </c>
      <c r="C696" s="1">
        <v>40599</v>
      </c>
      <c r="D696" t="s">
        <v>1</v>
      </c>
      <c r="E696" t="s">
        <v>944</v>
      </c>
      <c r="F696" t="s">
        <v>3</v>
      </c>
      <c r="G696" t="s">
        <v>945</v>
      </c>
      <c r="H696" t="s">
        <v>131</v>
      </c>
      <c r="I696" t="s">
        <v>14</v>
      </c>
      <c r="J696" t="s">
        <v>132</v>
      </c>
      <c r="K696" t="s">
        <v>38</v>
      </c>
      <c r="L696" t="s">
        <v>39</v>
      </c>
      <c r="M696">
        <v>803</v>
      </c>
      <c r="N696">
        <v>5</v>
      </c>
      <c r="O696">
        <v>0</v>
      </c>
      <c r="P696">
        <v>224.85</v>
      </c>
      <c r="Q696">
        <v>78.45</v>
      </c>
      <c r="R696" t="s">
        <v>9</v>
      </c>
    </row>
    <row r="697" spans="1:18" x14ac:dyDescent="0.25">
      <c r="A697" t="s">
        <v>946</v>
      </c>
      <c r="B697" s="1">
        <v>40595</v>
      </c>
      <c r="C697" s="1">
        <v>40600</v>
      </c>
      <c r="D697" t="s">
        <v>1</v>
      </c>
      <c r="E697" t="s">
        <v>947</v>
      </c>
      <c r="F697" t="s">
        <v>3</v>
      </c>
      <c r="G697" t="s">
        <v>429</v>
      </c>
      <c r="H697" t="s">
        <v>298</v>
      </c>
      <c r="I697" t="s">
        <v>29</v>
      </c>
      <c r="J697" t="s">
        <v>102</v>
      </c>
      <c r="K697" t="s">
        <v>32</v>
      </c>
      <c r="L697" t="s">
        <v>62</v>
      </c>
      <c r="M697" s="2">
        <v>1003</v>
      </c>
      <c r="N697">
        <v>4</v>
      </c>
      <c r="O697">
        <v>0.5</v>
      </c>
      <c r="P697">
        <v>-942.9</v>
      </c>
      <c r="Q697">
        <v>72.92</v>
      </c>
      <c r="R697" t="s">
        <v>9</v>
      </c>
    </row>
    <row r="698" spans="1:18" x14ac:dyDescent="0.25">
      <c r="A698" t="s">
        <v>948</v>
      </c>
      <c r="B698" s="1">
        <v>40595</v>
      </c>
      <c r="C698" s="1">
        <v>40599</v>
      </c>
      <c r="D698" t="s">
        <v>1</v>
      </c>
      <c r="E698" t="s">
        <v>949</v>
      </c>
      <c r="F698" t="s">
        <v>3</v>
      </c>
      <c r="G698" t="s">
        <v>332</v>
      </c>
      <c r="H698" t="s">
        <v>13</v>
      </c>
      <c r="I698" t="s">
        <v>14</v>
      </c>
      <c r="J698" t="s">
        <v>15</v>
      </c>
      <c r="K698" t="s">
        <v>7</v>
      </c>
      <c r="L698" t="s">
        <v>8</v>
      </c>
      <c r="M698">
        <v>806</v>
      </c>
      <c r="N698">
        <v>7</v>
      </c>
      <c r="O698">
        <v>0.1</v>
      </c>
      <c r="P698">
        <v>-62.853000000000002</v>
      </c>
      <c r="Q698">
        <v>54.17</v>
      </c>
      <c r="R698" t="s">
        <v>9</v>
      </c>
    </row>
    <row r="699" spans="1:18" x14ac:dyDescent="0.25">
      <c r="A699" t="s">
        <v>950</v>
      </c>
      <c r="B699" s="1">
        <v>40595</v>
      </c>
      <c r="C699" s="1">
        <v>40602</v>
      </c>
      <c r="D699" t="s">
        <v>1</v>
      </c>
      <c r="E699" t="s">
        <v>951</v>
      </c>
      <c r="F699" t="s">
        <v>43</v>
      </c>
      <c r="G699" t="s">
        <v>952</v>
      </c>
      <c r="H699" t="s">
        <v>169</v>
      </c>
      <c r="I699" t="s">
        <v>14</v>
      </c>
      <c r="J699" t="s">
        <v>132</v>
      </c>
      <c r="K699" t="s">
        <v>38</v>
      </c>
      <c r="L699" t="s">
        <v>50</v>
      </c>
      <c r="M699">
        <v>297</v>
      </c>
      <c r="N699">
        <v>2</v>
      </c>
      <c r="O699">
        <v>0</v>
      </c>
      <c r="P699">
        <v>56.46</v>
      </c>
      <c r="Q699">
        <v>51.95</v>
      </c>
      <c r="R699" t="s">
        <v>51</v>
      </c>
    </row>
    <row r="700" spans="1:18" x14ac:dyDescent="0.25">
      <c r="A700" t="s">
        <v>953</v>
      </c>
      <c r="B700" s="1">
        <v>40595</v>
      </c>
      <c r="C700" s="1">
        <v>40595</v>
      </c>
      <c r="D700" t="s">
        <v>41</v>
      </c>
      <c r="E700" t="s">
        <v>954</v>
      </c>
      <c r="F700" t="s">
        <v>3</v>
      </c>
      <c r="G700" t="s">
        <v>59</v>
      </c>
      <c r="H700" t="s">
        <v>60</v>
      </c>
      <c r="I700" t="s">
        <v>14</v>
      </c>
      <c r="J700" t="s">
        <v>61</v>
      </c>
      <c r="K700" t="s">
        <v>7</v>
      </c>
      <c r="L700" t="s">
        <v>31</v>
      </c>
      <c r="M700">
        <v>173</v>
      </c>
      <c r="N700">
        <v>6</v>
      </c>
      <c r="O700">
        <v>0.45</v>
      </c>
      <c r="P700">
        <v>-104.03100000000001</v>
      </c>
      <c r="Q700">
        <v>37.06</v>
      </c>
      <c r="R700" t="s">
        <v>23</v>
      </c>
    </row>
    <row r="701" spans="1:18" x14ac:dyDescent="0.25">
      <c r="A701" t="s">
        <v>955</v>
      </c>
      <c r="B701" s="1">
        <v>40595</v>
      </c>
      <c r="C701" s="1">
        <v>40599</v>
      </c>
      <c r="D701" t="s">
        <v>18</v>
      </c>
      <c r="E701" t="s">
        <v>956</v>
      </c>
      <c r="F701" t="s">
        <v>3</v>
      </c>
      <c r="G701" t="s">
        <v>873</v>
      </c>
      <c r="H701" t="s">
        <v>873</v>
      </c>
      <c r="I701" t="s">
        <v>14</v>
      </c>
      <c r="J701" t="s">
        <v>132</v>
      </c>
      <c r="K701" t="s">
        <v>32</v>
      </c>
      <c r="L701" t="s">
        <v>67</v>
      </c>
      <c r="M701">
        <v>346</v>
      </c>
      <c r="N701">
        <v>2</v>
      </c>
      <c r="O701">
        <v>0</v>
      </c>
      <c r="P701">
        <v>114.06</v>
      </c>
      <c r="Q701">
        <v>27.59</v>
      </c>
      <c r="R701" t="s">
        <v>9</v>
      </c>
    </row>
    <row r="702" spans="1:18" x14ac:dyDescent="0.25">
      <c r="A702" t="s">
        <v>950</v>
      </c>
      <c r="B702" s="1">
        <v>40595</v>
      </c>
      <c r="C702" s="1">
        <v>40602</v>
      </c>
      <c r="D702" t="s">
        <v>1</v>
      </c>
      <c r="E702" t="s">
        <v>951</v>
      </c>
      <c r="F702" t="s">
        <v>43</v>
      </c>
      <c r="G702" t="s">
        <v>952</v>
      </c>
      <c r="H702" t="s">
        <v>169</v>
      </c>
      <c r="I702" t="s">
        <v>14</v>
      </c>
      <c r="J702" t="s">
        <v>132</v>
      </c>
      <c r="K702" t="s">
        <v>7</v>
      </c>
      <c r="L702" t="s">
        <v>96</v>
      </c>
      <c r="M702">
        <v>150</v>
      </c>
      <c r="N702">
        <v>6</v>
      </c>
      <c r="O702">
        <v>0</v>
      </c>
      <c r="P702">
        <v>70.2</v>
      </c>
      <c r="Q702">
        <v>19.920000000000002</v>
      </c>
      <c r="R702" t="s">
        <v>51</v>
      </c>
    </row>
    <row r="703" spans="1:18" x14ac:dyDescent="0.25">
      <c r="A703" t="s">
        <v>948</v>
      </c>
      <c r="B703" s="1">
        <v>40595</v>
      </c>
      <c r="C703" s="1">
        <v>40599</v>
      </c>
      <c r="D703" t="s">
        <v>1</v>
      </c>
      <c r="E703" t="s">
        <v>949</v>
      </c>
      <c r="F703" t="s">
        <v>3</v>
      </c>
      <c r="G703" t="s">
        <v>332</v>
      </c>
      <c r="H703" t="s">
        <v>13</v>
      </c>
      <c r="I703" t="s">
        <v>14</v>
      </c>
      <c r="J703" t="s">
        <v>15</v>
      </c>
      <c r="K703" t="s">
        <v>38</v>
      </c>
      <c r="L703" t="s">
        <v>77</v>
      </c>
      <c r="M703">
        <v>184</v>
      </c>
      <c r="N703">
        <v>3</v>
      </c>
      <c r="O703">
        <v>0.1</v>
      </c>
      <c r="P703">
        <v>75.590999999999994</v>
      </c>
      <c r="Q703">
        <v>18.66</v>
      </c>
      <c r="R703" t="s">
        <v>9</v>
      </c>
    </row>
    <row r="704" spans="1:18" x14ac:dyDescent="0.25">
      <c r="A704" t="s">
        <v>957</v>
      </c>
      <c r="B704" s="1">
        <v>40595</v>
      </c>
      <c r="C704" s="1">
        <v>40597</v>
      </c>
      <c r="D704" t="s">
        <v>18</v>
      </c>
      <c r="E704" t="s">
        <v>655</v>
      </c>
      <c r="F704" t="s">
        <v>3</v>
      </c>
      <c r="G704" t="s">
        <v>203</v>
      </c>
      <c r="H704" t="s">
        <v>203</v>
      </c>
      <c r="I704" t="s">
        <v>14</v>
      </c>
      <c r="J704" t="s">
        <v>61</v>
      </c>
      <c r="K704" t="s">
        <v>32</v>
      </c>
      <c r="L704" t="s">
        <v>56</v>
      </c>
      <c r="M704">
        <v>179</v>
      </c>
      <c r="N704">
        <v>3</v>
      </c>
      <c r="O704">
        <v>0</v>
      </c>
      <c r="P704">
        <v>69.930000000000007</v>
      </c>
      <c r="Q704">
        <v>17.13</v>
      </c>
      <c r="R704" t="s">
        <v>9</v>
      </c>
    </row>
    <row r="705" spans="1:18" x14ac:dyDescent="0.25">
      <c r="A705" t="s">
        <v>946</v>
      </c>
      <c r="B705" s="1">
        <v>40595</v>
      </c>
      <c r="C705" s="1">
        <v>40600</v>
      </c>
      <c r="D705" t="s">
        <v>1</v>
      </c>
      <c r="E705" t="s">
        <v>947</v>
      </c>
      <c r="F705" t="s">
        <v>3</v>
      </c>
      <c r="G705" t="s">
        <v>429</v>
      </c>
      <c r="H705" t="s">
        <v>298</v>
      </c>
      <c r="I705" t="s">
        <v>29</v>
      </c>
      <c r="J705" t="s">
        <v>102</v>
      </c>
      <c r="K705" t="s">
        <v>7</v>
      </c>
      <c r="L705" t="s">
        <v>91</v>
      </c>
      <c r="M705">
        <v>164</v>
      </c>
      <c r="N705">
        <v>3</v>
      </c>
      <c r="O705">
        <v>0</v>
      </c>
      <c r="P705">
        <v>78.48</v>
      </c>
      <c r="Q705">
        <v>16.05</v>
      </c>
      <c r="R705" t="s">
        <v>9</v>
      </c>
    </row>
    <row r="706" spans="1:18" x14ac:dyDescent="0.25">
      <c r="A706" t="s">
        <v>953</v>
      </c>
      <c r="B706" s="1">
        <v>40595</v>
      </c>
      <c r="C706" s="1">
        <v>40595</v>
      </c>
      <c r="D706" t="s">
        <v>41</v>
      </c>
      <c r="E706" t="s">
        <v>954</v>
      </c>
      <c r="F706" t="s">
        <v>3</v>
      </c>
      <c r="G706" t="s">
        <v>59</v>
      </c>
      <c r="H706" t="s">
        <v>60</v>
      </c>
      <c r="I706" t="s">
        <v>14</v>
      </c>
      <c r="J706" t="s">
        <v>61</v>
      </c>
      <c r="K706" t="s">
        <v>38</v>
      </c>
      <c r="L706" t="s">
        <v>77</v>
      </c>
      <c r="M706">
        <v>93</v>
      </c>
      <c r="N706">
        <v>1</v>
      </c>
      <c r="O706">
        <v>0.25</v>
      </c>
      <c r="P706">
        <v>-7.47</v>
      </c>
      <c r="Q706">
        <v>8.84</v>
      </c>
      <c r="R706" t="s">
        <v>23</v>
      </c>
    </row>
    <row r="707" spans="1:18" x14ac:dyDescent="0.25">
      <c r="A707" t="s">
        <v>958</v>
      </c>
      <c r="B707" s="1">
        <v>40595</v>
      </c>
      <c r="C707" s="1">
        <v>40601</v>
      </c>
      <c r="D707" t="s">
        <v>1</v>
      </c>
      <c r="E707" t="s">
        <v>959</v>
      </c>
      <c r="F707" t="s">
        <v>43</v>
      </c>
      <c r="G707" t="s">
        <v>544</v>
      </c>
      <c r="H707" t="s">
        <v>126</v>
      </c>
      <c r="I707" t="s">
        <v>127</v>
      </c>
      <c r="J707" t="s">
        <v>76</v>
      </c>
      <c r="K707" t="s">
        <v>38</v>
      </c>
      <c r="L707" t="s">
        <v>82</v>
      </c>
      <c r="M707">
        <v>62</v>
      </c>
      <c r="N707">
        <v>3</v>
      </c>
      <c r="O707">
        <v>0</v>
      </c>
      <c r="P707">
        <v>22.4316</v>
      </c>
      <c r="Q707">
        <v>3.97</v>
      </c>
      <c r="R707" t="s">
        <v>9</v>
      </c>
    </row>
    <row r="708" spans="1:18" x14ac:dyDescent="0.25">
      <c r="A708" t="s">
        <v>955</v>
      </c>
      <c r="B708" s="1">
        <v>40595</v>
      </c>
      <c r="C708" s="1">
        <v>40599</v>
      </c>
      <c r="D708" t="s">
        <v>18</v>
      </c>
      <c r="E708" t="s">
        <v>956</v>
      </c>
      <c r="F708" t="s">
        <v>3</v>
      </c>
      <c r="G708" t="s">
        <v>873</v>
      </c>
      <c r="H708" t="s">
        <v>873</v>
      </c>
      <c r="I708" t="s">
        <v>14</v>
      </c>
      <c r="J708" t="s">
        <v>132</v>
      </c>
      <c r="K708" t="s">
        <v>7</v>
      </c>
      <c r="L708" t="s">
        <v>97</v>
      </c>
      <c r="M708">
        <v>25</v>
      </c>
      <c r="N708">
        <v>2</v>
      </c>
      <c r="O708">
        <v>0</v>
      </c>
      <c r="P708">
        <v>4.74</v>
      </c>
      <c r="Q708">
        <v>2.96</v>
      </c>
      <c r="R708" t="s">
        <v>9</v>
      </c>
    </row>
    <row r="709" spans="1:18" x14ac:dyDescent="0.25">
      <c r="A709" t="s">
        <v>948</v>
      </c>
      <c r="B709" s="1">
        <v>40595</v>
      </c>
      <c r="C709" s="1">
        <v>40599</v>
      </c>
      <c r="D709" t="s">
        <v>1</v>
      </c>
      <c r="E709" t="s">
        <v>949</v>
      </c>
      <c r="F709" t="s">
        <v>3</v>
      </c>
      <c r="G709" t="s">
        <v>332</v>
      </c>
      <c r="H709" t="s">
        <v>13</v>
      </c>
      <c r="I709" t="s">
        <v>14</v>
      </c>
      <c r="J709" t="s">
        <v>15</v>
      </c>
      <c r="K709" t="s">
        <v>7</v>
      </c>
      <c r="L709" t="s">
        <v>87</v>
      </c>
      <c r="M709">
        <v>36</v>
      </c>
      <c r="N709">
        <v>6</v>
      </c>
      <c r="O709">
        <v>0.1</v>
      </c>
      <c r="P709">
        <v>8.2439999999999998</v>
      </c>
      <c r="Q709">
        <v>2.54</v>
      </c>
      <c r="R709" t="s">
        <v>9</v>
      </c>
    </row>
    <row r="710" spans="1:18" x14ac:dyDescent="0.25">
      <c r="A710" t="s">
        <v>946</v>
      </c>
      <c r="B710" s="1">
        <v>40595</v>
      </c>
      <c r="C710" s="1">
        <v>40600</v>
      </c>
      <c r="D710" t="s">
        <v>1</v>
      </c>
      <c r="E710" t="s">
        <v>947</v>
      </c>
      <c r="F710" t="s">
        <v>3</v>
      </c>
      <c r="G710" t="s">
        <v>429</v>
      </c>
      <c r="H710" t="s">
        <v>298</v>
      </c>
      <c r="I710" t="s">
        <v>29</v>
      </c>
      <c r="J710" t="s">
        <v>102</v>
      </c>
      <c r="K710" t="s">
        <v>38</v>
      </c>
      <c r="L710" t="s">
        <v>39</v>
      </c>
      <c r="M710">
        <v>30</v>
      </c>
      <c r="N710">
        <v>1</v>
      </c>
      <c r="O710">
        <v>0.4</v>
      </c>
      <c r="P710">
        <v>-5.4660000000000002</v>
      </c>
      <c r="Q710">
        <v>2.41</v>
      </c>
      <c r="R710" t="s">
        <v>9</v>
      </c>
    </row>
    <row r="711" spans="1:18" x14ac:dyDescent="0.25">
      <c r="A711" t="s">
        <v>946</v>
      </c>
      <c r="B711" s="1">
        <v>40595</v>
      </c>
      <c r="C711" s="1">
        <v>40600</v>
      </c>
      <c r="D711" t="s">
        <v>1</v>
      </c>
      <c r="E711" t="s">
        <v>947</v>
      </c>
      <c r="F711" t="s">
        <v>3</v>
      </c>
      <c r="G711" t="s">
        <v>429</v>
      </c>
      <c r="H711" t="s">
        <v>298</v>
      </c>
      <c r="I711" t="s">
        <v>29</v>
      </c>
      <c r="J711" t="s">
        <v>102</v>
      </c>
      <c r="K711" t="s">
        <v>7</v>
      </c>
      <c r="L711" t="s">
        <v>8</v>
      </c>
      <c r="M711">
        <v>29</v>
      </c>
      <c r="N711">
        <v>1</v>
      </c>
      <c r="O711">
        <v>0.4</v>
      </c>
      <c r="P711">
        <v>-13.092000000000001</v>
      </c>
      <c r="Q711">
        <v>2.34</v>
      </c>
      <c r="R711" t="s">
        <v>9</v>
      </c>
    </row>
    <row r="712" spans="1:18" x14ac:dyDescent="0.25">
      <c r="A712" t="s">
        <v>960</v>
      </c>
      <c r="B712" s="1">
        <v>40595</v>
      </c>
      <c r="C712" s="1">
        <v>40599</v>
      </c>
      <c r="D712" t="s">
        <v>1</v>
      </c>
      <c r="E712" t="s">
        <v>961</v>
      </c>
      <c r="F712" t="s">
        <v>3</v>
      </c>
      <c r="G712" t="s">
        <v>962</v>
      </c>
      <c r="H712" t="s">
        <v>818</v>
      </c>
      <c r="I712" t="s">
        <v>29</v>
      </c>
      <c r="J712" t="s">
        <v>76</v>
      </c>
      <c r="K712" t="s">
        <v>7</v>
      </c>
      <c r="L712" t="s">
        <v>97</v>
      </c>
      <c r="M712">
        <v>21</v>
      </c>
      <c r="N712">
        <v>2</v>
      </c>
      <c r="O712">
        <v>0</v>
      </c>
      <c r="P712">
        <v>5.88</v>
      </c>
      <c r="Q712">
        <v>1.8</v>
      </c>
      <c r="R712" t="s">
        <v>9</v>
      </c>
    </row>
    <row r="713" spans="1:18" x14ac:dyDescent="0.25">
      <c r="A713" t="s">
        <v>960</v>
      </c>
      <c r="B713" s="1">
        <v>40595</v>
      </c>
      <c r="C713" s="1">
        <v>40599</v>
      </c>
      <c r="D713" t="s">
        <v>1</v>
      </c>
      <c r="E713" t="s">
        <v>961</v>
      </c>
      <c r="F713" t="s">
        <v>3</v>
      </c>
      <c r="G713" t="s">
        <v>962</v>
      </c>
      <c r="H713" t="s">
        <v>818</v>
      </c>
      <c r="I713" t="s">
        <v>29</v>
      </c>
      <c r="J713" t="s">
        <v>76</v>
      </c>
      <c r="K713" t="s">
        <v>7</v>
      </c>
      <c r="L713" t="s">
        <v>8</v>
      </c>
      <c r="M713">
        <v>32</v>
      </c>
      <c r="N713">
        <v>3</v>
      </c>
      <c r="O713">
        <v>0</v>
      </c>
      <c r="P713">
        <v>8.3699999999999992</v>
      </c>
      <c r="Q713">
        <v>1.77</v>
      </c>
      <c r="R713" t="s">
        <v>9</v>
      </c>
    </row>
    <row r="714" spans="1:18" x14ac:dyDescent="0.25">
      <c r="A714" t="s">
        <v>963</v>
      </c>
      <c r="B714" s="1">
        <v>40595</v>
      </c>
      <c r="C714" s="1">
        <v>40602</v>
      </c>
      <c r="D714" t="s">
        <v>1</v>
      </c>
      <c r="E714" t="s">
        <v>964</v>
      </c>
      <c r="F714" t="s">
        <v>43</v>
      </c>
      <c r="G714" t="s">
        <v>417</v>
      </c>
      <c r="H714" t="s">
        <v>298</v>
      </c>
      <c r="I714" t="s">
        <v>29</v>
      </c>
      <c r="J714" t="s">
        <v>102</v>
      </c>
      <c r="K714" t="s">
        <v>7</v>
      </c>
      <c r="L714" t="s">
        <v>87</v>
      </c>
      <c r="M714">
        <v>18</v>
      </c>
      <c r="N714">
        <v>3</v>
      </c>
      <c r="O714">
        <v>0</v>
      </c>
      <c r="P714">
        <v>3.69</v>
      </c>
      <c r="Q714">
        <v>1.54</v>
      </c>
      <c r="R714" t="s">
        <v>51</v>
      </c>
    </row>
    <row r="715" spans="1:18" x14ac:dyDescent="0.25">
      <c r="A715" t="s">
        <v>965</v>
      </c>
      <c r="B715" s="1">
        <v>40595</v>
      </c>
      <c r="C715" s="1">
        <v>40599</v>
      </c>
      <c r="D715" t="s">
        <v>1</v>
      </c>
      <c r="E715" t="s">
        <v>966</v>
      </c>
      <c r="F715" t="s">
        <v>26</v>
      </c>
      <c r="G715" t="s">
        <v>191</v>
      </c>
      <c r="H715" t="s">
        <v>126</v>
      </c>
      <c r="I715" t="s">
        <v>127</v>
      </c>
      <c r="J715" t="s">
        <v>192</v>
      </c>
      <c r="K715" t="s">
        <v>7</v>
      </c>
      <c r="L715" t="s">
        <v>31</v>
      </c>
      <c r="M715">
        <v>13</v>
      </c>
      <c r="N715">
        <v>2</v>
      </c>
      <c r="O715">
        <v>0</v>
      </c>
      <c r="P715">
        <v>6.2207999999999997</v>
      </c>
      <c r="Q715">
        <v>1.1399999999999999</v>
      </c>
      <c r="R715" t="s">
        <v>23</v>
      </c>
    </row>
    <row r="716" spans="1:18" x14ac:dyDescent="0.25">
      <c r="A716" t="s">
        <v>958</v>
      </c>
      <c r="B716" s="1">
        <v>40595</v>
      </c>
      <c r="C716" s="1">
        <v>40601</v>
      </c>
      <c r="D716" t="s">
        <v>1</v>
      </c>
      <c r="E716" t="s">
        <v>959</v>
      </c>
      <c r="F716" t="s">
        <v>43</v>
      </c>
      <c r="G716" t="s">
        <v>544</v>
      </c>
      <c r="H716" t="s">
        <v>126</v>
      </c>
      <c r="I716" t="s">
        <v>127</v>
      </c>
      <c r="J716" t="s">
        <v>76</v>
      </c>
      <c r="K716" t="s">
        <v>32</v>
      </c>
      <c r="L716" t="s">
        <v>33</v>
      </c>
      <c r="M716">
        <v>20</v>
      </c>
      <c r="N716">
        <v>4</v>
      </c>
      <c r="O716">
        <v>0</v>
      </c>
      <c r="P716">
        <v>6.9088000000000003</v>
      </c>
      <c r="Q716">
        <v>0.83</v>
      </c>
      <c r="R716" t="s">
        <v>9</v>
      </c>
    </row>
    <row r="717" spans="1:18" x14ac:dyDescent="0.25">
      <c r="A717" t="s">
        <v>967</v>
      </c>
      <c r="B717" s="1">
        <v>40596</v>
      </c>
      <c r="C717" s="1">
        <v>40600</v>
      </c>
      <c r="D717" t="s">
        <v>1</v>
      </c>
      <c r="E717" t="s">
        <v>968</v>
      </c>
      <c r="F717" t="s">
        <v>3</v>
      </c>
      <c r="G717" t="s">
        <v>482</v>
      </c>
      <c r="H717" t="s">
        <v>298</v>
      </c>
      <c r="I717" t="s">
        <v>29</v>
      </c>
      <c r="J717" t="s">
        <v>102</v>
      </c>
      <c r="K717" t="s">
        <v>38</v>
      </c>
      <c r="L717" t="s">
        <v>39</v>
      </c>
      <c r="M717">
        <v>477</v>
      </c>
      <c r="N717">
        <v>3</v>
      </c>
      <c r="O717">
        <v>0.4</v>
      </c>
      <c r="P717">
        <v>39.671999999999997</v>
      </c>
      <c r="Q717">
        <v>85.57</v>
      </c>
      <c r="R717" t="s">
        <v>23</v>
      </c>
    </row>
    <row r="718" spans="1:18" x14ac:dyDescent="0.25">
      <c r="A718" t="s">
        <v>969</v>
      </c>
      <c r="B718" s="1">
        <v>40596</v>
      </c>
      <c r="C718" s="1">
        <v>40601</v>
      </c>
      <c r="D718" t="s">
        <v>18</v>
      </c>
      <c r="E718" t="s">
        <v>970</v>
      </c>
      <c r="F718" t="s">
        <v>43</v>
      </c>
      <c r="G718" t="s">
        <v>971</v>
      </c>
      <c r="H718" t="s">
        <v>972</v>
      </c>
      <c r="I718" t="s">
        <v>22</v>
      </c>
      <c r="J718" t="s">
        <v>22</v>
      </c>
      <c r="K718" t="s">
        <v>7</v>
      </c>
      <c r="L718" t="s">
        <v>137</v>
      </c>
      <c r="M718">
        <v>403</v>
      </c>
      <c r="N718">
        <v>8</v>
      </c>
      <c r="O718">
        <v>0</v>
      </c>
      <c r="P718">
        <v>24</v>
      </c>
      <c r="Q718">
        <v>30.21</v>
      </c>
      <c r="R718" t="s">
        <v>9</v>
      </c>
    </row>
    <row r="719" spans="1:18" x14ac:dyDescent="0.25">
      <c r="A719" t="s">
        <v>967</v>
      </c>
      <c r="B719" s="1">
        <v>40596</v>
      </c>
      <c r="C719" s="1">
        <v>40600</v>
      </c>
      <c r="D719" t="s">
        <v>1</v>
      </c>
      <c r="E719" t="s">
        <v>968</v>
      </c>
      <c r="F719" t="s">
        <v>3</v>
      </c>
      <c r="G719" t="s">
        <v>482</v>
      </c>
      <c r="H719" t="s">
        <v>298</v>
      </c>
      <c r="I719" t="s">
        <v>29</v>
      </c>
      <c r="J719" t="s">
        <v>102</v>
      </c>
      <c r="K719" t="s">
        <v>32</v>
      </c>
      <c r="L719" t="s">
        <v>33</v>
      </c>
      <c r="M719">
        <v>103</v>
      </c>
      <c r="N719">
        <v>2</v>
      </c>
      <c r="O719">
        <v>0</v>
      </c>
      <c r="P719">
        <v>29.76</v>
      </c>
      <c r="Q719">
        <v>20.149999999999999</v>
      </c>
      <c r="R719" t="s">
        <v>23</v>
      </c>
    </row>
    <row r="720" spans="1:18" x14ac:dyDescent="0.25">
      <c r="A720" t="s">
        <v>973</v>
      </c>
      <c r="B720" s="1">
        <v>40596</v>
      </c>
      <c r="C720" s="1">
        <v>40601</v>
      </c>
      <c r="D720" t="s">
        <v>1</v>
      </c>
      <c r="E720" t="s">
        <v>974</v>
      </c>
      <c r="F720" t="s">
        <v>26</v>
      </c>
      <c r="G720" t="s">
        <v>975</v>
      </c>
      <c r="H720" t="s">
        <v>81</v>
      </c>
      <c r="I720" t="s">
        <v>22</v>
      </c>
      <c r="J720" t="s">
        <v>22</v>
      </c>
      <c r="K720" t="s">
        <v>32</v>
      </c>
      <c r="L720" t="s">
        <v>62</v>
      </c>
      <c r="M720">
        <v>490</v>
      </c>
      <c r="N720">
        <v>1</v>
      </c>
      <c r="O720">
        <v>0</v>
      </c>
      <c r="P720">
        <v>63.66</v>
      </c>
      <c r="Q720">
        <v>17.73</v>
      </c>
      <c r="R720" t="s">
        <v>9</v>
      </c>
    </row>
    <row r="721" spans="1:18" x14ac:dyDescent="0.25">
      <c r="A721" t="s">
        <v>969</v>
      </c>
      <c r="B721" s="1">
        <v>40596</v>
      </c>
      <c r="C721" s="1">
        <v>40601</v>
      </c>
      <c r="D721" t="s">
        <v>18</v>
      </c>
      <c r="E721" t="s">
        <v>970</v>
      </c>
      <c r="F721" t="s">
        <v>43</v>
      </c>
      <c r="G721" t="s">
        <v>971</v>
      </c>
      <c r="H721" t="s">
        <v>972</v>
      </c>
      <c r="I721" t="s">
        <v>22</v>
      </c>
      <c r="J721" t="s">
        <v>22</v>
      </c>
      <c r="K721" t="s">
        <v>38</v>
      </c>
      <c r="L721" t="s">
        <v>39</v>
      </c>
      <c r="M721">
        <v>333</v>
      </c>
      <c r="N721">
        <v>4</v>
      </c>
      <c r="O721">
        <v>0</v>
      </c>
      <c r="P721">
        <v>29.88</v>
      </c>
      <c r="Q721">
        <v>15.62</v>
      </c>
      <c r="R721" t="s">
        <v>9</v>
      </c>
    </row>
    <row r="722" spans="1:18" x14ac:dyDescent="0.25">
      <c r="A722" t="s">
        <v>967</v>
      </c>
      <c r="B722" s="1">
        <v>40596</v>
      </c>
      <c r="C722" s="1">
        <v>40600</v>
      </c>
      <c r="D722" t="s">
        <v>1</v>
      </c>
      <c r="E722" t="s">
        <v>968</v>
      </c>
      <c r="F722" t="s">
        <v>3</v>
      </c>
      <c r="G722" t="s">
        <v>482</v>
      </c>
      <c r="H722" t="s">
        <v>298</v>
      </c>
      <c r="I722" t="s">
        <v>29</v>
      </c>
      <c r="J722" t="s">
        <v>102</v>
      </c>
      <c r="K722" t="s">
        <v>7</v>
      </c>
      <c r="L722" t="s">
        <v>137</v>
      </c>
      <c r="M722">
        <v>63</v>
      </c>
      <c r="N722">
        <v>5</v>
      </c>
      <c r="O722">
        <v>0</v>
      </c>
      <c r="P722">
        <v>8.1</v>
      </c>
      <c r="Q722">
        <v>9.61</v>
      </c>
      <c r="R722" t="s">
        <v>23</v>
      </c>
    </row>
    <row r="723" spans="1:18" x14ac:dyDescent="0.25">
      <c r="A723" t="s">
        <v>976</v>
      </c>
      <c r="B723" s="1">
        <v>40596</v>
      </c>
      <c r="C723" s="1">
        <v>40601</v>
      </c>
      <c r="D723" t="s">
        <v>1</v>
      </c>
      <c r="E723" t="s">
        <v>217</v>
      </c>
      <c r="F723" t="s">
        <v>3</v>
      </c>
      <c r="G723" t="s">
        <v>977</v>
      </c>
      <c r="H723" t="s">
        <v>978</v>
      </c>
      <c r="I723" t="s">
        <v>29</v>
      </c>
      <c r="J723" t="s">
        <v>30</v>
      </c>
      <c r="K723" t="s">
        <v>38</v>
      </c>
      <c r="L723" t="s">
        <v>77</v>
      </c>
      <c r="M723">
        <v>185</v>
      </c>
      <c r="N723">
        <v>3</v>
      </c>
      <c r="O723">
        <v>0.5</v>
      </c>
      <c r="P723">
        <v>-92.52</v>
      </c>
      <c r="Q723">
        <v>9.15</v>
      </c>
      <c r="R723" t="s">
        <v>9</v>
      </c>
    </row>
    <row r="724" spans="1:18" x14ac:dyDescent="0.25">
      <c r="A724" t="s">
        <v>973</v>
      </c>
      <c r="B724" s="1">
        <v>40596</v>
      </c>
      <c r="C724" s="1">
        <v>40601</v>
      </c>
      <c r="D724" t="s">
        <v>1</v>
      </c>
      <c r="E724" t="s">
        <v>974</v>
      </c>
      <c r="F724" t="s">
        <v>26</v>
      </c>
      <c r="G724" t="s">
        <v>975</v>
      </c>
      <c r="H724" t="s">
        <v>81</v>
      </c>
      <c r="I724" t="s">
        <v>22</v>
      </c>
      <c r="J724" t="s">
        <v>22</v>
      </c>
      <c r="K724" t="s">
        <v>7</v>
      </c>
      <c r="L724" t="s">
        <v>97</v>
      </c>
      <c r="M724">
        <v>115</v>
      </c>
      <c r="N724">
        <v>6</v>
      </c>
      <c r="O724">
        <v>0</v>
      </c>
      <c r="P724">
        <v>25.38</v>
      </c>
      <c r="Q724">
        <v>6.92</v>
      </c>
      <c r="R724" t="s">
        <v>9</v>
      </c>
    </row>
    <row r="725" spans="1:18" x14ac:dyDescent="0.25">
      <c r="A725" t="s">
        <v>979</v>
      </c>
      <c r="B725" s="1">
        <v>40596</v>
      </c>
      <c r="C725" s="1">
        <v>40600</v>
      </c>
      <c r="D725" t="s">
        <v>1</v>
      </c>
      <c r="E725" t="s">
        <v>980</v>
      </c>
      <c r="F725" t="s">
        <v>26</v>
      </c>
      <c r="G725" t="s">
        <v>930</v>
      </c>
      <c r="H725" t="s">
        <v>280</v>
      </c>
      <c r="I725" t="s">
        <v>14</v>
      </c>
      <c r="J725" t="s">
        <v>281</v>
      </c>
      <c r="K725" t="s">
        <v>38</v>
      </c>
      <c r="L725" t="s">
        <v>82</v>
      </c>
      <c r="M725">
        <v>207</v>
      </c>
      <c r="N725">
        <v>2</v>
      </c>
      <c r="O725">
        <v>0</v>
      </c>
      <c r="P725">
        <v>43.5</v>
      </c>
      <c r="Q725">
        <v>5.99</v>
      </c>
      <c r="R725" t="s">
        <v>9</v>
      </c>
    </row>
    <row r="726" spans="1:18" x14ac:dyDescent="0.25">
      <c r="A726" t="s">
        <v>973</v>
      </c>
      <c r="B726" s="1">
        <v>40596</v>
      </c>
      <c r="C726" s="1">
        <v>40601</v>
      </c>
      <c r="D726" t="s">
        <v>1</v>
      </c>
      <c r="E726" t="s">
        <v>974</v>
      </c>
      <c r="F726" t="s">
        <v>26</v>
      </c>
      <c r="G726" t="s">
        <v>975</v>
      </c>
      <c r="H726" t="s">
        <v>81</v>
      </c>
      <c r="I726" t="s">
        <v>22</v>
      </c>
      <c r="J726" t="s">
        <v>22</v>
      </c>
      <c r="K726" t="s">
        <v>7</v>
      </c>
      <c r="L726" t="s">
        <v>8</v>
      </c>
      <c r="M726">
        <v>58</v>
      </c>
      <c r="N726">
        <v>1</v>
      </c>
      <c r="O726">
        <v>0</v>
      </c>
      <c r="P726">
        <v>15.03</v>
      </c>
      <c r="Q726">
        <v>5.34</v>
      </c>
      <c r="R726" t="s">
        <v>9</v>
      </c>
    </row>
    <row r="727" spans="1:18" x14ac:dyDescent="0.25">
      <c r="A727" t="s">
        <v>981</v>
      </c>
      <c r="B727" s="1">
        <v>40596</v>
      </c>
      <c r="C727" s="1">
        <v>40598</v>
      </c>
      <c r="D727" t="s">
        <v>18</v>
      </c>
      <c r="E727" t="s">
        <v>982</v>
      </c>
      <c r="F727" t="s">
        <v>43</v>
      </c>
      <c r="G727" t="s">
        <v>572</v>
      </c>
      <c r="H727" t="s">
        <v>285</v>
      </c>
      <c r="I727" t="s">
        <v>22</v>
      </c>
      <c r="J727" t="s">
        <v>22</v>
      </c>
      <c r="K727" t="s">
        <v>7</v>
      </c>
      <c r="L727" t="s">
        <v>8</v>
      </c>
      <c r="M727">
        <v>25</v>
      </c>
      <c r="N727">
        <v>1</v>
      </c>
      <c r="O727">
        <v>0.6</v>
      </c>
      <c r="P727">
        <v>-18.527999999999999</v>
      </c>
      <c r="Q727">
        <v>3.84</v>
      </c>
      <c r="R727" t="s">
        <v>23</v>
      </c>
    </row>
    <row r="728" spans="1:18" x14ac:dyDescent="0.25">
      <c r="A728" t="s">
        <v>967</v>
      </c>
      <c r="B728" s="1">
        <v>40596</v>
      </c>
      <c r="C728" s="1">
        <v>40600</v>
      </c>
      <c r="D728" t="s">
        <v>1</v>
      </c>
      <c r="E728" t="s">
        <v>968</v>
      </c>
      <c r="F728" t="s">
        <v>3</v>
      </c>
      <c r="G728" t="s">
        <v>482</v>
      </c>
      <c r="H728" t="s">
        <v>298</v>
      </c>
      <c r="I728" t="s">
        <v>29</v>
      </c>
      <c r="J728" t="s">
        <v>102</v>
      </c>
      <c r="K728" t="s">
        <v>7</v>
      </c>
      <c r="L728" t="s">
        <v>137</v>
      </c>
      <c r="M728">
        <v>41</v>
      </c>
      <c r="N728">
        <v>3</v>
      </c>
      <c r="O728">
        <v>0</v>
      </c>
      <c r="P728">
        <v>12.24</v>
      </c>
      <c r="Q728">
        <v>3.66</v>
      </c>
      <c r="R728" t="s">
        <v>23</v>
      </c>
    </row>
    <row r="729" spans="1:18" x14ac:dyDescent="0.25">
      <c r="A729" t="s">
        <v>967</v>
      </c>
      <c r="B729" s="1">
        <v>40596</v>
      </c>
      <c r="C729" s="1">
        <v>40600</v>
      </c>
      <c r="D729" t="s">
        <v>1</v>
      </c>
      <c r="E729" t="s">
        <v>968</v>
      </c>
      <c r="F729" t="s">
        <v>3</v>
      </c>
      <c r="G729" t="s">
        <v>482</v>
      </c>
      <c r="H729" t="s">
        <v>298</v>
      </c>
      <c r="I729" t="s">
        <v>29</v>
      </c>
      <c r="J729" t="s">
        <v>102</v>
      </c>
      <c r="K729" t="s">
        <v>7</v>
      </c>
      <c r="L729" t="s">
        <v>137</v>
      </c>
      <c r="M729">
        <v>23</v>
      </c>
      <c r="N729">
        <v>2</v>
      </c>
      <c r="O729">
        <v>0</v>
      </c>
      <c r="P729">
        <v>8.2200000000000006</v>
      </c>
      <c r="Q729">
        <v>3.23</v>
      </c>
      <c r="R729" t="s">
        <v>23</v>
      </c>
    </row>
    <row r="730" spans="1:18" x14ac:dyDescent="0.25">
      <c r="A730" t="s">
        <v>983</v>
      </c>
      <c r="B730" s="1">
        <v>40596</v>
      </c>
      <c r="C730" s="1">
        <v>40600</v>
      </c>
      <c r="D730" t="s">
        <v>1</v>
      </c>
      <c r="E730" t="s">
        <v>984</v>
      </c>
      <c r="F730" t="s">
        <v>26</v>
      </c>
      <c r="G730" t="s">
        <v>985</v>
      </c>
      <c r="H730" t="s">
        <v>893</v>
      </c>
      <c r="I730" t="s">
        <v>6</v>
      </c>
      <c r="J730" t="s">
        <v>6</v>
      </c>
      <c r="K730" t="s">
        <v>7</v>
      </c>
      <c r="L730" t="s">
        <v>91</v>
      </c>
      <c r="M730">
        <v>38</v>
      </c>
      <c r="N730">
        <v>2</v>
      </c>
      <c r="O730">
        <v>0</v>
      </c>
      <c r="P730">
        <v>15.12</v>
      </c>
      <c r="Q730">
        <v>3.15</v>
      </c>
      <c r="R730" t="s">
        <v>9</v>
      </c>
    </row>
    <row r="731" spans="1:18" x14ac:dyDescent="0.25">
      <c r="A731" t="s">
        <v>969</v>
      </c>
      <c r="B731" s="1">
        <v>40596</v>
      </c>
      <c r="C731" s="1">
        <v>40601</v>
      </c>
      <c r="D731" t="s">
        <v>18</v>
      </c>
      <c r="E731" t="s">
        <v>970</v>
      </c>
      <c r="F731" t="s">
        <v>43</v>
      </c>
      <c r="G731" t="s">
        <v>971</v>
      </c>
      <c r="H731" t="s">
        <v>972</v>
      </c>
      <c r="I731" t="s">
        <v>22</v>
      </c>
      <c r="J731" t="s">
        <v>22</v>
      </c>
      <c r="K731" t="s">
        <v>7</v>
      </c>
      <c r="L731" t="s">
        <v>96</v>
      </c>
      <c r="M731">
        <v>47</v>
      </c>
      <c r="N731">
        <v>2</v>
      </c>
      <c r="O731">
        <v>0</v>
      </c>
      <c r="P731">
        <v>8.94</v>
      </c>
      <c r="Q731">
        <v>1.95</v>
      </c>
      <c r="R731" t="s">
        <v>9</v>
      </c>
    </row>
    <row r="732" spans="1:18" x14ac:dyDescent="0.25">
      <c r="A732" t="s">
        <v>986</v>
      </c>
      <c r="B732" s="1">
        <v>40596</v>
      </c>
      <c r="C732" s="1">
        <v>40598</v>
      </c>
      <c r="D732" t="s">
        <v>18</v>
      </c>
      <c r="E732" t="s">
        <v>987</v>
      </c>
      <c r="F732" t="s">
        <v>3</v>
      </c>
      <c r="G732" t="s">
        <v>153</v>
      </c>
      <c r="H732" t="s">
        <v>115</v>
      </c>
      <c r="I732" t="s">
        <v>29</v>
      </c>
      <c r="J732" t="s">
        <v>76</v>
      </c>
      <c r="K732" t="s">
        <v>7</v>
      </c>
      <c r="L732" t="s">
        <v>137</v>
      </c>
      <c r="M732">
        <v>10</v>
      </c>
      <c r="N732">
        <v>2</v>
      </c>
      <c r="O732">
        <v>0</v>
      </c>
      <c r="P732">
        <v>2.34</v>
      </c>
      <c r="Q732">
        <v>1.0900000000000001</v>
      </c>
      <c r="R732" t="s">
        <v>23</v>
      </c>
    </row>
    <row r="733" spans="1:18" x14ac:dyDescent="0.25">
      <c r="A733" t="s">
        <v>988</v>
      </c>
      <c r="B733" s="1">
        <v>40596</v>
      </c>
      <c r="C733" s="1">
        <v>40600</v>
      </c>
      <c r="D733" t="s">
        <v>1</v>
      </c>
      <c r="E733" t="s">
        <v>989</v>
      </c>
      <c r="F733" t="s">
        <v>3</v>
      </c>
      <c r="G733" t="s">
        <v>146</v>
      </c>
      <c r="H733" t="s">
        <v>126</v>
      </c>
      <c r="I733" t="s">
        <v>127</v>
      </c>
      <c r="J733" t="s">
        <v>76</v>
      </c>
      <c r="K733" t="s">
        <v>7</v>
      </c>
      <c r="L733" t="s">
        <v>137</v>
      </c>
      <c r="M733">
        <v>9</v>
      </c>
      <c r="N733">
        <v>5</v>
      </c>
      <c r="O733">
        <v>0.8</v>
      </c>
      <c r="P733">
        <v>-13.717499999999999</v>
      </c>
      <c r="Q733">
        <v>0.7</v>
      </c>
      <c r="R733" t="s">
        <v>9</v>
      </c>
    </row>
    <row r="734" spans="1:18" x14ac:dyDescent="0.25">
      <c r="A734" t="s">
        <v>981</v>
      </c>
      <c r="B734" s="1">
        <v>40596</v>
      </c>
      <c r="C734" s="1">
        <v>40598</v>
      </c>
      <c r="D734" t="s">
        <v>18</v>
      </c>
      <c r="E734" t="s">
        <v>982</v>
      </c>
      <c r="F734" t="s">
        <v>43</v>
      </c>
      <c r="G734" t="s">
        <v>572</v>
      </c>
      <c r="H734" t="s">
        <v>285</v>
      </c>
      <c r="I734" t="s">
        <v>22</v>
      </c>
      <c r="J734" t="s">
        <v>22</v>
      </c>
      <c r="K734" t="s">
        <v>7</v>
      </c>
      <c r="L734" t="s">
        <v>31</v>
      </c>
      <c r="M734">
        <v>6</v>
      </c>
      <c r="N734">
        <v>1</v>
      </c>
      <c r="O734">
        <v>0.6</v>
      </c>
      <c r="P734">
        <v>-5.6580000000000004</v>
      </c>
      <c r="Q734">
        <v>0.54</v>
      </c>
      <c r="R734" t="s">
        <v>23</v>
      </c>
    </row>
    <row r="735" spans="1:18" x14ac:dyDescent="0.25">
      <c r="A735" t="s">
        <v>973</v>
      </c>
      <c r="B735" s="1">
        <v>40596</v>
      </c>
      <c r="C735" s="1">
        <v>40601</v>
      </c>
      <c r="D735" t="s">
        <v>1</v>
      </c>
      <c r="E735" t="s">
        <v>974</v>
      </c>
      <c r="F735" t="s">
        <v>26</v>
      </c>
      <c r="G735" t="s">
        <v>975</v>
      </c>
      <c r="H735" t="s">
        <v>81</v>
      </c>
      <c r="I735" t="s">
        <v>22</v>
      </c>
      <c r="J735" t="s">
        <v>22</v>
      </c>
      <c r="K735" t="s">
        <v>7</v>
      </c>
      <c r="L735" t="s">
        <v>87</v>
      </c>
      <c r="M735">
        <v>11</v>
      </c>
      <c r="N735">
        <v>1</v>
      </c>
      <c r="O735">
        <v>0</v>
      </c>
      <c r="P735">
        <v>1.5</v>
      </c>
      <c r="Q735">
        <v>0.34</v>
      </c>
      <c r="R735" t="s">
        <v>9</v>
      </c>
    </row>
    <row r="736" spans="1:18" x14ac:dyDescent="0.25">
      <c r="A736" t="s">
        <v>990</v>
      </c>
      <c r="B736" s="1">
        <v>40596</v>
      </c>
      <c r="C736" s="1">
        <v>40600</v>
      </c>
      <c r="D736" t="s">
        <v>1</v>
      </c>
      <c r="E736" t="s">
        <v>922</v>
      </c>
      <c r="F736" t="s">
        <v>43</v>
      </c>
      <c r="G736" t="s">
        <v>991</v>
      </c>
      <c r="H736" t="s">
        <v>285</v>
      </c>
      <c r="I736" t="s">
        <v>22</v>
      </c>
      <c r="J736" t="s">
        <v>22</v>
      </c>
      <c r="K736" t="s">
        <v>7</v>
      </c>
      <c r="L736" t="s">
        <v>87</v>
      </c>
      <c r="M736">
        <v>4</v>
      </c>
      <c r="N736">
        <v>1</v>
      </c>
      <c r="O736">
        <v>0.6</v>
      </c>
      <c r="P736">
        <v>-2.3220000000000001</v>
      </c>
      <c r="Q736">
        <v>0.34</v>
      </c>
      <c r="R736" t="s">
        <v>23</v>
      </c>
    </row>
    <row r="737" spans="1:18" x14ac:dyDescent="0.25">
      <c r="A737" t="s">
        <v>992</v>
      </c>
      <c r="B737" s="1">
        <v>40597</v>
      </c>
      <c r="C737" s="1">
        <v>40600</v>
      </c>
      <c r="D737" t="s">
        <v>142</v>
      </c>
      <c r="E737" t="s">
        <v>993</v>
      </c>
      <c r="F737" t="s">
        <v>43</v>
      </c>
      <c r="G737" t="s">
        <v>994</v>
      </c>
      <c r="H737" t="s">
        <v>280</v>
      </c>
      <c r="I737" t="s">
        <v>14</v>
      </c>
      <c r="J737" t="s">
        <v>281</v>
      </c>
      <c r="K737" t="s">
        <v>38</v>
      </c>
      <c r="L737" t="s">
        <v>50</v>
      </c>
      <c r="M737" s="2">
        <v>1527</v>
      </c>
      <c r="N737">
        <v>4</v>
      </c>
      <c r="O737">
        <v>0</v>
      </c>
      <c r="P737">
        <v>732.72</v>
      </c>
      <c r="Q737">
        <v>319.52999999999997</v>
      </c>
      <c r="R737" t="s">
        <v>23</v>
      </c>
    </row>
    <row r="738" spans="1:18" x14ac:dyDescent="0.25">
      <c r="A738" t="s">
        <v>992</v>
      </c>
      <c r="B738" s="1">
        <v>40597</v>
      </c>
      <c r="C738" s="1">
        <v>40600</v>
      </c>
      <c r="D738" t="s">
        <v>142</v>
      </c>
      <c r="E738" t="s">
        <v>993</v>
      </c>
      <c r="F738" t="s">
        <v>43</v>
      </c>
      <c r="G738" t="s">
        <v>994</v>
      </c>
      <c r="H738" t="s">
        <v>280</v>
      </c>
      <c r="I738" t="s">
        <v>14</v>
      </c>
      <c r="J738" t="s">
        <v>281</v>
      </c>
      <c r="K738" t="s">
        <v>32</v>
      </c>
      <c r="L738" t="s">
        <v>67</v>
      </c>
      <c r="M738" s="2">
        <v>2066</v>
      </c>
      <c r="N738">
        <v>5</v>
      </c>
      <c r="O738">
        <v>0</v>
      </c>
      <c r="P738">
        <v>41.25</v>
      </c>
      <c r="Q738">
        <v>248.81</v>
      </c>
      <c r="R738" t="s">
        <v>23</v>
      </c>
    </row>
    <row r="739" spans="1:18" x14ac:dyDescent="0.25">
      <c r="A739" t="s">
        <v>995</v>
      </c>
      <c r="B739" s="1">
        <v>40597</v>
      </c>
      <c r="C739" s="1">
        <v>40600</v>
      </c>
      <c r="D739" t="s">
        <v>142</v>
      </c>
      <c r="E739" t="s">
        <v>831</v>
      </c>
      <c r="F739" t="s">
        <v>3</v>
      </c>
      <c r="G739" t="s">
        <v>445</v>
      </c>
      <c r="H739" t="s">
        <v>106</v>
      </c>
      <c r="I739" t="s">
        <v>75</v>
      </c>
      <c r="J739" t="s">
        <v>30</v>
      </c>
      <c r="K739" t="s">
        <v>32</v>
      </c>
      <c r="L739" t="s">
        <v>56</v>
      </c>
      <c r="M739">
        <v>158</v>
      </c>
      <c r="N739">
        <v>5</v>
      </c>
      <c r="O739">
        <v>0.2</v>
      </c>
      <c r="P739">
        <v>-0.06</v>
      </c>
      <c r="Q739">
        <v>59.64</v>
      </c>
      <c r="R739" t="s">
        <v>45</v>
      </c>
    </row>
    <row r="740" spans="1:18" x14ac:dyDescent="0.25">
      <c r="A740" t="s">
        <v>996</v>
      </c>
      <c r="B740" s="1">
        <v>40597</v>
      </c>
      <c r="C740" s="1">
        <v>40600</v>
      </c>
      <c r="D740" t="s">
        <v>18</v>
      </c>
      <c r="E740" t="s">
        <v>997</v>
      </c>
      <c r="F740" t="s">
        <v>3</v>
      </c>
      <c r="G740" t="s">
        <v>998</v>
      </c>
      <c r="H740" t="s">
        <v>999</v>
      </c>
      <c r="I740" t="s">
        <v>14</v>
      </c>
      <c r="J740" t="s">
        <v>281</v>
      </c>
      <c r="K740" t="s">
        <v>32</v>
      </c>
      <c r="L740" t="s">
        <v>56</v>
      </c>
      <c r="M740">
        <v>160</v>
      </c>
      <c r="N740">
        <v>2</v>
      </c>
      <c r="O740">
        <v>0.2</v>
      </c>
      <c r="P740">
        <v>-28.056000000000001</v>
      </c>
      <c r="Q740">
        <v>25.95</v>
      </c>
      <c r="R740" t="s">
        <v>23</v>
      </c>
    </row>
    <row r="741" spans="1:18" x14ac:dyDescent="0.25">
      <c r="A741" t="s">
        <v>996</v>
      </c>
      <c r="B741" s="1">
        <v>40597</v>
      </c>
      <c r="C741" s="1">
        <v>40600</v>
      </c>
      <c r="D741" t="s">
        <v>18</v>
      </c>
      <c r="E741" t="s">
        <v>997</v>
      </c>
      <c r="F741" t="s">
        <v>3</v>
      </c>
      <c r="G741" t="s">
        <v>998</v>
      </c>
      <c r="H741" t="s">
        <v>999</v>
      </c>
      <c r="I741" t="s">
        <v>14</v>
      </c>
      <c r="J741" t="s">
        <v>281</v>
      </c>
      <c r="K741" t="s">
        <v>38</v>
      </c>
      <c r="L741" t="s">
        <v>77</v>
      </c>
      <c r="M741">
        <v>98</v>
      </c>
      <c r="N741">
        <v>3</v>
      </c>
      <c r="O741">
        <v>0.5</v>
      </c>
      <c r="P741">
        <v>-29.43</v>
      </c>
      <c r="Q741">
        <v>13.05</v>
      </c>
      <c r="R741" t="s">
        <v>23</v>
      </c>
    </row>
    <row r="742" spans="1:18" x14ac:dyDescent="0.25">
      <c r="A742" t="s">
        <v>1000</v>
      </c>
      <c r="B742" s="1">
        <v>40597</v>
      </c>
      <c r="C742" s="1">
        <v>40597</v>
      </c>
      <c r="D742" t="s">
        <v>41</v>
      </c>
      <c r="E742" t="s">
        <v>1001</v>
      </c>
      <c r="F742" t="s">
        <v>3</v>
      </c>
      <c r="G742" t="s">
        <v>1002</v>
      </c>
      <c r="H742" t="s">
        <v>1003</v>
      </c>
      <c r="I742" t="s">
        <v>22</v>
      </c>
      <c r="J742" t="s">
        <v>22</v>
      </c>
      <c r="K742" t="s">
        <v>7</v>
      </c>
      <c r="L742" t="s">
        <v>137</v>
      </c>
      <c r="M742">
        <v>49</v>
      </c>
      <c r="N742">
        <v>1</v>
      </c>
      <c r="O742">
        <v>0</v>
      </c>
      <c r="P742">
        <v>5.4</v>
      </c>
      <c r="Q742">
        <v>9.76</v>
      </c>
      <c r="R742" t="s">
        <v>9</v>
      </c>
    </row>
    <row r="743" spans="1:18" x14ac:dyDescent="0.25">
      <c r="A743" t="s">
        <v>992</v>
      </c>
      <c r="B743" s="1">
        <v>40597</v>
      </c>
      <c r="C743" s="1">
        <v>40600</v>
      </c>
      <c r="D743" t="s">
        <v>142</v>
      </c>
      <c r="E743" t="s">
        <v>993</v>
      </c>
      <c r="F743" t="s">
        <v>43</v>
      </c>
      <c r="G743" t="s">
        <v>994</v>
      </c>
      <c r="H743" t="s">
        <v>280</v>
      </c>
      <c r="I743" t="s">
        <v>14</v>
      </c>
      <c r="J743" t="s">
        <v>281</v>
      </c>
      <c r="K743" t="s">
        <v>7</v>
      </c>
      <c r="L743" t="s">
        <v>16</v>
      </c>
      <c r="M743">
        <v>169</v>
      </c>
      <c r="N743">
        <v>4</v>
      </c>
      <c r="O743">
        <v>0</v>
      </c>
      <c r="P743">
        <v>70.8</v>
      </c>
      <c r="Q743">
        <v>8.4</v>
      </c>
      <c r="R743" t="s">
        <v>23</v>
      </c>
    </row>
    <row r="744" spans="1:18" x14ac:dyDescent="0.25">
      <c r="A744" t="s">
        <v>1004</v>
      </c>
      <c r="B744" s="1">
        <v>40597</v>
      </c>
      <c r="C744" s="1">
        <v>40599</v>
      </c>
      <c r="D744" t="s">
        <v>142</v>
      </c>
      <c r="E744" t="s">
        <v>566</v>
      </c>
      <c r="F744" t="s">
        <v>3</v>
      </c>
      <c r="G744" t="s">
        <v>191</v>
      </c>
      <c r="H744" t="s">
        <v>126</v>
      </c>
      <c r="I744" t="s">
        <v>127</v>
      </c>
      <c r="J744" t="s">
        <v>192</v>
      </c>
      <c r="K744" t="s">
        <v>7</v>
      </c>
      <c r="L744" t="s">
        <v>31</v>
      </c>
      <c r="M744">
        <v>19</v>
      </c>
      <c r="N744">
        <v>3</v>
      </c>
      <c r="O744">
        <v>0</v>
      </c>
      <c r="P744">
        <v>9.3312000000000008</v>
      </c>
      <c r="Q744">
        <v>5.01</v>
      </c>
      <c r="R744" t="s">
        <v>23</v>
      </c>
    </row>
    <row r="745" spans="1:18" x14ac:dyDescent="0.25">
      <c r="A745" t="s">
        <v>992</v>
      </c>
      <c r="B745" s="1">
        <v>40597</v>
      </c>
      <c r="C745" s="1">
        <v>40600</v>
      </c>
      <c r="D745" t="s">
        <v>142</v>
      </c>
      <c r="E745" t="s">
        <v>993</v>
      </c>
      <c r="F745" t="s">
        <v>43</v>
      </c>
      <c r="G745" t="s">
        <v>994</v>
      </c>
      <c r="H745" t="s">
        <v>280</v>
      </c>
      <c r="I745" t="s">
        <v>14</v>
      </c>
      <c r="J745" t="s">
        <v>281</v>
      </c>
      <c r="K745" t="s">
        <v>7</v>
      </c>
      <c r="L745" t="s">
        <v>96</v>
      </c>
      <c r="M745">
        <v>17</v>
      </c>
      <c r="N745">
        <v>2</v>
      </c>
      <c r="O745">
        <v>0</v>
      </c>
      <c r="P745">
        <v>3.3</v>
      </c>
      <c r="Q745">
        <v>3.97</v>
      </c>
      <c r="R745" t="s">
        <v>23</v>
      </c>
    </row>
    <row r="746" spans="1:18" x14ac:dyDescent="0.25">
      <c r="A746" t="s">
        <v>996</v>
      </c>
      <c r="B746" s="1">
        <v>40597</v>
      </c>
      <c r="C746" s="1">
        <v>40600</v>
      </c>
      <c r="D746" t="s">
        <v>18</v>
      </c>
      <c r="E746" t="s">
        <v>997</v>
      </c>
      <c r="F746" t="s">
        <v>3</v>
      </c>
      <c r="G746" t="s">
        <v>998</v>
      </c>
      <c r="H746" t="s">
        <v>999</v>
      </c>
      <c r="I746" t="s">
        <v>14</v>
      </c>
      <c r="J746" t="s">
        <v>281</v>
      </c>
      <c r="K746" t="s">
        <v>7</v>
      </c>
      <c r="L746" t="s">
        <v>31</v>
      </c>
      <c r="M746">
        <v>45</v>
      </c>
      <c r="N746">
        <v>3</v>
      </c>
      <c r="O746">
        <v>0.5</v>
      </c>
      <c r="P746">
        <v>0</v>
      </c>
      <c r="Q746">
        <v>1.48</v>
      </c>
      <c r="R746" t="s">
        <v>23</v>
      </c>
    </row>
    <row r="747" spans="1:18" x14ac:dyDescent="0.25">
      <c r="A747" t="s">
        <v>1005</v>
      </c>
      <c r="B747" s="1">
        <v>40597</v>
      </c>
      <c r="C747" s="1">
        <v>40602</v>
      </c>
      <c r="D747" t="s">
        <v>1</v>
      </c>
      <c r="E747" t="s">
        <v>715</v>
      </c>
      <c r="F747" t="s">
        <v>43</v>
      </c>
      <c r="G747" t="s">
        <v>1006</v>
      </c>
      <c r="H747" t="s">
        <v>298</v>
      </c>
      <c r="I747" t="s">
        <v>29</v>
      </c>
      <c r="J747" t="s">
        <v>102</v>
      </c>
      <c r="K747" t="s">
        <v>32</v>
      </c>
      <c r="L747" t="s">
        <v>56</v>
      </c>
      <c r="M747">
        <v>47</v>
      </c>
      <c r="N747">
        <v>2</v>
      </c>
      <c r="O747">
        <v>0.6</v>
      </c>
      <c r="P747">
        <v>-60.408000000000001</v>
      </c>
      <c r="Q747">
        <v>0.93</v>
      </c>
      <c r="R747" t="s">
        <v>9</v>
      </c>
    </row>
    <row r="748" spans="1:18" x14ac:dyDescent="0.25">
      <c r="A748" t="s">
        <v>1007</v>
      </c>
      <c r="B748" s="1">
        <v>40598</v>
      </c>
      <c r="C748" s="1">
        <v>40602</v>
      </c>
      <c r="D748" t="s">
        <v>1</v>
      </c>
      <c r="E748" t="s">
        <v>1008</v>
      </c>
      <c r="F748" t="s">
        <v>43</v>
      </c>
      <c r="G748" t="s">
        <v>1009</v>
      </c>
      <c r="H748" t="s">
        <v>486</v>
      </c>
      <c r="I748" t="s">
        <v>29</v>
      </c>
      <c r="J748" t="s">
        <v>76</v>
      </c>
      <c r="K748" t="s">
        <v>32</v>
      </c>
      <c r="L748" t="s">
        <v>67</v>
      </c>
      <c r="M748" s="2">
        <v>2076</v>
      </c>
      <c r="N748">
        <v>5</v>
      </c>
      <c r="O748">
        <v>0</v>
      </c>
      <c r="P748">
        <v>103.8</v>
      </c>
      <c r="Q748">
        <v>197.11</v>
      </c>
      <c r="R748" t="s">
        <v>9</v>
      </c>
    </row>
    <row r="749" spans="1:18" x14ac:dyDescent="0.25">
      <c r="A749" t="s">
        <v>1010</v>
      </c>
      <c r="B749" s="1">
        <v>40598</v>
      </c>
      <c r="C749" s="1">
        <v>40599</v>
      </c>
      <c r="D749" t="s">
        <v>142</v>
      </c>
      <c r="E749" t="s">
        <v>736</v>
      </c>
      <c r="F749" t="s">
        <v>43</v>
      </c>
      <c r="G749" t="s">
        <v>1011</v>
      </c>
      <c r="H749" t="s">
        <v>81</v>
      </c>
      <c r="I749" t="s">
        <v>22</v>
      </c>
      <c r="J749" t="s">
        <v>22</v>
      </c>
      <c r="K749" t="s">
        <v>38</v>
      </c>
      <c r="L749" t="s">
        <v>77</v>
      </c>
      <c r="M749">
        <v>654</v>
      </c>
      <c r="N749">
        <v>1</v>
      </c>
      <c r="O749">
        <v>0</v>
      </c>
      <c r="P749">
        <v>287.85000000000002</v>
      </c>
      <c r="Q749">
        <v>136.02000000000001</v>
      </c>
      <c r="R749" t="s">
        <v>9</v>
      </c>
    </row>
    <row r="750" spans="1:18" x14ac:dyDescent="0.25">
      <c r="A750" t="s">
        <v>1012</v>
      </c>
      <c r="B750" s="1">
        <v>40598</v>
      </c>
      <c r="C750" s="1">
        <v>40598</v>
      </c>
      <c r="D750" t="s">
        <v>41</v>
      </c>
      <c r="E750" t="s">
        <v>1013</v>
      </c>
      <c r="F750" t="s">
        <v>3</v>
      </c>
      <c r="G750" t="s">
        <v>1014</v>
      </c>
      <c r="H750" t="s">
        <v>101</v>
      </c>
      <c r="I750" t="s">
        <v>75</v>
      </c>
      <c r="J750" t="s">
        <v>102</v>
      </c>
      <c r="K750" t="s">
        <v>38</v>
      </c>
      <c r="L750" t="s">
        <v>50</v>
      </c>
      <c r="M750">
        <v>501</v>
      </c>
      <c r="N750">
        <v>2</v>
      </c>
      <c r="O750">
        <v>2E-3</v>
      </c>
      <c r="P750">
        <v>84.395039999999995</v>
      </c>
      <c r="Q750">
        <v>69.650000000000006</v>
      </c>
      <c r="R750" t="s">
        <v>9</v>
      </c>
    </row>
    <row r="751" spans="1:18" x14ac:dyDescent="0.25">
      <c r="A751" t="s">
        <v>1010</v>
      </c>
      <c r="B751" s="1">
        <v>40598</v>
      </c>
      <c r="C751" s="1">
        <v>40599</v>
      </c>
      <c r="D751" t="s">
        <v>142</v>
      </c>
      <c r="E751" t="s">
        <v>736</v>
      </c>
      <c r="F751" t="s">
        <v>43</v>
      </c>
      <c r="G751" t="s">
        <v>1011</v>
      </c>
      <c r="H751" t="s">
        <v>81</v>
      </c>
      <c r="I751" t="s">
        <v>22</v>
      </c>
      <c r="J751" t="s">
        <v>22</v>
      </c>
      <c r="K751" t="s">
        <v>38</v>
      </c>
      <c r="L751" t="s">
        <v>82</v>
      </c>
      <c r="M751">
        <v>490</v>
      </c>
      <c r="N751">
        <v>6</v>
      </c>
      <c r="O751">
        <v>0</v>
      </c>
      <c r="P751">
        <v>29.34</v>
      </c>
      <c r="Q751">
        <v>39.03</v>
      </c>
      <c r="R751" t="s">
        <v>9</v>
      </c>
    </row>
    <row r="752" spans="1:18" x14ac:dyDescent="0.25">
      <c r="A752" t="s">
        <v>1015</v>
      </c>
      <c r="B752" s="1">
        <v>40598</v>
      </c>
      <c r="C752" s="1">
        <v>40602</v>
      </c>
      <c r="D752" t="s">
        <v>1</v>
      </c>
      <c r="E752" t="s">
        <v>885</v>
      </c>
      <c r="F752" t="s">
        <v>3</v>
      </c>
      <c r="G752" t="s">
        <v>1016</v>
      </c>
      <c r="H752" t="s">
        <v>101</v>
      </c>
      <c r="I752" t="s">
        <v>75</v>
      </c>
      <c r="J752" t="s">
        <v>102</v>
      </c>
      <c r="K752" t="s">
        <v>38</v>
      </c>
      <c r="L752" t="s">
        <v>39</v>
      </c>
      <c r="M752">
        <v>143</v>
      </c>
      <c r="N752">
        <v>2</v>
      </c>
      <c r="O752">
        <v>0.6</v>
      </c>
      <c r="P752">
        <v>-85.975999999999999</v>
      </c>
      <c r="Q752">
        <v>22.4</v>
      </c>
      <c r="R752" t="s">
        <v>23</v>
      </c>
    </row>
    <row r="753" spans="1:18" x14ac:dyDescent="0.25">
      <c r="A753" t="s">
        <v>1017</v>
      </c>
      <c r="B753" s="1">
        <v>40598</v>
      </c>
      <c r="C753" s="1">
        <v>40599</v>
      </c>
      <c r="D753" t="s">
        <v>142</v>
      </c>
      <c r="E753" t="s">
        <v>1018</v>
      </c>
      <c r="F753" t="s">
        <v>43</v>
      </c>
      <c r="G753" t="s">
        <v>422</v>
      </c>
      <c r="H753" t="s">
        <v>423</v>
      </c>
      <c r="I753" t="s">
        <v>14</v>
      </c>
      <c r="J753" t="s">
        <v>61</v>
      </c>
      <c r="K753" t="s">
        <v>7</v>
      </c>
      <c r="L753" t="s">
        <v>96</v>
      </c>
      <c r="M753">
        <v>95</v>
      </c>
      <c r="N753">
        <v>5</v>
      </c>
      <c r="O753">
        <v>0.17</v>
      </c>
      <c r="P753">
        <v>-7.0065</v>
      </c>
      <c r="Q753">
        <v>19.89</v>
      </c>
      <c r="R753" t="s">
        <v>9</v>
      </c>
    </row>
    <row r="754" spans="1:18" x14ac:dyDescent="0.25">
      <c r="A754" t="s">
        <v>1012</v>
      </c>
      <c r="B754" s="1">
        <v>40598</v>
      </c>
      <c r="C754" s="1">
        <v>40598</v>
      </c>
      <c r="D754" t="s">
        <v>41</v>
      </c>
      <c r="E754" t="s">
        <v>1013</v>
      </c>
      <c r="F754" t="s">
        <v>3</v>
      </c>
      <c r="G754" t="s">
        <v>1014</v>
      </c>
      <c r="H754" t="s">
        <v>101</v>
      </c>
      <c r="I754" t="s">
        <v>75</v>
      </c>
      <c r="J754" t="s">
        <v>102</v>
      </c>
      <c r="K754" t="s">
        <v>38</v>
      </c>
      <c r="L754" t="s">
        <v>77</v>
      </c>
      <c r="M754">
        <v>612</v>
      </c>
      <c r="N754">
        <v>6</v>
      </c>
      <c r="O754">
        <v>0</v>
      </c>
      <c r="P754">
        <v>238.8</v>
      </c>
      <c r="Q754">
        <v>19.510000000000002</v>
      </c>
      <c r="R754" t="s">
        <v>9</v>
      </c>
    </row>
    <row r="755" spans="1:18" x14ac:dyDescent="0.25">
      <c r="A755" t="s">
        <v>1007</v>
      </c>
      <c r="B755" s="1">
        <v>40598</v>
      </c>
      <c r="C755" s="1">
        <v>40602</v>
      </c>
      <c r="D755" t="s">
        <v>1</v>
      </c>
      <c r="E755" t="s">
        <v>1008</v>
      </c>
      <c r="F755" t="s">
        <v>43</v>
      </c>
      <c r="G755" t="s">
        <v>1009</v>
      </c>
      <c r="H755" t="s">
        <v>486</v>
      </c>
      <c r="I755" t="s">
        <v>29</v>
      </c>
      <c r="J755" t="s">
        <v>76</v>
      </c>
      <c r="K755" t="s">
        <v>7</v>
      </c>
      <c r="L755" t="s">
        <v>137</v>
      </c>
      <c r="M755">
        <v>309</v>
      </c>
      <c r="N755">
        <v>6</v>
      </c>
      <c r="O755">
        <v>0</v>
      </c>
      <c r="P755">
        <v>77.040000000000006</v>
      </c>
      <c r="Q755">
        <v>13.8</v>
      </c>
      <c r="R755" t="s">
        <v>9</v>
      </c>
    </row>
    <row r="756" spans="1:18" x14ac:dyDescent="0.25">
      <c r="A756" t="s">
        <v>1019</v>
      </c>
      <c r="B756" s="1">
        <v>40598</v>
      </c>
      <c r="C756" s="1">
        <v>40605</v>
      </c>
      <c r="D756" t="s">
        <v>1</v>
      </c>
      <c r="E756" t="s">
        <v>2</v>
      </c>
      <c r="F756" t="s">
        <v>3</v>
      </c>
      <c r="G756" t="s">
        <v>36</v>
      </c>
      <c r="H756" t="s">
        <v>37</v>
      </c>
      <c r="I756" t="s">
        <v>37</v>
      </c>
      <c r="J756" t="s">
        <v>37</v>
      </c>
      <c r="K756" t="s">
        <v>7</v>
      </c>
      <c r="L756" t="s">
        <v>8</v>
      </c>
      <c r="M756">
        <v>57</v>
      </c>
      <c r="N756">
        <v>1</v>
      </c>
      <c r="O756">
        <v>0</v>
      </c>
      <c r="P756">
        <v>23.31</v>
      </c>
      <c r="Q756">
        <v>7.54</v>
      </c>
      <c r="R756" t="s">
        <v>51</v>
      </c>
    </row>
    <row r="757" spans="1:18" x14ac:dyDescent="0.25">
      <c r="A757" t="s">
        <v>1020</v>
      </c>
      <c r="B757" s="1">
        <v>40598</v>
      </c>
      <c r="C757" s="1">
        <v>40602</v>
      </c>
      <c r="D757" t="s">
        <v>1</v>
      </c>
      <c r="E757" t="s">
        <v>885</v>
      </c>
      <c r="F757" t="s">
        <v>3</v>
      </c>
      <c r="G757" t="s">
        <v>673</v>
      </c>
      <c r="H757" t="s">
        <v>368</v>
      </c>
      <c r="I757" t="s">
        <v>75</v>
      </c>
      <c r="J757" t="s">
        <v>111</v>
      </c>
      <c r="K757" t="s">
        <v>38</v>
      </c>
      <c r="L757" t="s">
        <v>39</v>
      </c>
      <c r="M757">
        <v>107</v>
      </c>
      <c r="N757">
        <v>2</v>
      </c>
      <c r="O757">
        <v>0.7</v>
      </c>
      <c r="P757">
        <v>-121.792</v>
      </c>
      <c r="Q757">
        <v>7.32</v>
      </c>
      <c r="R757" t="s">
        <v>9</v>
      </c>
    </row>
    <row r="758" spans="1:18" x14ac:dyDescent="0.25">
      <c r="A758" t="s">
        <v>1010</v>
      </c>
      <c r="B758" s="1">
        <v>40598</v>
      </c>
      <c r="C758" s="1">
        <v>40599</v>
      </c>
      <c r="D758" t="s">
        <v>142</v>
      </c>
      <c r="E758" t="s">
        <v>736</v>
      </c>
      <c r="F758" t="s">
        <v>43</v>
      </c>
      <c r="G758" t="s">
        <v>1011</v>
      </c>
      <c r="H758" t="s">
        <v>81</v>
      </c>
      <c r="I758" t="s">
        <v>22</v>
      </c>
      <c r="J758" t="s">
        <v>22</v>
      </c>
      <c r="K758" t="s">
        <v>7</v>
      </c>
      <c r="L758" t="s">
        <v>8</v>
      </c>
      <c r="M758">
        <v>62</v>
      </c>
      <c r="N758">
        <v>1</v>
      </c>
      <c r="O758">
        <v>0</v>
      </c>
      <c r="P758">
        <v>24.84</v>
      </c>
      <c r="Q758">
        <v>6.07</v>
      </c>
      <c r="R758" t="s">
        <v>9</v>
      </c>
    </row>
    <row r="759" spans="1:18" x14ac:dyDescent="0.25">
      <c r="A759" t="s">
        <v>1021</v>
      </c>
      <c r="B759" s="1">
        <v>40598</v>
      </c>
      <c r="C759" s="1">
        <v>40601</v>
      </c>
      <c r="D759" t="s">
        <v>142</v>
      </c>
      <c r="E759" t="s">
        <v>672</v>
      </c>
      <c r="F759" t="s">
        <v>43</v>
      </c>
      <c r="G759" t="s">
        <v>222</v>
      </c>
      <c r="H759" t="s">
        <v>223</v>
      </c>
      <c r="I759" t="s">
        <v>6</v>
      </c>
      <c r="J759" t="s">
        <v>6</v>
      </c>
      <c r="K759" t="s">
        <v>38</v>
      </c>
      <c r="L759" t="s">
        <v>39</v>
      </c>
      <c r="M759">
        <v>37</v>
      </c>
      <c r="N759">
        <v>1</v>
      </c>
      <c r="O759">
        <v>0.7</v>
      </c>
      <c r="P759">
        <v>-81.200999999999993</v>
      </c>
      <c r="Q759">
        <v>5.89</v>
      </c>
      <c r="R759" t="s">
        <v>23</v>
      </c>
    </row>
    <row r="760" spans="1:18" x14ac:dyDescent="0.25">
      <c r="A760" t="s">
        <v>1010</v>
      </c>
      <c r="B760" s="1">
        <v>40598</v>
      </c>
      <c r="C760" s="1">
        <v>40599</v>
      </c>
      <c r="D760" t="s">
        <v>142</v>
      </c>
      <c r="E760" t="s">
        <v>736</v>
      </c>
      <c r="F760" t="s">
        <v>43</v>
      </c>
      <c r="G760" t="s">
        <v>1011</v>
      </c>
      <c r="H760" t="s">
        <v>81</v>
      </c>
      <c r="I760" t="s">
        <v>22</v>
      </c>
      <c r="J760" t="s">
        <v>22</v>
      </c>
      <c r="K760" t="s">
        <v>7</v>
      </c>
      <c r="L760" t="s">
        <v>137</v>
      </c>
      <c r="M760">
        <v>27</v>
      </c>
      <c r="N760">
        <v>4</v>
      </c>
      <c r="O760">
        <v>0</v>
      </c>
      <c r="P760">
        <v>2.2799999999999998</v>
      </c>
      <c r="Q760">
        <v>5.51</v>
      </c>
      <c r="R760" t="s">
        <v>9</v>
      </c>
    </row>
    <row r="761" spans="1:18" x14ac:dyDescent="0.25">
      <c r="A761" t="s">
        <v>1007</v>
      </c>
      <c r="B761" s="1">
        <v>40598</v>
      </c>
      <c r="C761" s="1">
        <v>40602</v>
      </c>
      <c r="D761" t="s">
        <v>1</v>
      </c>
      <c r="E761" t="s">
        <v>1008</v>
      </c>
      <c r="F761" t="s">
        <v>43</v>
      </c>
      <c r="G761" t="s">
        <v>1009</v>
      </c>
      <c r="H761" t="s">
        <v>486</v>
      </c>
      <c r="I761" t="s">
        <v>29</v>
      </c>
      <c r="J761" t="s">
        <v>76</v>
      </c>
      <c r="K761" t="s">
        <v>38</v>
      </c>
      <c r="L761" t="s">
        <v>50</v>
      </c>
      <c r="M761">
        <v>525</v>
      </c>
      <c r="N761">
        <v>2</v>
      </c>
      <c r="O761">
        <v>0</v>
      </c>
      <c r="P761">
        <v>57.66</v>
      </c>
      <c r="Q761">
        <v>4.97</v>
      </c>
      <c r="R761" t="s">
        <v>9</v>
      </c>
    </row>
    <row r="762" spans="1:18" x14ac:dyDescent="0.25">
      <c r="A762" t="s">
        <v>1022</v>
      </c>
      <c r="B762" s="1">
        <v>40598</v>
      </c>
      <c r="C762" s="1">
        <v>40602</v>
      </c>
      <c r="D762" t="s">
        <v>1</v>
      </c>
      <c r="E762" t="s">
        <v>1023</v>
      </c>
      <c r="F762" t="s">
        <v>3</v>
      </c>
      <c r="G762" t="s">
        <v>870</v>
      </c>
      <c r="H762" t="s">
        <v>871</v>
      </c>
      <c r="I762" t="s">
        <v>6</v>
      </c>
      <c r="J762" t="s">
        <v>6</v>
      </c>
      <c r="K762" t="s">
        <v>38</v>
      </c>
      <c r="L762" t="s">
        <v>82</v>
      </c>
      <c r="M762">
        <v>64</v>
      </c>
      <c r="N762">
        <v>2</v>
      </c>
      <c r="O762">
        <v>0</v>
      </c>
      <c r="P762">
        <v>30.06</v>
      </c>
      <c r="Q762">
        <v>4.1500000000000004</v>
      </c>
      <c r="R762" t="s">
        <v>23</v>
      </c>
    </row>
    <row r="763" spans="1:18" x14ac:dyDescent="0.25">
      <c r="A763" t="s">
        <v>1010</v>
      </c>
      <c r="B763" s="1">
        <v>40598</v>
      </c>
      <c r="C763" s="1">
        <v>40599</v>
      </c>
      <c r="D763" t="s">
        <v>142</v>
      </c>
      <c r="E763" t="s">
        <v>736</v>
      </c>
      <c r="F763" t="s">
        <v>43</v>
      </c>
      <c r="G763" t="s">
        <v>1011</v>
      </c>
      <c r="H763" t="s">
        <v>81</v>
      </c>
      <c r="I763" t="s">
        <v>22</v>
      </c>
      <c r="J763" t="s">
        <v>22</v>
      </c>
      <c r="K763" t="s">
        <v>7</v>
      </c>
      <c r="L763" t="s">
        <v>137</v>
      </c>
      <c r="M763">
        <v>16</v>
      </c>
      <c r="N763">
        <v>4</v>
      </c>
      <c r="O763">
        <v>0</v>
      </c>
      <c r="P763">
        <v>1.68</v>
      </c>
      <c r="Q763">
        <v>3.14</v>
      </c>
      <c r="R763" t="s">
        <v>9</v>
      </c>
    </row>
    <row r="764" spans="1:18" x14ac:dyDescent="0.25">
      <c r="A764" t="s">
        <v>1012</v>
      </c>
      <c r="B764" s="1">
        <v>40598</v>
      </c>
      <c r="C764" s="1">
        <v>40598</v>
      </c>
      <c r="D764" t="s">
        <v>41</v>
      </c>
      <c r="E764" t="s">
        <v>1013</v>
      </c>
      <c r="F764" t="s">
        <v>3</v>
      </c>
      <c r="G764" t="s">
        <v>1014</v>
      </c>
      <c r="H764" t="s">
        <v>101</v>
      </c>
      <c r="I764" t="s">
        <v>75</v>
      </c>
      <c r="J764" t="s">
        <v>102</v>
      </c>
      <c r="K764" t="s">
        <v>7</v>
      </c>
      <c r="L764" t="s">
        <v>31</v>
      </c>
      <c r="M764">
        <v>68</v>
      </c>
      <c r="N764">
        <v>3</v>
      </c>
      <c r="O764">
        <v>0</v>
      </c>
      <c r="P764">
        <v>1.32</v>
      </c>
      <c r="Q764">
        <v>2.99</v>
      </c>
      <c r="R764" t="s">
        <v>9</v>
      </c>
    </row>
    <row r="765" spans="1:18" x14ac:dyDescent="0.25">
      <c r="A765" t="s">
        <v>1010</v>
      </c>
      <c r="B765" s="1">
        <v>40598</v>
      </c>
      <c r="C765" s="1">
        <v>40599</v>
      </c>
      <c r="D765" t="s">
        <v>142</v>
      </c>
      <c r="E765" t="s">
        <v>736</v>
      </c>
      <c r="F765" t="s">
        <v>43</v>
      </c>
      <c r="G765" t="s">
        <v>1011</v>
      </c>
      <c r="H765" t="s">
        <v>81</v>
      </c>
      <c r="I765" t="s">
        <v>22</v>
      </c>
      <c r="J765" t="s">
        <v>22</v>
      </c>
      <c r="K765" t="s">
        <v>7</v>
      </c>
      <c r="L765" t="s">
        <v>137</v>
      </c>
      <c r="M765">
        <v>9</v>
      </c>
      <c r="N765">
        <v>1</v>
      </c>
      <c r="O765">
        <v>0</v>
      </c>
      <c r="P765">
        <v>4.05</v>
      </c>
      <c r="Q765">
        <v>1.04</v>
      </c>
      <c r="R765" t="s">
        <v>9</v>
      </c>
    </row>
    <row r="766" spans="1:18" x14ac:dyDescent="0.25">
      <c r="A766" t="s">
        <v>1024</v>
      </c>
      <c r="B766" s="1">
        <v>40598</v>
      </c>
      <c r="C766" s="1">
        <v>40602</v>
      </c>
      <c r="D766" t="s">
        <v>1</v>
      </c>
      <c r="E766" t="s">
        <v>1025</v>
      </c>
      <c r="F766" t="s">
        <v>26</v>
      </c>
      <c r="G766" t="s">
        <v>125</v>
      </c>
      <c r="H766" t="s">
        <v>126</v>
      </c>
      <c r="I766" t="s">
        <v>127</v>
      </c>
      <c r="J766" t="s">
        <v>76</v>
      </c>
      <c r="K766" t="s">
        <v>7</v>
      </c>
      <c r="L766" t="s">
        <v>87</v>
      </c>
      <c r="M766">
        <v>7</v>
      </c>
      <c r="N766">
        <v>3</v>
      </c>
      <c r="O766">
        <v>0.2</v>
      </c>
      <c r="P766">
        <v>2.3409</v>
      </c>
      <c r="Q766">
        <v>0.5</v>
      </c>
      <c r="R766" t="s">
        <v>9</v>
      </c>
    </row>
    <row r="767" spans="1:18" x14ac:dyDescent="0.25">
      <c r="A767" t="s">
        <v>1021</v>
      </c>
      <c r="B767" s="1">
        <v>40598</v>
      </c>
      <c r="C767" s="1">
        <v>40601</v>
      </c>
      <c r="D767" t="s">
        <v>142</v>
      </c>
      <c r="E767" t="s">
        <v>672</v>
      </c>
      <c r="F767" t="s">
        <v>43</v>
      </c>
      <c r="G767" t="s">
        <v>222</v>
      </c>
      <c r="H767" t="s">
        <v>223</v>
      </c>
      <c r="I767" t="s">
        <v>6</v>
      </c>
      <c r="J767" t="s">
        <v>6</v>
      </c>
      <c r="K767" t="s">
        <v>7</v>
      </c>
      <c r="L767" t="s">
        <v>31</v>
      </c>
      <c r="M767">
        <v>4</v>
      </c>
      <c r="N767">
        <v>1</v>
      </c>
      <c r="O767">
        <v>0.7</v>
      </c>
      <c r="P767">
        <v>-7.3979999999999997</v>
      </c>
      <c r="Q767">
        <v>0.27</v>
      </c>
      <c r="R767" t="s">
        <v>23</v>
      </c>
    </row>
    <row r="768" spans="1:18" x14ac:dyDescent="0.25">
      <c r="A768" t="s">
        <v>1024</v>
      </c>
      <c r="B768" s="1">
        <v>40598</v>
      </c>
      <c r="C768" s="1">
        <v>40602</v>
      </c>
      <c r="D768" t="s">
        <v>1</v>
      </c>
      <c r="E768" t="s">
        <v>1025</v>
      </c>
      <c r="F768" t="s">
        <v>26</v>
      </c>
      <c r="G768" t="s">
        <v>125</v>
      </c>
      <c r="H768" t="s">
        <v>126</v>
      </c>
      <c r="I768" t="s">
        <v>127</v>
      </c>
      <c r="J768" t="s">
        <v>76</v>
      </c>
      <c r="K768" t="s">
        <v>7</v>
      </c>
      <c r="L768" t="s">
        <v>137</v>
      </c>
      <c r="M768">
        <v>4</v>
      </c>
      <c r="N768">
        <v>3</v>
      </c>
      <c r="O768">
        <v>0.8</v>
      </c>
      <c r="P768">
        <v>-6.8634000000000004</v>
      </c>
      <c r="Q768">
        <v>0.23</v>
      </c>
      <c r="R768" t="s">
        <v>9</v>
      </c>
    </row>
    <row r="769" spans="1:18" x14ac:dyDescent="0.25">
      <c r="A769" t="s">
        <v>1026</v>
      </c>
      <c r="B769" s="1">
        <v>40599</v>
      </c>
      <c r="C769" s="1">
        <v>40599</v>
      </c>
      <c r="D769" t="s">
        <v>41</v>
      </c>
      <c r="E769" t="s">
        <v>1027</v>
      </c>
      <c r="F769" t="s">
        <v>3</v>
      </c>
      <c r="G769" t="s">
        <v>195</v>
      </c>
      <c r="H769" t="s">
        <v>5</v>
      </c>
      <c r="I769" t="s">
        <v>6</v>
      </c>
      <c r="J769" t="s">
        <v>6</v>
      </c>
      <c r="K769" t="s">
        <v>38</v>
      </c>
      <c r="L769" t="s">
        <v>39</v>
      </c>
      <c r="M769">
        <v>613</v>
      </c>
      <c r="N769">
        <v>2</v>
      </c>
      <c r="O769">
        <v>0</v>
      </c>
      <c r="P769">
        <v>202.32</v>
      </c>
      <c r="Q769">
        <v>241.33</v>
      </c>
      <c r="R769" t="s">
        <v>45</v>
      </c>
    </row>
    <row r="770" spans="1:18" x14ac:dyDescent="0.25">
      <c r="A770" t="s">
        <v>1028</v>
      </c>
      <c r="B770" s="1">
        <v>40599</v>
      </c>
      <c r="C770" s="1">
        <v>40605</v>
      </c>
      <c r="D770" t="s">
        <v>1</v>
      </c>
      <c r="E770" t="s">
        <v>1029</v>
      </c>
      <c r="F770" t="s">
        <v>3</v>
      </c>
      <c r="G770" t="s">
        <v>685</v>
      </c>
      <c r="H770" t="s">
        <v>169</v>
      </c>
      <c r="I770" t="s">
        <v>14</v>
      </c>
      <c r="J770" t="s">
        <v>132</v>
      </c>
      <c r="K770" t="s">
        <v>38</v>
      </c>
      <c r="L770" t="s">
        <v>77</v>
      </c>
      <c r="M770" s="2">
        <v>1527</v>
      </c>
      <c r="N770">
        <v>9</v>
      </c>
      <c r="O770">
        <v>0</v>
      </c>
      <c r="P770">
        <v>656.64</v>
      </c>
      <c r="Q770">
        <v>172.32</v>
      </c>
      <c r="R770" t="s">
        <v>9</v>
      </c>
    </row>
    <row r="771" spans="1:18" x14ac:dyDescent="0.25">
      <c r="A771" t="s">
        <v>1026</v>
      </c>
      <c r="B771" s="1">
        <v>40599</v>
      </c>
      <c r="C771" s="1">
        <v>40599</v>
      </c>
      <c r="D771" t="s">
        <v>41</v>
      </c>
      <c r="E771" t="s">
        <v>1027</v>
      </c>
      <c r="F771" t="s">
        <v>3</v>
      </c>
      <c r="G771" t="s">
        <v>195</v>
      </c>
      <c r="H771" t="s">
        <v>5</v>
      </c>
      <c r="I771" t="s">
        <v>6</v>
      </c>
      <c r="J771" t="s">
        <v>6</v>
      </c>
      <c r="K771" t="s">
        <v>7</v>
      </c>
      <c r="L771" t="s">
        <v>8</v>
      </c>
      <c r="M771">
        <v>394</v>
      </c>
      <c r="N771">
        <v>2</v>
      </c>
      <c r="O771">
        <v>0</v>
      </c>
      <c r="P771">
        <v>78.78</v>
      </c>
      <c r="Q771">
        <v>110.6</v>
      </c>
      <c r="R771" t="s">
        <v>45</v>
      </c>
    </row>
    <row r="772" spans="1:18" x14ac:dyDescent="0.25">
      <c r="A772" t="s">
        <v>1026</v>
      </c>
      <c r="B772" s="1">
        <v>40599</v>
      </c>
      <c r="C772" s="1">
        <v>40599</v>
      </c>
      <c r="D772" t="s">
        <v>41</v>
      </c>
      <c r="E772" t="s">
        <v>1027</v>
      </c>
      <c r="F772" t="s">
        <v>3</v>
      </c>
      <c r="G772" t="s">
        <v>195</v>
      </c>
      <c r="H772" t="s">
        <v>5</v>
      </c>
      <c r="I772" t="s">
        <v>6</v>
      </c>
      <c r="J772" t="s">
        <v>6</v>
      </c>
      <c r="K772" t="s">
        <v>7</v>
      </c>
      <c r="L772" t="s">
        <v>31</v>
      </c>
      <c r="M772">
        <v>339</v>
      </c>
      <c r="N772">
        <v>10</v>
      </c>
      <c r="O772">
        <v>0</v>
      </c>
      <c r="P772">
        <v>37.200000000000003</v>
      </c>
      <c r="Q772">
        <v>27.29</v>
      </c>
      <c r="R772" t="s">
        <v>45</v>
      </c>
    </row>
    <row r="773" spans="1:18" x14ac:dyDescent="0.25">
      <c r="A773" t="s">
        <v>1026</v>
      </c>
      <c r="B773" s="1">
        <v>40599</v>
      </c>
      <c r="C773" s="1">
        <v>40599</v>
      </c>
      <c r="D773" t="s">
        <v>41</v>
      </c>
      <c r="E773" t="s">
        <v>1027</v>
      </c>
      <c r="F773" t="s">
        <v>3</v>
      </c>
      <c r="G773" t="s">
        <v>195</v>
      </c>
      <c r="H773" t="s">
        <v>5</v>
      </c>
      <c r="I773" t="s">
        <v>6</v>
      </c>
      <c r="J773" t="s">
        <v>6</v>
      </c>
      <c r="K773" t="s">
        <v>7</v>
      </c>
      <c r="L773" t="s">
        <v>97</v>
      </c>
      <c r="M773">
        <v>54</v>
      </c>
      <c r="N773">
        <v>4</v>
      </c>
      <c r="O773">
        <v>0</v>
      </c>
      <c r="P773">
        <v>12.84</v>
      </c>
      <c r="Q773">
        <v>22.06</v>
      </c>
      <c r="R773" t="s">
        <v>45</v>
      </c>
    </row>
    <row r="774" spans="1:18" x14ac:dyDescent="0.25">
      <c r="A774" t="s">
        <v>1030</v>
      </c>
      <c r="B774" s="1">
        <v>40599</v>
      </c>
      <c r="C774" s="1">
        <v>40602</v>
      </c>
      <c r="D774" t="s">
        <v>18</v>
      </c>
      <c r="E774" t="s">
        <v>1031</v>
      </c>
      <c r="F774" t="s">
        <v>3</v>
      </c>
      <c r="G774" t="s">
        <v>1032</v>
      </c>
      <c r="H774" t="s">
        <v>110</v>
      </c>
      <c r="I774" t="s">
        <v>75</v>
      </c>
      <c r="J774" t="s">
        <v>111</v>
      </c>
      <c r="K774" t="s">
        <v>32</v>
      </c>
      <c r="L774" t="s">
        <v>33</v>
      </c>
      <c r="M774">
        <v>57</v>
      </c>
      <c r="N774">
        <v>3</v>
      </c>
      <c r="O774">
        <v>0</v>
      </c>
      <c r="P774">
        <v>6.84</v>
      </c>
      <c r="Q774">
        <v>20.100000000000001</v>
      </c>
      <c r="R774" t="s">
        <v>45</v>
      </c>
    </row>
    <row r="775" spans="1:18" x14ac:dyDescent="0.25">
      <c r="A775" t="s">
        <v>1033</v>
      </c>
      <c r="B775" s="1">
        <v>40599</v>
      </c>
      <c r="C775" s="1">
        <v>40601</v>
      </c>
      <c r="D775" t="s">
        <v>18</v>
      </c>
      <c r="E775" t="s">
        <v>1034</v>
      </c>
      <c r="F775" t="s">
        <v>26</v>
      </c>
      <c r="G775" t="s">
        <v>1035</v>
      </c>
      <c r="H775" t="s">
        <v>893</v>
      </c>
      <c r="I775" t="s">
        <v>6</v>
      </c>
      <c r="J775" t="s">
        <v>6</v>
      </c>
      <c r="K775" t="s">
        <v>7</v>
      </c>
      <c r="L775" t="s">
        <v>97</v>
      </c>
      <c r="M775">
        <v>98</v>
      </c>
      <c r="N775">
        <v>6</v>
      </c>
      <c r="O775">
        <v>0</v>
      </c>
      <c r="P775">
        <v>34.200000000000003</v>
      </c>
      <c r="Q775">
        <v>18.739999999999998</v>
      </c>
      <c r="R775" t="s">
        <v>23</v>
      </c>
    </row>
    <row r="776" spans="1:18" x14ac:dyDescent="0.25">
      <c r="A776" t="s">
        <v>1036</v>
      </c>
      <c r="B776" s="1">
        <v>40599</v>
      </c>
      <c r="C776" s="1">
        <v>40603</v>
      </c>
      <c r="D776" t="s">
        <v>1</v>
      </c>
      <c r="E776" t="s">
        <v>1037</v>
      </c>
      <c r="F776" t="s">
        <v>3</v>
      </c>
      <c r="G776" t="s">
        <v>74</v>
      </c>
      <c r="H776" t="s">
        <v>74</v>
      </c>
      <c r="I776" t="s">
        <v>75</v>
      </c>
      <c r="J776" t="s">
        <v>76</v>
      </c>
      <c r="K776" t="s">
        <v>38</v>
      </c>
      <c r="L776" t="s">
        <v>50</v>
      </c>
      <c r="M776">
        <v>232</v>
      </c>
      <c r="N776">
        <v>2</v>
      </c>
      <c r="O776">
        <v>2E-3</v>
      </c>
      <c r="P776">
        <v>43.695120000000003</v>
      </c>
      <c r="Q776">
        <v>14.26</v>
      </c>
      <c r="R776" t="s">
        <v>9</v>
      </c>
    </row>
    <row r="777" spans="1:18" x14ac:dyDescent="0.25">
      <c r="A777" t="s">
        <v>1038</v>
      </c>
      <c r="B777" s="1">
        <v>40599</v>
      </c>
      <c r="C777" s="1">
        <v>40604</v>
      </c>
      <c r="D777" t="s">
        <v>1</v>
      </c>
      <c r="E777" t="s">
        <v>139</v>
      </c>
      <c r="F777" t="s">
        <v>3</v>
      </c>
      <c r="G777" t="s">
        <v>426</v>
      </c>
      <c r="H777" t="s">
        <v>126</v>
      </c>
      <c r="I777" t="s">
        <v>127</v>
      </c>
      <c r="J777" t="s">
        <v>192</v>
      </c>
      <c r="K777" t="s">
        <v>7</v>
      </c>
      <c r="L777" t="s">
        <v>31</v>
      </c>
      <c r="M777">
        <v>33</v>
      </c>
      <c r="N777">
        <v>4</v>
      </c>
      <c r="O777">
        <v>0.2</v>
      </c>
      <c r="P777">
        <v>11.102399999999999</v>
      </c>
      <c r="Q777">
        <v>2.37</v>
      </c>
      <c r="R777" t="s">
        <v>23</v>
      </c>
    </row>
    <row r="778" spans="1:18" x14ac:dyDescent="0.25">
      <c r="A778" t="s">
        <v>1026</v>
      </c>
      <c r="B778" s="1">
        <v>40599</v>
      </c>
      <c r="C778" s="1">
        <v>40599</v>
      </c>
      <c r="D778" t="s">
        <v>41</v>
      </c>
      <c r="E778" t="s">
        <v>1027</v>
      </c>
      <c r="F778" t="s">
        <v>3</v>
      </c>
      <c r="G778" t="s">
        <v>195</v>
      </c>
      <c r="H778" t="s">
        <v>5</v>
      </c>
      <c r="I778" t="s">
        <v>6</v>
      </c>
      <c r="J778" t="s">
        <v>6</v>
      </c>
      <c r="K778" t="s">
        <v>7</v>
      </c>
      <c r="L778" t="s">
        <v>87</v>
      </c>
      <c r="M778">
        <v>8</v>
      </c>
      <c r="N778">
        <v>1</v>
      </c>
      <c r="O778">
        <v>0</v>
      </c>
      <c r="P778">
        <v>0.56999999999999995</v>
      </c>
      <c r="Q778">
        <v>2.14</v>
      </c>
      <c r="R778" t="s">
        <v>45</v>
      </c>
    </row>
    <row r="779" spans="1:18" x14ac:dyDescent="0.25">
      <c r="A779" t="s">
        <v>1038</v>
      </c>
      <c r="B779" s="1">
        <v>40599</v>
      </c>
      <c r="C779" s="1">
        <v>40604</v>
      </c>
      <c r="D779" t="s">
        <v>1</v>
      </c>
      <c r="E779" t="s">
        <v>139</v>
      </c>
      <c r="F779" t="s">
        <v>3</v>
      </c>
      <c r="G779" t="s">
        <v>426</v>
      </c>
      <c r="H779" t="s">
        <v>126</v>
      </c>
      <c r="I779" t="s">
        <v>127</v>
      </c>
      <c r="J779" t="s">
        <v>192</v>
      </c>
      <c r="K779" t="s">
        <v>7</v>
      </c>
      <c r="L779" t="s">
        <v>31</v>
      </c>
      <c r="M779">
        <v>23</v>
      </c>
      <c r="N779">
        <v>3</v>
      </c>
      <c r="O779">
        <v>0.2</v>
      </c>
      <c r="P779">
        <v>7.6868999999999996</v>
      </c>
      <c r="Q779">
        <v>1.97</v>
      </c>
      <c r="R779" t="s">
        <v>23</v>
      </c>
    </row>
    <row r="780" spans="1:18" x14ac:dyDescent="0.25">
      <c r="A780" t="s">
        <v>1033</v>
      </c>
      <c r="B780" s="1">
        <v>40599</v>
      </c>
      <c r="C780" s="1">
        <v>40601</v>
      </c>
      <c r="D780" t="s">
        <v>18</v>
      </c>
      <c r="E780" t="s">
        <v>1034</v>
      </c>
      <c r="F780" t="s">
        <v>26</v>
      </c>
      <c r="G780" t="s">
        <v>1035</v>
      </c>
      <c r="H780" t="s">
        <v>893</v>
      </c>
      <c r="I780" t="s">
        <v>6</v>
      </c>
      <c r="J780" t="s">
        <v>6</v>
      </c>
      <c r="K780" t="s">
        <v>7</v>
      </c>
      <c r="L780" t="s">
        <v>87</v>
      </c>
      <c r="M780">
        <v>9</v>
      </c>
      <c r="N780">
        <v>1</v>
      </c>
      <c r="O780">
        <v>0</v>
      </c>
      <c r="P780">
        <v>1.59</v>
      </c>
      <c r="Q780">
        <v>1.1299999999999999</v>
      </c>
      <c r="R780" t="s">
        <v>23</v>
      </c>
    </row>
    <row r="781" spans="1:18" x14ac:dyDescent="0.25">
      <c r="A781" t="s">
        <v>1033</v>
      </c>
      <c r="B781" s="1">
        <v>40599</v>
      </c>
      <c r="C781" s="1">
        <v>40601</v>
      </c>
      <c r="D781" t="s">
        <v>18</v>
      </c>
      <c r="E781" t="s">
        <v>1034</v>
      </c>
      <c r="F781" t="s">
        <v>26</v>
      </c>
      <c r="G781" t="s">
        <v>1035</v>
      </c>
      <c r="H781" t="s">
        <v>893</v>
      </c>
      <c r="I781" t="s">
        <v>6</v>
      </c>
      <c r="J781" t="s">
        <v>6</v>
      </c>
      <c r="K781" t="s">
        <v>7</v>
      </c>
      <c r="L781" t="s">
        <v>137</v>
      </c>
      <c r="M781">
        <v>7</v>
      </c>
      <c r="N781">
        <v>1</v>
      </c>
      <c r="O781">
        <v>0</v>
      </c>
      <c r="P781">
        <v>0.56999999999999995</v>
      </c>
      <c r="Q781">
        <v>0.7</v>
      </c>
      <c r="R781" t="s">
        <v>23</v>
      </c>
    </row>
    <row r="782" spans="1:18" x14ac:dyDescent="0.25">
      <c r="A782" t="s">
        <v>1039</v>
      </c>
      <c r="B782" s="1">
        <v>40600</v>
      </c>
      <c r="C782" s="1">
        <v>40602</v>
      </c>
      <c r="D782" t="s">
        <v>18</v>
      </c>
      <c r="E782" t="s">
        <v>1040</v>
      </c>
      <c r="F782" t="s">
        <v>43</v>
      </c>
      <c r="G782" t="s">
        <v>1041</v>
      </c>
      <c r="H782" t="s">
        <v>345</v>
      </c>
      <c r="I782" t="s">
        <v>75</v>
      </c>
      <c r="J782" t="s">
        <v>76</v>
      </c>
      <c r="K782" t="s">
        <v>38</v>
      </c>
      <c r="L782" t="s">
        <v>50</v>
      </c>
      <c r="M782">
        <v>988</v>
      </c>
      <c r="N782">
        <v>5</v>
      </c>
      <c r="O782">
        <v>2E-3</v>
      </c>
      <c r="P782">
        <v>126.71939999999999</v>
      </c>
      <c r="Q782">
        <v>107.47</v>
      </c>
      <c r="R782" t="s">
        <v>9</v>
      </c>
    </row>
    <row r="783" spans="1:18" x14ac:dyDescent="0.25">
      <c r="A783" t="s">
        <v>1039</v>
      </c>
      <c r="B783" s="1">
        <v>40600</v>
      </c>
      <c r="C783" s="1">
        <v>40602</v>
      </c>
      <c r="D783" t="s">
        <v>18</v>
      </c>
      <c r="E783" t="s">
        <v>1040</v>
      </c>
      <c r="F783" t="s">
        <v>43</v>
      </c>
      <c r="G783" t="s">
        <v>1041</v>
      </c>
      <c r="H783" t="s">
        <v>345</v>
      </c>
      <c r="I783" t="s">
        <v>75</v>
      </c>
      <c r="J783" t="s">
        <v>76</v>
      </c>
      <c r="K783" t="s">
        <v>32</v>
      </c>
      <c r="L783" t="s">
        <v>67</v>
      </c>
      <c r="M783">
        <v>685</v>
      </c>
      <c r="N783">
        <v>6</v>
      </c>
      <c r="O783">
        <v>0</v>
      </c>
      <c r="P783">
        <v>280.92</v>
      </c>
      <c r="Q783">
        <v>88.39</v>
      </c>
      <c r="R783" t="s">
        <v>9</v>
      </c>
    </row>
    <row r="784" spans="1:18" x14ac:dyDescent="0.25">
      <c r="A784" t="s">
        <v>1042</v>
      </c>
      <c r="B784" s="1">
        <v>40600</v>
      </c>
      <c r="C784" s="1">
        <v>40603</v>
      </c>
      <c r="D784" t="s">
        <v>18</v>
      </c>
      <c r="E784" t="s">
        <v>399</v>
      </c>
      <c r="F784" t="s">
        <v>43</v>
      </c>
      <c r="G784" t="s">
        <v>1043</v>
      </c>
      <c r="H784" t="s">
        <v>157</v>
      </c>
      <c r="I784" t="s">
        <v>14</v>
      </c>
      <c r="J784" t="s">
        <v>61</v>
      </c>
      <c r="K784" t="s">
        <v>38</v>
      </c>
      <c r="L784" t="s">
        <v>39</v>
      </c>
      <c r="M784">
        <v>287</v>
      </c>
      <c r="N784">
        <v>3</v>
      </c>
      <c r="O784">
        <v>0.17</v>
      </c>
      <c r="P784">
        <v>-45.104399999999998</v>
      </c>
      <c r="Q784">
        <v>81.63</v>
      </c>
      <c r="R784" t="s">
        <v>45</v>
      </c>
    </row>
    <row r="785" spans="1:18" x14ac:dyDescent="0.25">
      <c r="A785" t="s">
        <v>1044</v>
      </c>
      <c r="B785" s="1">
        <v>40600</v>
      </c>
      <c r="C785" s="1">
        <v>40606</v>
      </c>
      <c r="D785" t="s">
        <v>1</v>
      </c>
      <c r="E785" t="s">
        <v>1045</v>
      </c>
      <c r="F785" t="s">
        <v>3</v>
      </c>
      <c r="G785" t="s">
        <v>1046</v>
      </c>
      <c r="H785" t="s">
        <v>207</v>
      </c>
      <c r="I785" t="s">
        <v>29</v>
      </c>
      <c r="J785" t="s">
        <v>76</v>
      </c>
      <c r="K785" t="s">
        <v>32</v>
      </c>
      <c r="L785" t="s">
        <v>33</v>
      </c>
      <c r="M785">
        <v>533</v>
      </c>
      <c r="N785">
        <v>6</v>
      </c>
      <c r="O785">
        <v>0.2</v>
      </c>
      <c r="P785">
        <v>-0.14399999999999999</v>
      </c>
      <c r="Q785">
        <v>39.26</v>
      </c>
      <c r="R785" t="s">
        <v>9</v>
      </c>
    </row>
    <row r="786" spans="1:18" x14ac:dyDescent="0.25">
      <c r="A786" t="s">
        <v>1047</v>
      </c>
      <c r="B786" s="1">
        <v>40600</v>
      </c>
      <c r="C786" s="1">
        <v>40604</v>
      </c>
      <c r="D786" t="s">
        <v>18</v>
      </c>
      <c r="E786" t="s">
        <v>1048</v>
      </c>
      <c r="F786" t="s">
        <v>3</v>
      </c>
      <c r="G786" t="s">
        <v>380</v>
      </c>
      <c r="H786" t="s">
        <v>381</v>
      </c>
      <c r="I786" t="s">
        <v>75</v>
      </c>
      <c r="J786" t="s">
        <v>76</v>
      </c>
      <c r="K786" t="s">
        <v>7</v>
      </c>
      <c r="L786" t="s">
        <v>8</v>
      </c>
      <c r="M786">
        <v>268</v>
      </c>
      <c r="N786">
        <v>3</v>
      </c>
      <c r="O786">
        <v>0</v>
      </c>
      <c r="P786">
        <v>10.68</v>
      </c>
      <c r="Q786">
        <v>33.299999999999997</v>
      </c>
      <c r="R786" t="s">
        <v>9</v>
      </c>
    </row>
    <row r="787" spans="1:18" x14ac:dyDescent="0.25">
      <c r="A787" t="s">
        <v>1049</v>
      </c>
      <c r="B787" s="1">
        <v>40600</v>
      </c>
      <c r="C787" s="1">
        <v>40602</v>
      </c>
      <c r="D787" t="s">
        <v>142</v>
      </c>
      <c r="E787" t="s">
        <v>270</v>
      </c>
      <c r="F787" t="s">
        <v>3</v>
      </c>
      <c r="G787" t="s">
        <v>1050</v>
      </c>
      <c r="H787" t="s">
        <v>131</v>
      </c>
      <c r="I787" t="s">
        <v>14</v>
      </c>
      <c r="J787" t="s">
        <v>132</v>
      </c>
      <c r="K787" t="s">
        <v>7</v>
      </c>
      <c r="L787" t="s">
        <v>16</v>
      </c>
      <c r="M787">
        <v>79</v>
      </c>
      <c r="N787">
        <v>3</v>
      </c>
      <c r="O787">
        <v>0</v>
      </c>
      <c r="P787">
        <v>25.38</v>
      </c>
      <c r="Q787">
        <v>28.91</v>
      </c>
      <c r="R787" t="s">
        <v>45</v>
      </c>
    </row>
    <row r="788" spans="1:18" x14ac:dyDescent="0.25">
      <c r="A788" t="s">
        <v>1051</v>
      </c>
      <c r="B788" s="1">
        <v>40600</v>
      </c>
      <c r="C788" s="1">
        <v>40604</v>
      </c>
      <c r="D788" t="s">
        <v>1</v>
      </c>
      <c r="E788" t="s">
        <v>379</v>
      </c>
      <c r="F788" t="s">
        <v>43</v>
      </c>
      <c r="G788" t="s">
        <v>120</v>
      </c>
      <c r="H788" t="s">
        <v>110</v>
      </c>
      <c r="I788" t="s">
        <v>75</v>
      </c>
      <c r="J788" t="s">
        <v>111</v>
      </c>
      <c r="K788" t="s">
        <v>32</v>
      </c>
      <c r="L788" t="s">
        <v>56</v>
      </c>
      <c r="M788">
        <v>360</v>
      </c>
      <c r="N788">
        <v>3</v>
      </c>
      <c r="O788">
        <v>0</v>
      </c>
      <c r="P788">
        <v>104.46</v>
      </c>
      <c r="Q788">
        <v>27.4</v>
      </c>
      <c r="R788" t="s">
        <v>9</v>
      </c>
    </row>
    <row r="789" spans="1:18" x14ac:dyDescent="0.25">
      <c r="A789" t="s">
        <v>1052</v>
      </c>
      <c r="B789" s="1">
        <v>40600</v>
      </c>
      <c r="C789" s="1">
        <v>40604</v>
      </c>
      <c r="D789" t="s">
        <v>1</v>
      </c>
      <c r="E789" t="s">
        <v>379</v>
      </c>
      <c r="F789" t="s">
        <v>43</v>
      </c>
      <c r="G789" t="s">
        <v>117</v>
      </c>
      <c r="H789" t="s">
        <v>101</v>
      </c>
      <c r="I789" t="s">
        <v>75</v>
      </c>
      <c r="J789" t="s">
        <v>102</v>
      </c>
      <c r="K789" t="s">
        <v>32</v>
      </c>
      <c r="L789" t="s">
        <v>56</v>
      </c>
      <c r="M789">
        <v>144</v>
      </c>
      <c r="N789">
        <v>3</v>
      </c>
      <c r="O789">
        <v>0.6</v>
      </c>
      <c r="P789">
        <v>-111.684</v>
      </c>
      <c r="Q789">
        <v>14.32</v>
      </c>
      <c r="R789" t="s">
        <v>9</v>
      </c>
    </row>
    <row r="790" spans="1:18" x14ac:dyDescent="0.25">
      <c r="A790" t="s">
        <v>1051</v>
      </c>
      <c r="B790" s="1">
        <v>40600</v>
      </c>
      <c r="C790" s="1">
        <v>40604</v>
      </c>
      <c r="D790" t="s">
        <v>1</v>
      </c>
      <c r="E790" t="s">
        <v>379</v>
      </c>
      <c r="F790" t="s">
        <v>43</v>
      </c>
      <c r="G790" t="s">
        <v>120</v>
      </c>
      <c r="H790" t="s">
        <v>110</v>
      </c>
      <c r="I790" t="s">
        <v>75</v>
      </c>
      <c r="J790" t="s">
        <v>111</v>
      </c>
      <c r="K790" t="s">
        <v>38</v>
      </c>
      <c r="L790" t="s">
        <v>77</v>
      </c>
      <c r="M790">
        <v>177</v>
      </c>
      <c r="N790">
        <v>4</v>
      </c>
      <c r="O790">
        <v>0</v>
      </c>
      <c r="P790">
        <v>54.96</v>
      </c>
      <c r="Q790">
        <v>9.2799999999999994</v>
      </c>
      <c r="R790" t="s">
        <v>9</v>
      </c>
    </row>
    <row r="791" spans="1:18" x14ac:dyDescent="0.25">
      <c r="A791" t="s">
        <v>1047</v>
      </c>
      <c r="B791" s="1">
        <v>40600</v>
      </c>
      <c r="C791" s="1">
        <v>40604</v>
      </c>
      <c r="D791" t="s">
        <v>18</v>
      </c>
      <c r="E791" t="s">
        <v>1048</v>
      </c>
      <c r="F791" t="s">
        <v>3</v>
      </c>
      <c r="G791" t="s">
        <v>380</v>
      </c>
      <c r="H791" t="s">
        <v>381</v>
      </c>
      <c r="I791" t="s">
        <v>75</v>
      </c>
      <c r="J791" t="s">
        <v>76</v>
      </c>
      <c r="K791" t="s">
        <v>7</v>
      </c>
      <c r="L791" t="s">
        <v>16</v>
      </c>
      <c r="M791">
        <v>58</v>
      </c>
      <c r="N791">
        <v>2</v>
      </c>
      <c r="O791">
        <v>0</v>
      </c>
      <c r="P791">
        <v>0</v>
      </c>
      <c r="Q791">
        <v>8.1999999999999993</v>
      </c>
      <c r="R791" t="s">
        <v>9</v>
      </c>
    </row>
    <row r="792" spans="1:18" x14ac:dyDescent="0.25">
      <c r="A792" t="s">
        <v>1044</v>
      </c>
      <c r="B792" s="1">
        <v>40600</v>
      </c>
      <c r="C792" s="1">
        <v>40606</v>
      </c>
      <c r="D792" t="s">
        <v>1</v>
      </c>
      <c r="E792" t="s">
        <v>1045</v>
      </c>
      <c r="F792" t="s">
        <v>3</v>
      </c>
      <c r="G792" t="s">
        <v>1046</v>
      </c>
      <c r="H792" t="s">
        <v>207</v>
      </c>
      <c r="I792" t="s">
        <v>29</v>
      </c>
      <c r="J792" t="s">
        <v>76</v>
      </c>
      <c r="K792" t="s">
        <v>38</v>
      </c>
      <c r="L792" t="s">
        <v>77</v>
      </c>
      <c r="M792">
        <v>120</v>
      </c>
      <c r="N792">
        <v>3</v>
      </c>
      <c r="O792">
        <v>0.5</v>
      </c>
      <c r="P792">
        <v>-40.68</v>
      </c>
      <c r="Q792">
        <v>7.74</v>
      </c>
      <c r="R792" t="s">
        <v>9</v>
      </c>
    </row>
    <row r="793" spans="1:18" x14ac:dyDescent="0.25">
      <c r="A793" t="s">
        <v>1053</v>
      </c>
      <c r="B793" s="1">
        <v>40600</v>
      </c>
      <c r="C793" s="1">
        <v>40604</v>
      </c>
      <c r="D793" t="s">
        <v>1</v>
      </c>
      <c r="E793" t="s">
        <v>1054</v>
      </c>
      <c r="F793" t="s">
        <v>3</v>
      </c>
      <c r="G793" t="s">
        <v>614</v>
      </c>
      <c r="H793" t="s">
        <v>169</v>
      </c>
      <c r="I793" t="s">
        <v>14</v>
      </c>
      <c r="J793" t="s">
        <v>132</v>
      </c>
      <c r="K793" t="s">
        <v>38</v>
      </c>
      <c r="L793" t="s">
        <v>82</v>
      </c>
      <c r="M793">
        <v>59</v>
      </c>
      <c r="N793">
        <v>1</v>
      </c>
      <c r="O793">
        <v>0</v>
      </c>
      <c r="P793">
        <v>10.050000000000001</v>
      </c>
      <c r="Q793">
        <v>7.27</v>
      </c>
      <c r="R793" t="s">
        <v>23</v>
      </c>
    </row>
    <row r="794" spans="1:18" x14ac:dyDescent="0.25">
      <c r="A794" t="s">
        <v>1051</v>
      </c>
      <c r="B794" s="1">
        <v>40600</v>
      </c>
      <c r="C794" s="1">
        <v>40604</v>
      </c>
      <c r="D794" t="s">
        <v>1</v>
      </c>
      <c r="E794" t="s">
        <v>379</v>
      </c>
      <c r="F794" t="s">
        <v>43</v>
      </c>
      <c r="G794" t="s">
        <v>120</v>
      </c>
      <c r="H794" t="s">
        <v>110</v>
      </c>
      <c r="I794" t="s">
        <v>75</v>
      </c>
      <c r="J794" t="s">
        <v>111</v>
      </c>
      <c r="K794" t="s">
        <v>7</v>
      </c>
      <c r="L794" t="s">
        <v>16</v>
      </c>
      <c r="M794">
        <v>55</v>
      </c>
      <c r="N794">
        <v>2</v>
      </c>
      <c r="O794">
        <v>0</v>
      </c>
      <c r="P794">
        <v>1.64</v>
      </c>
      <c r="Q794">
        <v>4.8600000000000003</v>
      </c>
      <c r="R794" t="s">
        <v>9</v>
      </c>
    </row>
    <row r="795" spans="1:18" x14ac:dyDescent="0.25">
      <c r="A795" t="s">
        <v>1039</v>
      </c>
      <c r="B795" s="1">
        <v>40600</v>
      </c>
      <c r="C795" s="1">
        <v>40602</v>
      </c>
      <c r="D795" t="s">
        <v>18</v>
      </c>
      <c r="E795" t="s">
        <v>1040</v>
      </c>
      <c r="F795" t="s">
        <v>43</v>
      </c>
      <c r="G795" t="s">
        <v>1041</v>
      </c>
      <c r="H795" t="s">
        <v>345</v>
      </c>
      <c r="I795" t="s">
        <v>75</v>
      </c>
      <c r="J795" t="s">
        <v>76</v>
      </c>
      <c r="K795" t="s">
        <v>32</v>
      </c>
      <c r="L795" t="s">
        <v>33</v>
      </c>
      <c r="M795">
        <v>67</v>
      </c>
      <c r="N795">
        <v>2</v>
      </c>
      <c r="O795">
        <v>0</v>
      </c>
      <c r="P795">
        <v>32.76</v>
      </c>
      <c r="Q795">
        <v>4.74</v>
      </c>
      <c r="R795" t="s">
        <v>9</v>
      </c>
    </row>
    <row r="796" spans="1:18" x14ac:dyDescent="0.25">
      <c r="A796" t="s">
        <v>1047</v>
      </c>
      <c r="B796" s="1">
        <v>40600</v>
      </c>
      <c r="C796" s="1">
        <v>40604</v>
      </c>
      <c r="D796" t="s">
        <v>18</v>
      </c>
      <c r="E796" t="s">
        <v>1048</v>
      </c>
      <c r="F796" t="s">
        <v>3</v>
      </c>
      <c r="G796" t="s">
        <v>380</v>
      </c>
      <c r="H796" t="s">
        <v>381</v>
      </c>
      <c r="I796" t="s">
        <v>75</v>
      </c>
      <c r="J796" t="s">
        <v>76</v>
      </c>
      <c r="K796" t="s">
        <v>7</v>
      </c>
      <c r="L796" t="s">
        <v>91</v>
      </c>
      <c r="M796">
        <v>47</v>
      </c>
      <c r="N796">
        <v>3</v>
      </c>
      <c r="O796">
        <v>0</v>
      </c>
      <c r="P796">
        <v>17.34</v>
      </c>
      <c r="Q796">
        <v>3.89</v>
      </c>
      <c r="R796" t="s">
        <v>9</v>
      </c>
    </row>
    <row r="797" spans="1:18" x14ac:dyDescent="0.25">
      <c r="A797" t="s">
        <v>1051</v>
      </c>
      <c r="B797" s="1">
        <v>40600</v>
      </c>
      <c r="C797" s="1">
        <v>40604</v>
      </c>
      <c r="D797" t="s">
        <v>1</v>
      </c>
      <c r="E797" t="s">
        <v>379</v>
      </c>
      <c r="F797" t="s">
        <v>43</v>
      </c>
      <c r="G797" t="s">
        <v>120</v>
      </c>
      <c r="H797" t="s">
        <v>110</v>
      </c>
      <c r="I797" t="s">
        <v>75</v>
      </c>
      <c r="J797" t="s">
        <v>111</v>
      </c>
      <c r="K797" t="s">
        <v>38</v>
      </c>
      <c r="L797" t="s">
        <v>82</v>
      </c>
      <c r="M797">
        <v>52</v>
      </c>
      <c r="N797">
        <v>3</v>
      </c>
      <c r="O797">
        <v>0</v>
      </c>
      <c r="P797">
        <v>18.66</v>
      </c>
      <c r="Q797">
        <v>3.68</v>
      </c>
      <c r="R797" t="s">
        <v>9</v>
      </c>
    </row>
    <row r="798" spans="1:18" x14ac:dyDescent="0.25">
      <c r="A798" t="s">
        <v>1052</v>
      </c>
      <c r="B798" s="1">
        <v>40600</v>
      </c>
      <c r="C798" s="1">
        <v>40604</v>
      </c>
      <c r="D798" t="s">
        <v>1</v>
      </c>
      <c r="E798" t="s">
        <v>379</v>
      </c>
      <c r="F798" t="s">
        <v>43</v>
      </c>
      <c r="G798" t="s">
        <v>117</v>
      </c>
      <c r="H798" t="s">
        <v>101</v>
      </c>
      <c r="I798" t="s">
        <v>75</v>
      </c>
      <c r="J798" t="s">
        <v>102</v>
      </c>
      <c r="K798" t="s">
        <v>38</v>
      </c>
      <c r="L798" t="s">
        <v>77</v>
      </c>
      <c r="M798">
        <v>71</v>
      </c>
      <c r="N798">
        <v>4</v>
      </c>
      <c r="O798">
        <v>0.6</v>
      </c>
      <c r="P798">
        <v>-51.456000000000003</v>
      </c>
      <c r="Q798">
        <v>2.95</v>
      </c>
      <c r="R798" t="s">
        <v>9</v>
      </c>
    </row>
    <row r="799" spans="1:18" x14ac:dyDescent="0.25">
      <c r="A799" t="s">
        <v>1052</v>
      </c>
      <c r="B799" s="1">
        <v>40600</v>
      </c>
      <c r="C799" s="1">
        <v>40604</v>
      </c>
      <c r="D799" t="s">
        <v>1</v>
      </c>
      <c r="E799" t="s">
        <v>379</v>
      </c>
      <c r="F799" t="s">
        <v>43</v>
      </c>
      <c r="G799" t="s">
        <v>117</v>
      </c>
      <c r="H799" t="s">
        <v>101</v>
      </c>
      <c r="I799" t="s">
        <v>75</v>
      </c>
      <c r="J799" t="s">
        <v>102</v>
      </c>
      <c r="K799" t="s">
        <v>7</v>
      </c>
      <c r="L799" t="s">
        <v>16</v>
      </c>
      <c r="M799">
        <v>22</v>
      </c>
      <c r="N799">
        <v>2</v>
      </c>
      <c r="O799">
        <v>0.6</v>
      </c>
      <c r="P799">
        <v>-31.384</v>
      </c>
      <c r="Q799">
        <v>2.0699999999999998</v>
      </c>
      <c r="R799" t="s">
        <v>9</v>
      </c>
    </row>
    <row r="800" spans="1:18" x14ac:dyDescent="0.25">
      <c r="A800" t="s">
        <v>1052</v>
      </c>
      <c r="B800" s="1">
        <v>40600</v>
      </c>
      <c r="C800" s="1">
        <v>40604</v>
      </c>
      <c r="D800" t="s">
        <v>1</v>
      </c>
      <c r="E800" t="s">
        <v>379</v>
      </c>
      <c r="F800" t="s">
        <v>43</v>
      </c>
      <c r="G800" t="s">
        <v>117</v>
      </c>
      <c r="H800" t="s">
        <v>101</v>
      </c>
      <c r="I800" t="s">
        <v>75</v>
      </c>
      <c r="J800" t="s">
        <v>102</v>
      </c>
      <c r="K800" t="s">
        <v>38</v>
      </c>
      <c r="L800" t="s">
        <v>82</v>
      </c>
      <c r="M800">
        <v>21</v>
      </c>
      <c r="N800">
        <v>3</v>
      </c>
      <c r="O800">
        <v>0.6</v>
      </c>
      <c r="P800">
        <v>-12.516</v>
      </c>
      <c r="Q800">
        <v>1.87</v>
      </c>
      <c r="R800" t="s">
        <v>9</v>
      </c>
    </row>
    <row r="801" spans="1:18" x14ac:dyDescent="0.25">
      <c r="A801" t="s">
        <v>1039</v>
      </c>
      <c r="B801" s="1">
        <v>40600</v>
      </c>
      <c r="C801" s="1">
        <v>40602</v>
      </c>
      <c r="D801" t="s">
        <v>18</v>
      </c>
      <c r="E801" t="s">
        <v>1040</v>
      </c>
      <c r="F801" t="s">
        <v>43</v>
      </c>
      <c r="G801" t="s">
        <v>1041</v>
      </c>
      <c r="H801" t="s">
        <v>345</v>
      </c>
      <c r="I801" t="s">
        <v>75</v>
      </c>
      <c r="J801" t="s">
        <v>76</v>
      </c>
      <c r="K801" t="s">
        <v>7</v>
      </c>
      <c r="L801" t="s">
        <v>31</v>
      </c>
      <c r="M801">
        <v>11</v>
      </c>
      <c r="N801">
        <v>1</v>
      </c>
      <c r="O801">
        <v>0</v>
      </c>
      <c r="P801">
        <v>3.2</v>
      </c>
      <c r="Q801">
        <v>0.65</v>
      </c>
      <c r="R801" t="s">
        <v>9</v>
      </c>
    </row>
    <row r="802" spans="1:18" x14ac:dyDescent="0.25">
      <c r="A802" t="s">
        <v>1055</v>
      </c>
      <c r="B802" s="1">
        <v>40601</v>
      </c>
      <c r="C802" s="1">
        <v>40608</v>
      </c>
      <c r="D802" t="s">
        <v>1</v>
      </c>
      <c r="E802" t="s">
        <v>1056</v>
      </c>
      <c r="F802" t="s">
        <v>3</v>
      </c>
      <c r="G802" t="s">
        <v>1057</v>
      </c>
      <c r="H802" t="s">
        <v>81</v>
      </c>
      <c r="I802" t="s">
        <v>22</v>
      </c>
      <c r="J802" t="s">
        <v>22</v>
      </c>
      <c r="K802" t="s">
        <v>38</v>
      </c>
      <c r="L802" t="s">
        <v>39</v>
      </c>
      <c r="M802">
        <v>625</v>
      </c>
      <c r="N802">
        <v>8</v>
      </c>
      <c r="O802">
        <v>0</v>
      </c>
      <c r="P802">
        <v>93.6</v>
      </c>
      <c r="Q802">
        <v>54.7</v>
      </c>
      <c r="R802" t="s">
        <v>9</v>
      </c>
    </row>
    <row r="803" spans="1:18" x14ac:dyDescent="0.25">
      <c r="A803" t="s">
        <v>1058</v>
      </c>
      <c r="B803" s="1">
        <v>40602</v>
      </c>
      <c r="C803" s="1">
        <v>40605</v>
      </c>
      <c r="D803" t="s">
        <v>142</v>
      </c>
      <c r="E803" t="s">
        <v>481</v>
      </c>
      <c r="F803" t="s">
        <v>26</v>
      </c>
      <c r="G803" t="s">
        <v>926</v>
      </c>
      <c r="H803" t="s">
        <v>801</v>
      </c>
      <c r="I803" t="s">
        <v>14</v>
      </c>
      <c r="J803" t="s">
        <v>132</v>
      </c>
      <c r="K803" t="s">
        <v>7</v>
      </c>
      <c r="L803" t="s">
        <v>44</v>
      </c>
      <c r="M803">
        <v>811</v>
      </c>
      <c r="N803">
        <v>3</v>
      </c>
      <c r="O803">
        <v>0.5</v>
      </c>
      <c r="P803">
        <v>-599.94000000000005</v>
      </c>
      <c r="Q803">
        <v>236.16</v>
      </c>
      <c r="R803" t="s">
        <v>45</v>
      </c>
    </row>
    <row r="804" spans="1:18" x14ac:dyDescent="0.25">
      <c r="A804" t="s">
        <v>1058</v>
      </c>
      <c r="B804" s="1">
        <v>40602</v>
      </c>
      <c r="C804" s="1">
        <v>40605</v>
      </c>
      <c r="D804" t="s">
        <v>142</v>
      </c>
      <c r="E804" t="s">
        <v>481</v>
      </c>
      <c r="F804" t="s">
        <v>26</v>
      </c>
      <c r="G804" t="s">
        <v>926</v>
      </c>
      <c r="H804" t="s">
        <v>801</v>
      </c>
      <c r="I804" t="s">
        <v>14</v>
      </c>
      <c r="J804" t="s">
        <v>132</v>
      </c>
      <c r="K804" t="s">
        <v>32</v>
      </c>
      <c r="L804" t="s">
        <v>33</v>
      </c>
      <c r="M804">
        <v>401</v>
      </c>
      <c r="N804">
        <v>10</v>
      </c>
      <c r="O804">
        <v>0.2</v>
      </c>
      <c r="P804">
        <v>-5.22</v>
      </c>
      <c r="Q804">
        <v>108.34</v>
      </c>
      <c r="R804" t="s">
        <v>45</v>
      </c>
    </row>
    <row r="805" spans="1:18" x14ac:dyDescent="0.25">
      <c r="A805" t="s">
        <v>1059</v>
      </c>
      <c r="B805" s="1">
        <v>40602</v>
      </c>
      <c r="C805" s="1">
        <v>40602</v>
      </c>
      <c r="D805" t="s">
        <v>41</v>
      </c>
      <c r="E805" t="s">
        <v>1060</v>
      </c>
      <c r="F805" t="s">
        <v>3</v>
      </c>
      <c r="G805" t="s">
        <v>1014</v>
      </c>
      <c r="H805" t="s">
        <v>101</v>
      </c>
      <c r="I805" t="s">
        <v>75</v>
      </c>
      <c r="J805" t="s">
        <v>102</v>
      </c>
      <c r="K805" t="s">
        <v>38</v>
      </c>
      <c r="L805" t="s">
        <v>39</v>
      </c>
      <c r="M805">
        <v>358</v>
      </c>
      <c r="N805">
        <v>2</v>
      </c>
      <c r="O805">
        <v>0</v>
      </c>
      <c r="P805">
        <v>110.96</v>
      </c>
      <c r="Q805">
        <v>64.95</v>
      </c>
      <c r="R805" t="s">
        <v>23</v>
      </c>
    </row>
    <row r="806" spans="1:18" x14ac:dyDescent="0.25">
      <c r="A806" t="s">
        <v>1058</v>
      </c>
      <c r="B806" s="1">
        <v>40602</v>
      </c>
      <c r="C806" s="1">
        <v>40605</v>
      </c>
      <c r="D806" t="s">
        <v>142</v>
      </c>
      <c r="E806" t="s">
        <v>481</v>
      </c>
      <c r="F806" t="s">
        <v>26</v>
      </c>
      <c r="G806" t="s">
        <v>926</v>
      </c>
      <c r="H806" t="s">
        <v>801</v>
      </c>
      <c r="I806" t="s">
        <v>14</v>
      </c>
      <c r="J806" t="s">
        <v>132</v>
      </c>
      <c r="K806" t="s">
        <v>7</v>
      </c>
      <c r="L806" t="s">
        <v>44</v>
      </c>
      <c r="M806">
        <v>311</v>
      </c>
      <c r="N806">
        <v>2</v>
      </c>
      <c r="O806">
        <v>0.5</v>
      </c>
      <c r="P806">
        <v>-224.01</v>
      </c>
      <c r="Q806">
        <v>60.79</v>
      </c>
      <c r="R806" t="s">
        <v>45</v>
      </c>
    </row>
    <row r="807" spans="1:18" x14ac:dyDescent="0.25">
      <c r="A807" t="s">
        <v>1058</v>
      </c>
      <c r="B807" s="1">
        <v>40602</v>
      </c>
      <c r="C807" s="1">
        <v>40605</v>
      </c>
      <c r="D807" t="s">
        <v>142</v>
      </c>
      <c r="E807" t="s">
        <v>481</v>
      </c>
      <c r="F807" t="s">
        <v>26</v>
      </c>
      <c r="G807" t="s">
        <v>926</v>
      </c>
      <c r="H807" t="s">
        <v>801</v>
      </c>
      <c r="I807" t="s">
        <v>14</v>
      </c>
      <c r="J807" t="s">
        <v>132</v>
      </c>
      <c r="K807" t="s">
        <v>32</v>
      </c>
      <c r="L807" t="s">
        <v>33</v>
      </c>
      <c r="M807">
        <v>140</v>
      </c>
      <c r="N807">
        <v>7</v>
      </c>
      <c r="O807">
        <v>0.2</v>
      </c>
      <c r="P807">
        <v>6.8040000000000003</v>
      </c>
      <c r="Q807">
        <v>50.88</v>
      </c>
      <c r="R807" t="s">
        <v>45</v>
      </c>
    </row>
    <row r="808" spans="1:18" x14ac:dyDescent="0.25">
      <c r="A808" t="s">
        <v>1061</v>
      </c>
      <c r="B808" s="1">
        <v>40602</v>
      </c>
      <c r="C808" s="1">
        <v>40606</v>
      </c>
      <c r="D808" t="s">
        <v>18</v>
      </c>
      <c r="E808" t="s">
        <v>748</v>
      </c>
      <c r="F808" t="s">
        <v>26</v>
      </c>
      <c r="G808" t="s">
        <v>59</v>
      </c>
      <c r="H808" t="s">
        <v>60</v>
      </c>
      <c r="I808" t="s">
        <v>14</v>
      </c>
      <c r="J808" t="s">
        <v>61</v>
      </c>
      <c r="K808" t="s">
        <v>38</v>
      </c>
      <c r="L808" t="s">
        <v>82</v>
      </c>
      <c r="M808">
        <v>120</v>
      </c>
      <c r="N808">
        <v>3</v>
      </c>
      <c r="O808">
        <v>0.45</v>
      </c>
      <c r="P808">
        <v>10.8225</v>
      </c>
      <c r="Q808">
        <v>18.64</v>
      </c>
      <c r="R808" t="s">
        <v>9</v>
      </c>
    </row>
    <row r="809" spans="1:18" x14ac:dyDescent="0.25">
      <c r="A809" t="s">
        <v>1058</v>
      </c>
      <c r="B809" s="1">
        <v>40602</v>
      </c>
      <c r="C809" s="1">
        <v>40605</v>
      </c>
      <c r="D809" t="s">
        <v>142</v>
      </c>
      <c r="E809" t="s">
        <v>481</v>
      </c>
      <c r="F809" t="s">
        <v>26</v>
      </c>
      <c r="G809" t="s">
        <v>926</v>
      </c>
      <c r="H809" t="s">
        <v>801</v>
      </c>
      <c r="I809" t="s">
        <v>14</v>
      </c>
      <c r="J809" t="s">
        <v>132</v>
      </c>
      <c r="K809" t="s">
        <v>38</v>
      </c>
      <c r="L809" t="s">
        <v>82</v>
      </c>
      <c r="M809">
        <v>115</v>
      </c>
      <c r="N809">
        <v>2</v>
      </c>
      <c r="O809">
        <v>0.5</v>
      </c>
      <c r="P809">
        <v>-50.55</v>
      </c>
      <c r="Q809">
        <v>16.32</v>
      </c>
      <c r="R809" t="s">
        <v>45</v>
      </c>
    </row>
    <row r="810" spans="1:18" x14ac:dyDescent="0.25">
      <c r="A810" t="s">
        <v>1061</v>
      </c>
      <c r="B810" s="1">
        <v>40602</v>
      </c>
      <c r="C810" s="1">
        <v>40606</v>
      </c>
      <c r="D810" t="s">
        <v>18</v>
      </c>
      <c r="E810" t="s">
        <v>748</v>
      </c>
      <c r="F810" t="s">
        <v>26</v>
      </c>
      <c r="G810" t="s">
        <v>59</v>
      </c>
      <c r="H810" t="s">
        <v>60</v>
      </c>
      <c r="I810" t="s">
        <v>14</v>
      </c>
      <c r="J810" t="s">
        <v>61</v>
      </c>
      <c r="K810" t="s">
        <v>7</v>
      </c>
      <c r="L810" t="s">
        <v>137</v>
      </c>
      <c r="M810">
        <v>125</v>
      </c>
      <c r="N810">
        <v>5</v>
      </c>
      <c r="O810">
        <v>0.15</v>
      </c>
      <c r="P810">
        <v>41.182499999999997</v>
      </c>
      <c r="Q810">
        <v>7.71</v>
      </c>
      <c r="R810" t="s">
        <v>9</v>
      </c>
    </row>
    <row r="811" spans="1:18" x14ac:dyDescent="0.25">
      <c r="A811" t="s">
        <v>1062</v>
      </c>
      <c r="B811" s="1">
        <v>40602</v>
      </c>
      <c r="C811" s="1">
        <v>40605</v>
      </c>
      <c r="D811" t="s">
        <v>142</v>
      </c>
      <c r="E811" t="s">
        <v>205</v>
      </c>
      <c r="F811" t="s">
        <v>3</v>
      </c>
      <c r="G811" t="s">
        <v>359</v>
      </c>
      <c r="H811" t="s">
        <v>126</v>
      </c>
      <c r="I811" t="s">
        <v>127</v>
      </c>
      <c r="J811" t="s">
        <v>173</v>
      </c>
      <c r="K811" t="s">
        <v>7</v>
      </c>
      <c r="L811" t="s">
        <v>91</v>
      </c>
      <c r="M811">
        <v>19</v>
      </c>
      <c r="N811">
        <v>4</v>
      </c>
      <c r="O811">
        <v>0.2</v>
      </c>
      <c r="P811">
        <v>3.4047999999999998</v>
      </c>
      <c r="Q811">
        <v>3.38</v>
      </c>
      <c r="R811" t="s">
        <v>9</v>
      </c>
    </row>
    <row r="812" spans="1:18" x14ac:dyDescent="0.25">
      <c r="A812" t="s">
        <v>1063</v>
      </c>
      <c r="B812" s="1">
        <v>40602</v>
      </c>
      <c r="C812" s="1">
        <v>40609</v>
      </c>
      <c r="D812" t="s">
        <v>1</v>
      </c>
      <c r="E812" t="s">
        <v>461</v>
      </c>
      <c r="F812" t="s">
        <v>43</v>
      </c>
      <c r="G812" t="s">
        <v>235</v>
      </c>
      <c r="H812" t="s">
        <v>13</v>
      </c>
      <c r="I812" t="s">
        <v>14</v>
      </c>
      <c r="J812" t="s">
        <v>15</v>
      </c>
      <c r="K812" t="s">
        <v>7</v>
      </c>
      <c r="L812" t="s">
        <v>91</v>
      </c>
      <c r="M812">
        <v>18</v>
      </c>
      <c r="N812">
        <v>1</v>
      </c>
      <c r="O812">
        <v>0.4</v>
      </c>
      <c r="P812">
        <v>-10.007999999999999</v>
      </c>
      <c r="Q812">
        <v>2.15</v>
      </c>
      <c r="R812" t="s">
        <v>9</v>
      </c>
    </row>
    <row r="813" spans="1:18" x14ac:dyDescent="0.25">
      <c r="A813" t="s">
        <v>1064</v>
      </c>
      <c r="B813" s="1">
        <v>40603</v>
      </c>
      <c r="C813" s="1">
        <v>40606</v>
      </c>
      <c r="D813" t="s">
        <v>142</v>
      </c>
      <c r="E813" t="s">
        <v>785</v>
      </c>
      <c r="F813" t="s">
        <v>3</v>
      </c>
      <c r="G813" t="s">
        <v>36</v>
      </c>
      <c r="H813" t="s">
        <v>37</v>
      </c>
      <c r="I813" t="s">
        <v>37</v>
      </c>
      <c r="J813" t="s">
        <v>37</v>
      </c>
      <c r="K813" t="s">
        <v>7</v>
      </c>
      <c r="L813" t="s">
        <v>8</v>
      </c>
      <c r="M813">
        <v>551</v>
      </c>
      <c r="N813">
        <v>4</v>
      </c>
      <c r="O813">
        <v>0</v>
      </c>
      <c r="P813">
        <v>71.64</v>
      </c>
      <c r="Q813">
        <v>164.36</v>
      </c>
      <c r="R813" t="s">
        <v>23</v>
      </c>
    </row>
    <row r="814" spans="1:18" x14ac:dyDescent="0.25">
      <c r="A814" t="s">
        <v>1065</v>
      </c>
      <c r="B814" s="1">
        <v>40603</v>
      </c>
      <c r="C814" s="1">
        <v>40608</v>
      </c>
      <c r="D814" t="s">
        <v>1</v>
      </c>
      <c r="E814" t="s">
        <v>616</v>
      </c>
      <c r="F814" t="s">
        <v>43</v>
      </c>
      <c r="G814" t="s">
        <v>65</v>
      </c>
      <c r="H814" t="s">
        <v>66</v>
      </c>
      <c r="I814" t="s">
        <v>29</v>
      </c>
      <c r="J814" t="s">
        <v>30</v>
      </c>
      <c r="K814" t="s">
        <v>32</v>
      </c>
      <c r="L814" t="s">
        <v>67</v>
      </c>
      <c r="M814" s="2">
        <v>1314</v>
      </c>
      <c r="N814">
        <v>3</v>
      </c>
      <c r="O814">
        <v>0</v>
      </c>
      <c r="P814">
        <v>341.73</v>
      </c>
      <c r="Q814">
        <v>150.4</v>
      </c>
      <c r="R814" t="s">
        <v>23</v>
      </c>
    </row>
    <row r="815" spans="1:18" x14ac:dyDescent="0.25">
      <c r="A815" t="s">
        <v>1066</v>
      </c>
      <c r="B815" s="1">
        <v>40603</v>
      </c>
      <c r="C815" s="1">
        <v>40607</v>
      </c>
      <c r="D815" t="s">
        <v>1</v>
      </c>
      <c r="E815" t="s">
        <v>452</v>
      </c>
      <c r="F815" t="s">
        <v>3</v>
      </c>
      <c r="G815" t="s">
        <v>1067</v>
      </c>
      <c r="H815" t="s">
        <v>1068</v>
      </c>
      <c r="I815" t="s">
        <v>22</v>
      </c>
      <c r="J815" t="s">
        <v>22</v>
      </c>
      <c r="K815" t="s">
        <v>38</v>
      </c>
      <c r="L815" t="s">
        <v>82</v>
      </c>
      <c r="M815" s="2">
        <v>1471</v>
      </c>
      <c r="N815">
        <v>6</v>
      </c>
      <c r="O815">
        <v>0</v>
      </c>
      <c r="P815">
        <v>264.60000000000002</v>
      </c>
      <c r="Q815">
        <v>146.55000000000001</v>
      </c>
      <c r="R815" t="s">
        <v>9</v>
      </c>
    </row>
    <row r="816" spans="1:18" x14ac:dyDescent="0.25">
      <c r="A816" t="s">
        <v>1069</v>
      </c>
      <c r="B816" s="1">
        <v>40603</v>
      </c>
      <c r="C816" s="1">
        <v>40607</v>
      </c>
      <c r="D816" t="s">
        <v>1</v>
      </c>
      <c r="E816" t="s">
        <v>504</v>
      </c>
      <c r="F816" t="s">
        <v>3</v>
      </c>
      <c r="G816" t="s">
        <v>1070</v>
      </c>
      <c r="H816" t="s">
        <v>305</v>
      </c>
      <c r="I816" t="s">
        <v>29</v>
      </c>
      <c r="J816" t="s">
        <v>76</v>
      </c>
      <c r="K816" t="s">
        <v>7</v>
      </c>
      <c r="L816" t="s">
        <v>44</v>
      </c>
      <c r="M816">
        <v>364</v>
      </c>
      <c r="N816">
        <v>8</v>
      </c>
      <c r="O816">
        <v>0.2</v>
      </c>
      <c r="P816">
        <v>45.456000000000003</v>
      </c>
      <c r="Q816">
        <v>80.67</v>
      </c>
      <c r="R816" t="s">
        <v>23</v>
      </c>
    </row>
    <row r="817" spans="1:18" x14ac:dyDescent="0.25">
      <c r="A817" t="s">
        <v>1071</v>
      </c>
      <c r="B817" s="1">
        <v>40603</v>
      </c>
      <c r="C817" s="1">
        <v>40607</v>
      </c>
      <c r="D817" t="s">
        <v>1</v>
      </c>
      <c r="E817" t="s">
        <v>1072</v>
      </c>
      <c r="F817" t="s">
        <v>26</v>
      </c>
      <c r="G817" t="s">
        <v>146</v>
      </c>
      <c r="H817" t="s">
        <v>126</v>
      </c>
      <c r="I817" t="s">
        <v>127</v>
      </c>
      <c r="J817" t="s">
        <v>76</v>
      </c>
      <c r="K817" t="s">
        <v>32</v>
      </c>
      <c r="L817" t="s">
        <v>56</v>
      </c>
      <c r="M817">
        <v>634</v>
      </c>
      <c r="N817">
        <v>6</v>
      </c>
      <c r="O817">
        <v>0.3</v>
      </c>
      <c r="P817">
        <v>-172.1172</v>
      </c>
      <c r="Q817">
        <v>70.05</v>
      </c>
      <c r="R817" t="s">
        <v>23</v>
      </c>
    </row>
    <row r="818" spans="1:18" x14ac:dyDescent="0.25">
      <c r="A818" t="s">
        <v>1064</v>
      </c>
      <c r="B818" s="1">
        <v>40603</v>
      </c>
      <c r="C818" s="1">
        <v>40606</v>
      </c>
      <c r="D818" t="s">
        <v>142</v>
      </c>
      <c r="E818" t="s">
        <v>785</v>
      </c>
      <c r="F818" t="s">
        <v>3</v>
      </c>
      <c r="G818" t="s">
        <v>36</v>
      </c>
      <c r="H818" t="s">
        <v>37</v>
      </c>
      <c r="I818" t="s">
        <v>37</v>
      </c>
      <c r="J818" t="s">
        <v>37</v>
      </c>
      <c r="K818" t="s">
        <v>32</v>
      </c>
      <c r="L818" t="s">
        <v>56</v>
      </c>
      <c r="M818">
        <v>246</v>
      </c>
      <c r="N818">
        <v>4</v>
      </c>
      <c r="O818">
        <v>0</v>
      </c>
      <c r="P818">
        <v>105.96</v>
      </c>
      <c r="Q818">
        <v>65.81</v>
      </c>
      <c r="R818" t="s">
        <v>23</v>
      </c>
    </row>
    <row r="819" spans="1:18" x14ac:dyDescent="0.25">
      <c r="A819" t="s">
        <v>1065</v>
      </c>
      <c r="B819" s="1">
        <v>40603</v>
      </c>
      <c r="C819" s="1">
        <v>40608</v>
      </c>
      <c r="D819" t="s">
        <v>1</v>
      </c>
      <c r="E819" t="s">
        <v>616</v>
      </c>
      <c r="F819" t="s">
        <v>43</v>
      </c>
      <c r="G819" t="s">
        <v>65</v>
      </c>
      <c r="H819" t="s">
        <v>66</v>
      </c>
      <c r="I819" t="s">
        <v>29</v>
      </c>
      <c r="J819" t="s">
        <v>30</v>
      </c>
      <c r="K819" t="s">
        <v>32</v>
      </c>
      <c r="L819" t="s">
        <v>56</v>
      </c>
      <c r="M819">
        <v>705</v>
      </c>
      <c r="N819">
        <v>5</v>
      </c>
      <c r="O819">
        <v>0</v>
      </c>
      <c r="P819">
        <v>288.75</v>
      </c>
      <c r="Q819">
        <v>64.400000000000006</v>
      </c>
      <c r="R819" t="s">
        <v>23</v>
      </c>
    </row>
    <row r="820" spans="1:18" x14ac:dyDescent="0.25">
      <c r="A820" t="s">
        <v>1066</v>
      </c>
      <c r="B820" s="1">
        <v>40603</v>
      </c>
      <c r="C820" s="1">
        <v>40607</v>
      </c>
      <c r="D820" t="s">
        <v>1</v>
      </c>
      <c r="E820" t="s">
        <v>452</v>
      </c>
      <c r="F820" t="s">
        <v>3</v>
      </c>
      <c r="G820" t="s">
        <v>1067</v>
      </c>
      <c r="H820" t="s">
        <v>1068</v>
      </c>
      <c r="I820" t="s">
        <v>22</v>
      </c>
      <c r="J820" t="s">
        <v>22</v>
      </c>
      <c r="K820" t="s">
        <v>7</v>
      </c>
      <c r="L820" t="s">
        <v>8</v>
      </c>
      <c r="M820" s="2">
        <v>1244</v>
      </c>
      <c r="N820">
        <v>6</v>
      </c>
      <c r="O820">
        <v>0</v>
      </c>
      <c r="P820">
        <v>211.5</v>
      </c>
      <c r="Q820">
        <v>60.78</v>
      </c>
      <c r="R820" t="s">
        <v>9</v>
      </c>
    </row>
    <row r="821" spans="1:18" x14ac:dyDescent="0.25">
      <c r="A821" t="s">
        <v>1073</v>
      </c>
      <c r="B821" s="1">
        <v>40603</v>
      </c>
      <c r="C821" s="1">
        <v>40605</v>
      </c>
      <c r="D821" t="s">
        <v>142</v>
      </c>
      <c r="E821" t="s">
        <v>1074</v>
      </c>
      <c r="F821" t="s">
        <v>3</v>
      </c>
      <c r="G821" t="s">
        <v>332</v>
      </c>
      <c r="H821" t="s">
        <v>13</v>
      </c>
      <c r="I821" t="s">
        <v>14</v>
      </c>
      <c r="J821" t="s">
        <v>15</v>
      </c>
      <c r="K821" t="s">
        <v>38</v>
      </c>
      <c r="L821" t="s">
        <v>39</v>
      </c>
      <c r="M821">
        <v>215</v>
      </c>
      <c r="N821">
        <v>2</v>
      </c>
      <c r="O821">
        <v>0.1</v>
      </c>
      <c r="P821">
        <v>7.1580000000000004</v>
      </c>
      <c r="Q821">
        <v>55.67</v>
      </c>
      <c r="R821" t="s">
        <v>23</v>
      </c>
    </row>
    <row r="822" spans="1:18" x14ac:dyDescent="0.25">
      <c r="A822" t="s">
        <v>1075</v>
      </c>
      <c r="B822" s="1">
        <v>40603</v>
      </c>
      <c r="C822" s="1">
        <v>40608</v>
      </c>
      <c r="D822" t="s">
        <v>18</v>
      </c>
      <c r="E822" t="s">
        <v>1076</v>
      </c>
      <c r="F822" t="s">
        <v>3</v>
      </c>
      <c r="G822" t="s">
        <v>740</v>
      </c>
      <c r="H822" t="s">
        <v>126</v>
      </c>
      <c r="I822" t="s">
        <v>127</v>
      </c>
      <c r="J822" t="s">
        <v>192</v>
      </c>
      <c r="K822" t="s">
        <v>32</v>
      </c>
      <c r="L822" t="s">
        <v>56</v>
      </c>
      <c r="M822">
        <v>458</v>
      </c>
      <c r="N822">
        <v>2</v>
      </c>
      <c r="O822">
        <v>0.2</v>
      </c>
      <c r="P822">
        <v>51.476399999999998</v>
      </c>
      <c r="Q822">
        <v>47.89</v>
      </c>
      <c r="R822" t="s">
        <v>9</v>
      </c>
    </row>
    <row r="823" spans="1:18" x14ac:dyDescent="0.25">
      <c r="A823" t="s">
        <v>1066</v>
      </c>
      <c r="B823" s="1">
        <v>40603</v>
      </c>
      <c r="C823" s="1">
        <v>40607</v>
      </c>
      <c r="D823" t="s">
        <v>1</v>
      </c>
      <c r="E823" t="s">
        <v>452</v>
      </c>
      <c r="F823" t="s">
        <v>3</v>
      </c>
      <c r="G823" t="s">
        <v>1067</v>
      </c>
      <c r="H823" t="s">
        <v>1068</v>
      </c>
      <c r="I823" t="s">
        <v>22</v>
      </c>
      <c r="J823" t="s">
        <v>22</v>
      </c>
      <c r="K823" t="s">
        <v>38</v>
      </c>
      <c r="L823" t="s">
        <v>50</v>
      </c>
      <c r="M823">
        <v>588</v>
      </c>
      <c r="N823">
        <v>2</v>
      </c>
      <c r="O823">
        <v>0</v>
      </c>
      <c r="P823">
        <v>123.36</v>
      </c>
      <c r="Q823">
        <v>42.88</v>
      </c>
      <c r="R823" t="s">
        <v>9</v>
      </c>
    </row>
    <row r="824" spans="1:18" x14ac:dyDescent="0.25">
      <c r="A824" t="s">
        <v>1077</v>
      </c>
      <c r="B824" s="1">
        <v>40603</v>
      </c>
      <c r="C824" s="1">
        <v>40609</v>
      </c>
      <c r="D824" t="s">
        <v>1</v>
      </c>
      <c r="E824" t="s">
        <v>1078</v>
      </c>
      <c r="F824" t="s">
        <v>3</v>
      </c>
      <c r="G824" t="s">
        <v>125</v>
      </c>
      <c r="H824" t="s">
        <v>126</v>
      </c>
      <c r="I824" t="s">
        <v>127</v>
      </c>
      <c r="J824" t="s">
        <v>76</v>
      </c>
      <c r="K824" t="s">
        <v>32</v>
      </c>
      <c r="L824" t="s">
        <v>62</v>
      </c>
      <c r="M824">
        <v>377</v>
      </c>
      <c r="N824">
        <v>3</v>
      </c>
      <c r="O824">
        <v>0.3</v>
      </c>
      <c r="P824">
        <v>-43.029600000000002</v>
      </c>
      <c r="Q824">
        <v>32.700000000000003</v>
      </c>
      <c r="R824" t="s">
        <v>9</v>
      </c>
    </row>
    <row r="825" spans="1:18" x14ac:dyDescent="0.25">
      <c r="A825" t="s">
        <v>1065</v>
      </c>
      <c r="B825" s="1">
        <v>40603</v>
      </c>
      <c r="C825" s="1">
        <v>40608</v>
      </c>
      <c r="D825" t="s">
        <v>1</v>
      </c>
      <c r="E825" t="s">
        <v>616</v>
      </c>
      <c r="F825" t="s">
        <v>43</v>
      </c>
      <c r="G825" t="s">
        <v>65</v>
      </c>
      <c r="H825" t="s">
        <v>66</v>
      </c>
      <c r="I825" t="s">
        <v>29</v>
      </c>
      <c r="J825" t="s">
        <v>30</v>
      </c>
      <c r="K825" t="s">
        <v>7</v>
      </c>
      <c r="L825" t="s">
        <v>91</v>
      </c>
      <c r="M825">
        <v>195</v>
      </c>
      <c r="N825">
        <v>4</v>
      </c>
      <c r="O825">
        <v>0</v>
      </c>
      <c r="P825">
        <v>34.92</v>
      </c>
      <c r="Q825">
        <v>25.39</v>
      </c>
      <c r="R825" t="s">
        <v>23</v>
      </c>
    </row>
    <row r="826" spans="1:18" x14ac:dyDescent="0.25">
      <c r="A826" t="s">
        <v>1079</v>
      </c>
      <c r="B826" s="1">
        <v>40603</v>
      </c>
      <c r="C826" s="1">
        <v>40607</v>
      </c>
      <c r="D826" t="s">
        <v>1</v>
      </c>
      <c r="E826" t="s">
        <v>1080</v>
      </c>
      <c r="F826" t="s">
        <v>3</v>
      </c>
      <c r="G826" t="s">
        <v>125</v>
      </c>
      <c r="H826" t="s">
        <v>126</v>
      </c>
      <c r="I826" t="s">
        <v>127</v>
      </c>
      <c r="J826" t="s">
        <v>76</v>
      </c>
      <c r="K826" t="s">
        <v>32</v>
      </c>
      <c r="L826" t="s">
        <v>56</v>
      </c>
      <c r="M826">
        <v>362</v>
      </c>
      <c r="N826">
        <v>6</v>
      </c>
      <c r="O826">
        <v>0.3</v>
      </c>
      <c r="P826">
        <v>0</v>
      </c>
      <c r="Q826">
        <v>25.22</v>
      </c>
      <c r="R826" t="s">
        <v>9</v>
      </c>
    </row>
    <row r="827" spans="1:18" x14ac:dyDescent="0.25">
      <c r="A827" t="s">
        <v>1081</v>
      </c>
      <c r="B827" s="1">
        <v>40603</v>
      </c>
      <c r="C827" s="1">
        <v>40603</v>
      </c>
      <c r="D827" t="s">
        <v>41</v>
      </c>
      <c r="E827" t="s">
        <v>1082</v>
      </c>
      <c r="F827" t="s">
        <v>26</v>
      </c>
      <c r="G827" t="s">
        <v>1083</v>
      </c>
      <c r="H827" t="s">
        <v>1068</v>
      </c>
      <c r="I827" t="s">
        <v>22</v>
      </c>
      <c r="J827" t="s">
        <v>22</v>
      </c>
      <c r="K827" t="s">
        <v>32</v>
      </c>
      <c r="L827" t="s">
        <v>56</v>
      </c>
      <c r="M827">
        <v>163</v>
      </c>
      <c r="N827">
        <v>2</v>
      </c>
      <c r="O827">
        <v>0</v>
      </c>
      <c r="P827">
        <v>76.5</v>
      </c>
      <c r="Q827">
        <v>24.42</v>
      </c>
      <c r="R827" t="s">
        <v>9</v>
      </c>
    </row>
    <row r="828" spans="1:18" x14ac:dyDescent="0.25">
      <c r="A828" t="s">
        <v>1081</v>
      </c>
      <c r="B828" s="1">
        <v>40603</v>
      </c>
      <c r="C828" s="1">
        <v>40603</v>
      </c>
      <c r="D828" t="s">
        <v>41</v>
      </c>
      <c r="E828" t="s">
        <v>1082</v>
      </c>
      <c r="F828" t="s">
        <v>26</v>
      </c>
      <c r="G828" t="s">
        <v>1083</v>
      </c>
      <c r="H828" t="s">
        <v>1068</v>
      </c>
      <c r="I828" t="s">
        <v>22</v>
      </c>
      <c r="J828" t="s">
        <v>22</v>
      </c>
      <c r="K828" t="s">
        <v>7</v>
      </c>
      <c r="L828" t="s">
        <v>8</v>
      </c>
      <c r="M828">
        <v>116</v>
      </c>
      <c r="N828">
        <v>2</v>
      </c>
      <c r="O828">
        <v>0</v>
      </c>
      <c r="P828">
        <v>30.06</v>
      </c>
      <c r="Q828">
        <v>19.52</v>
      </c>
      <c r="R828" t="s">
        <v>9</v>
      </c>
    </row>
    <row r="829" spans="1:18" x14ac:dyDescent="0.25">
      <c r="A829" t="s">
        <v>1064</v>
      </c>
      <c r="B829" s="1">
        <v>40603</v>
      </c>
      <c r="C829" s="1">
        <v>40606</v>
      </c>
      <c r="D829" t="s">
        <v>142</v>
      </c>
      <c r="E829" t="s">
        <v>785</v>
      </c>
      <c r="F829" t="s">
        <v>3</v>
      </c>
      <c r="G829" t="s">
        <v>36</v>
      </c>
      <c r="H829" t="s">
        <v>37</v>
      </c>
      <c r="I829" t="s">
        <v>37</v>
      </c>
      <c r="J829" t="s">
        <v>37</v>
      </c>
      <c r="K829" t="s">
        <v>38</v>
      </c>
      <c r="L829" t="s">
        <v>77</v>
      </c>
      <c r="M829">
        <v>493</v>
      </c>
      <c r="N829">
        <v>4</v>
      </c>
      <c r="O829">
        <v>0</v>
      </c>
      <c r="P829">
        <v>123.24</v>
      </c>
      <c r="Q829">
        <v>18.190000000000001</v>
      </c>
      <c r="R829" t="s">
        <v>23</v>
      </c>
    </row>
    <row r="830" spans="1:18" x14ac:dyDescent="0.25">
      <c r="A830" t="s">
        <v>1084</v>
      </c>
      <c r="B830" s="1">
        <v>40603</v>
      </c>
      <c r="C830" s="1">
        <v>40610</v>
      </c>
      <c r="D830" t="s">
        <v>1</v>
      </c>
      <c r="E830" t="s">
        <v>84</v>
      </c>
      <c r="F830" t="s">
        <v>3</v>
      </c>
      <c r="G830" t="s">
        <v>771</v>
      </c>
      <c r="H830" t="s">
        <v>115</v>
      </c>
      <c r="I830" t="s">
        <v>29</v>
      </c>
      <c r="J830" t="s">
        <v>76</v>
      </c>
      <c r="K830" t="s">
        <v>7</v>
      </c>
      <c r="L830" t="s">
        <v>91</v>
      </c>
      <c r="M830">
        <v>107</v>
      </c>
      <c r="N830">
        <v>4</v>
      </c>
      <c r="O830">
        <v>0</v>
      </c>
      <c r="P830">
        <v>29.88</v>
      </c>
      <c r="Q830">
        <v>16.48</v>
      </c>
      <c r="R830" t="s">
        <v>51</v>
      </c>
    </row>
    <row r="831" spans="1:18" x14ac:dyDescent="0.25">
      <c r="A831" t="s">
        <v>1066</v>
      </c>
      <c r="B831" s="1">
        <v>40603</v>
      </c>
      <c r="C831" s="1">
        <v>40607</v>
      </c>
      <c r="D831" t="s">
        <v>1</v>
      </c>
      <c r="E831" t="s">
        <v>452</v>
      </c>
      <c r="F831" t="s">
        <v>3</v>
      </c>
      <c r="G831" t="s">
        <v>1067</v>
      </c>
      <c r="H831" t="s">
        <v>1068</v>
      </c>
      <c r="I831" t="s">
        <v>22</v>
      </c>
      <c r="J831" t="s">
        <v>22</v>
      </c>
      <c r="K831" t="s">
        <v>38</v>
      </c>
      <c r="L831" t="s">
        <v>39</v>
      </c>
      <c r="M831">
        <v>266</v>
      </c>
      <c r="N831">
        <v>1</v>
      </c>
      <c r="O831">
        <v>0</v>
      </c>
      <c r="P831">
        <v>79.86</v>
      </c>
      <c r="Q831">
        <v>16.22</v>
      </c>
      <c r="R831" t="s">
        <v>9</v>
      </c>
    </row>
    <row r="832" spans="1:18" x14ac:dyDescent="0.25">
      <c r="A832" t="s">
        <v>1085</v>
      </c>
      <c r="B832" s="1">
        <v>40603</v>
      </c>
      <c r="C832" s="1">
        <v>40607</v>
      </c>
      <c r="D832" t="s">
        <v>1</v>
      </c>
      <c r="E832" t="s">
        <v>1086</v>
      </c>
      <c r="F832" t="s">
        <v>43</v>
      </c>
      <c r="G832" t="s">
        <v>1087</v>
      </c>
      <c r="H832" t="s">
        <v>131</v>
      </c>
      <c r="I832" t="s">
        <v>14</v>
      </c>
      <c r="J832" t="s">
        <v>132</v>
      </c>
      <c r="K832" t="s">
        <v>32</v>
      </c>
      <c r="L832" t="s">
        <v>33</v>
      </c>
      <c r="M832">
        <v>352</v>
      </c>
      <c r="N832">
        <v>7</v>
      </c>
      <c r="O832">
        <v>0</v>
      </c>
      <c r="P832">
        <v>59.64</v>
      </c>
      <c r="Q832">
        <v>15.91</v>
      </c>
      <c r="R832" t="s">
        <v>9</v>
      </c>
    </row>
    <row r="833" spans="1:18" x14ac:dyDescent="0.25">
      <c r="A833" t="s">
        <v>1088</v>
      </c>
      <c r="B833" s="1">
        <v>40603</v>
      </c>
      <c r="C833" s="1">
        <v>40608</v>
      </c>
      <c r="D833" t="s">
        <v>1</v>
      </c>
      <c r="E833" t="s">
        <v>1089</v>
      </c>
      <c r="F833" t="s">
        <v>3</v>
      </c>
      <c r="G833" t="s">
        <v>1090</v>
      </c>
      <c r="H833" t="s">
        <v>157</v>
      </c>
      <c r="I833" t="s">
        <v>14</v>
      </c>
      <c r="J833" t="s">
        <v>61</v>
      </c>
      <c r="K833" t="s">
        <v>32</v>
      </c>
      <c r="L833" t="s">
        <v>56</v>
      </c>
      <c r="M833">
        <v>239</v>
      </c>
      <c r="N833">
        <v>2</v>
      </c>
      <c r="O833">
        <v>0.27</v>
      </c>
      <c r="P833">
        <v>62.168999999999997</v>
      </c>
      <c r="Q833">
        <v>15.01</v>
      </c>
      <c r="R833" t="s">
        <v>9</v>
      </c>
    </row>
    <row r="834" spans="1:18" x14ac:dyDescent="0.25">
      <c r="A834" t="s">
        <v>1088</v>
      </c>
      <c r="B834" s="1">
        <v>40603</v>
      </c>
      <c r="C834" s="1">
        <v>40608</v>
      </c>
      <c r="D834" t="s">
        <v>1</v>
      </c>
      <c r="E834" t="s">
        <v>1089</v>
      </c>
      <c r="F834" t="s">
        <v>3</v>
      </c>
      <c r="G834" t="s">
        <v>1090</v>
      </c>
      <c r="H834" t="s">
        <v>157</v>
      </c>
      <c r="I834" t="s">
        <v>14</v>
      </c>
      <c r="J834" t="s">
        <v>61</v>
      </c>
      <c r="K834" t="s">
        <v>7</v>
      </c>
      <c r="L834" t="s">
        <v>96</v>
      </c>
      <c r="M834">
        <v>109</v>
      </c>
      <c r="N834">
        <v>9</v>
      </c>
      <c r="O834">
        <v>0.47</v>
      </c>
      <c r="P834">
        <v>-74.414699999999996</v>
      </c>
      <c r="Q834">
        <v>14.58</v>
      </c>
      <c r="R834" t="s">
        <v>9</v>
      </c>
    </row>
    <row r="835" spans="1:18" x14ac:dyDescent="0.25">
      <c r="A835" t="s">
        <v>1091</v>
      </c>
      <c r="B835" s="1">
        <v>40603</v>
      </c>
      <c r="C835" s="1">
        <v>40607</v>
      </c>
      <c r="D835" t="s">
        <v>1</v>
      </c>
      <c r="E835" t="s">
        <v>717</v>
      </c>
      <c r="F835" t="s">
        <v>43</v>
      </c>
      <c r="G835" t="s">
        <v>1070</v>
      </c>
      <c r="H835" t="s">
        <v>305</v>
      </c>
      <c r="I835" t="s">
        <v>29</v>
      </c>
      <c r="J835" t="s">
        <v>76</v>
      </c>
      <c r="K835" t="s">
        <v>38</v>
      </c>
      <c r="L835" t="s">
        <v>82</v>
      </c>
      <c r="M835">
        <v>151</v>
      </c>
      <c r="N835">
        <v>2</v>
      </c>
      <c r="O835">
        <v>0.1</v>
      </c>
      <c r="P835">
        <v>-5.0579999999999998</v>
      </c>
      <c r="Q835">
        <v>14.22</v>
      </c>
      <c r="R835" t="s">
        <v>9</v>
      </c>
    </row>
    <row r="836" spans="1:18" x14ac:dyDescent="0.25">
      <c r="A836" t="s">
        <v>1092</v>
      </c>
      <c r="B836" s="1">
        <v>40603</v>
      </c>
      <c r="C836" s="1">
        <v>40607</v>
      </c>
      <c r="D836" t="s">
        <v>1</v>
      </c>
      <c r="E836" t="s">
        <v>1089</v>
      </c>
      <c r="F836" t="s">
        <v>3</v>
      </c>
      <c r="G836" t="s">
        <v>1093</v>
      </c>
      <c r="H836" t="s">
        <v>13</v>
      </c>
      <c r="I836" t="s">
        <v>14</v>
      </c>
      <c r="J836" t="s">
        <v>15</v>
      </c>
      <c r="K836" t="s">
        <v>38</v>
      </c>
      <c r="L836" t="s">
        <v>77</v>
      </c>
      <c r="M836">
        <v>92</v>
      </c>
      <c r="N836">
        <v>1</v>
      </c>
      <c r="O836">
        <v>0.4</v>
      </c>
      <c r="P836">
        <v>-45.948</v>
      </c>
      <c r="Q836">
        <v>13.96</v>
      </c>
      <c r="R836" t="s">
        <v>23</v>
      </c>
    </row>
    <row r="837" spans="1:18" x14ac:dyDescent="0.25">
      <c r="A837" t="s">
        <v>1066</v>
      </c>
      <c r="B837" s="1">
        <v>40603</v>
      </c>
      <c r="C837" s="1">
        <v>40607</v>
      </c>
      <c r="D837" t="s">
        <v>1</v>
      </c>
      <c r="E837" t="s">
        <v>452</v>
      </c>
      <c r="F837" t="s">
        <v>3</v>
      </c>
      <c r="G837" t="s">
        <v>1067</v>
      </c>
      <c r="H837" t="s">
        <v>1068</v>
      </c>
      <c r="I837" t="s">
        <v>22</v>
      </c>
      <c r="J837" t="s">
        <v>22</v>
      </c>
      <c r="K837" t="s">
        <v>32</v>
      </c>
      <c r="L837" t="s">
        <v>67</v>
      </c>
      <c r="M837">
        <v>197</v>
      </c>
      <c r="N837">
        <v>1</v>
      </c>
      <c r="O837">
        <v>0</v>
      </c>
      <c r="P837">
        <v>86.55</v>
      </c>
      <c r="Q837">
        <v>12.33</v>
      </c>
      <c r="R837" t="s">
        <v>9</v>
      </c>
    </row>
    <row r="838" spans="1:18" x14ac:dyDescent="0.25">
      <c r="A838" t="s">
        <v>1069</v>
      </c>
      <c r="B838" s="1">
        <v>40603</v>
      </c>
      <c r="C838" s="1">
        <v>40607</v>
      </c>
      <c r="D838" t="s">
        <v>1</v>
      </c>
      <c r="E838" t="s">
        <v>504</v>
      </c>
      <c r="F838" t="s">
        <v>3</v>
      </c>
      <c r="G838" t="s">
        <v>1070</v>
      </c>
      <c r="H838" t="s">
        <v>305</v>
      </c>
      <c r="I838" t="s">
        <v>29</v>
      </c>
      <c r="J838" t="s">
        <v>76</v>
      </c>
      <c r="K838" t="s">
        <v>7</v>
      </c>
      <c r="L838" t="s">
        <v>8</v>
      </c>
      <c r="M838">
        <v>118</v>
      </c>
      <c r="N838">
        <v>3</v>
      </c>
      <c r="O838">
        <v>0.2</v>
      </c>
      <c r="P838">
        <v>36.683999999999997</v>
      </c>
      <c r="Q838">
        <v>11.43</v>
      </c>
      <c r="R838" t="s">
        <v>23</v>
      </c>
    </row>
    <row r="839" spans="1:18" x14ac:dyDescent="0.25">
      <c r="A839" t="s">
        <v>1077</v>
      </c>
      <c r="B839" s="1">
        <v>40603</v>
      </c>
      <c r="C839" s="1">
        <v>40609</v>
      </c>
      <c r="D839" t="s">
        <v>1</v>
      </c>
      <c r="E839" t="s">
        <v>1078</v>
      </c>
      <c r="F839" t="s">
        <v>3</v>
      </c>
      <c r="G839" t="s">
        <v>125</v>
      </c>
      <c r="H839" t="s">
        <v>126</v>
      </c>
      <c r="I839" t="s">
        <v>127</v>
      </c>
      <c r="J839" t="s">
        <v>76</v>
      </c>
      <c r="K839" t="s">
        <v>7</v>
      </c>
      <c r="L839" t="s">
        <v>8</v>
      </c>
      <c r="M839">
        <v>137</v>
      </c>
      <c r="N839">
        <v>3</v>
      </c>
      <c r="O839">
        <v>0.2</v>
      </c>
      <c r="P839">
        <v>8.5845000000000002</v>
      </c>
      <c r="Q839">
        <v>8.49</v>
      </c>
      <c r="R839" t="s">
        <v>9</v>
      </c>
    </row>
    <row r="840" spans="1:18" x14ac:dyDescent="0.25">
      <c r="A840" t="s">
        <v>1081</v>
      </c>
      <c r="B840" s="1">
        <v>40603</v>
      </c>
      <c r="C840" s="1">
        <v>40603</v>
      </c>
      <c r="D840" t="s">
        <v>41</v>
      </c>
      <c r="E840" t="s">
        <v>1082</v>
      </c>
      <c r="F840" t="s">
        <v>26</v>
      </c>
      <c r="G840" t="s">
        <v>1083</v>
      </c>
      <c r="H840" t="s">
        <v>1068</v>
      </c>
      <c r="I840" t="s">
        <v>22</v>
      </c>
      <c r="J840" t="s">
        <v>22</v>
      </c>
      <c r="K840" t="s">
        <v>7</v>
      </c>
      <c r="L840" t="s">
        <v>91</v>
      </c>
      <c r="M840">
        <v>99</v>
      </c>
      <c r="N840">
        <v>2</v>
      </c>
      <c r="O840">
        <v>0</v>
      </c>
      <c r="P840">
        <v>15.78</v>
      </c>
      <c r="Q840">
        <v>8.42</v>
      </c>
      <c r="R840" t="s">
        <v>9</v>
      </c>
    </row>
    <row r="841" spans="1:18" x14ac:dyDescent="0.25">
      <c r="A841" t="s">
        <v>1069</v>
      </c>
      <c r="B841" s="1">
        <v>40603</v>
      </c>
      <c r="C841" s="1">
        <v>40607</v>
      </c>
      <c r="D841" t="s">
        <v>1</v>
      </c>
      <c r="E841" t="s">
        <v>504</v>
      </c>
      <c r="F841" t="s">
        <v>3</v>
      </c>
      <c r="G841" t="s">
        <v>1070</v>
      </c>
      <c r="H841" t="s">
        <v>305</v>
      </c>
      <c r="I841" t="s">
        <v>29</v>
      </c>
      <c r="J841" t="s">
        <v>76</v>
      </c>
      <c r="K841" t="s">
        <v>7</v>
      </c>
      <c r="L841" t="s">
        <v>8</v>
      </c>
      <c r="M841">
        <v>63</v>
      </c>
      <c r="N841">
        <v>3</v>
      </c>
      <c r="O841">
        <v>0.2</v>
      </c>
      <c r="P841">
        <v>23.76</v>
      </c>
      <c r="Q841">
        <v>8.2200000000000006</v>
      </c>
      <c r="R841" t="s">
        <v>23</v>
      </c>
    </row>
    <row r="842" spans="1:18" x14ac:dyDescent="0.25">
      <c r="A842" t="s">
        <v>1079</v>
      </c>
      <c r="B842" s="1">
        <v>40603</v>
      </c>
      <c r="C842" s="1">
        <v>40607</v>
      </c>
      <c r="D842" t="s">
        <v>1</v>
      </c>
      <c r="E842" t="s">
        <v>1080</v>
      </c>
      <c r="F842" t="s">
        <v>3</v>
      </c>
      <c r="G842" t="s">
        <v>125</v>
      </c>
      <c r="H842" t="s">
        <v>126</v>
      </c>
      <c r="I842" t="s">
        <v>127</v>
      </c>
      <c r="J842" t="s">
        <v>76</v>
      </c>
      <c r="K842" t="s">
        <v>7</v>
      </c>
      <c r="L842" t="s">
        <v>8</v>
      </c>
      <c r="M842">
        <v>130</v>
      </c>
      <c r="N842">
        <v>3</v>
      </c>
      <c r="O842">
        <v>0.2</v>
      </c>
      <c r="P842">
        <v>-22.671600000000002</v>
      </c>
      <c r="Q842">
        <v>8</v>
      </c>
      <c r="R842" t="s">
        <v>9</v>
      </c>
    </row>
    <row r="843" spans="1:18" x14ac:dyDescent="0.25">
      <c r="A843" t="s">
        <v>1079</v>
      </c>
      <c r="B843" s="1">
        <v>40603</v>
      </c>
      <c r="C843" s="1">
        <v>40607</v>
      </c>
      <c r="D843" t="s">
        <v>1</v>
      </c>
      <c r="E843" t="s">
        <v>1080</v>
      </c>
      <c r="F843" t="s">
        <v>3</v>
      </c>
      <c r="G843" t="s">
        <v>125</v>
      </c>
      <c r="H843" t="s">
        <v>126</v>
      </c>
      <c r="I843" t="s">
        <v>127</v>
      </c>
      <c r="J843" t="s">
        <v>76</v>
      </c>
      <c r="K843" t="s">
        <v>32</v>
      </c>
      <c r="L843" t="s">
        <v>33</v>
      </c>
      <c r="M843">
        <v>64</v>
      </c>
      <c r="N843">
        <v>6</v>
      </c>
      <c r="O843">
        <v>0.6</v>
      </c>
      <c r="P843">
        <v>-34.953600000000002</v>
      </c>
      <c r="Q843">
        <v>7.38</v>
      </c>
      <c r="R843" t="s">
        <v>9</v>
      </c>
    </row>
    <row r="844" spans="1:18" x14ac:dyDescent="0.25">
      <c r="A844" t="s">
        <v>1066</v>
      </c>
      <c r="B844" s="1">
        <v>40603</v>
      </c>
      <c r="C844" s="1">
        <v>40607</v>
      </c>
      <c r="D844" t="s">
        <v>1</v>
      </c>
      <c r="E844" t="s">
        <v>452</v>
      </c>
      <c r="F844" t="s">
        <v>3</v>
      </c>
      <c r="G844" t="s">
        <v>1067</v>
      </c>
      <c r="H844" t="s">
        <v>1068</v>
      </c>
      <c r="I844" t="s">
        <v>22</v>
      </c>
      <c r="J844" t="s">
        <v>22</v>
      </c>
      <c r="K844" t="s">
        <v>38</v>
      </c>
      <c r="L844" t="s">
        <v>39</v>
      </c>
      <c r="M844">
        <v>221</v>
      </c>
      <c r="N844">
        <v>2</v>
      </c>
      <c r="O844">
        <v>0</v>
      </c>
      <c r="P844">
        <v>15.48</v>
      </c>
      <c r="Q844">
        <v>6.87</v>
      </c>
      <c r="R844" t="s">
        <v>9</v>
      </c>
    </row>
    <row r="845" spans="1:18" x14ac:dyDescent="0.25">
      <c r="A845" t="s">
        <v>1064</v>
      </c>
      <c r="B845" s="1">
        <v>40603</v>
      </c>
      <c r="C845" s="1">
        <v>40606</v>
      </c>
      <c r="D845" t="s">
        <v>142</v>
      </c>
      <c r="E845" t="s">
        <v>785</v>
      </c>
      <c r="F845" t="s">
        <v>3</v>
      </c>
      <c r="G845" t="s">
        <v>36</v>
      </c>
      <c r="H845" t="s">
        <v>37</v>
      </c>
      <c r="I845" t="s">
        <v>37</v>
      </c>
      <c r="J845" t="s">
        <v>37</v>
      </c>
      <c r="K845" t="s">
        <v>7</v>
      </c>
      <c r="L845" t="s">
        <v>137</v>
      </c>
      <c r="M845">
        <v>30</v>
      </c>
      <c r="N845">
        <v>1</v>
      </c>
      <c r="O845">
        <v>0</v>
      </c>
      <c r="P845">
        <v>2.73</v>
      </c>
      <c r="Q845">
        <v>6.7</v>
      </c>
      <c r="R845" t="s">
        <v>23</v>
      </c>
    </row>
    <row r="846" spans="1:18" x14ac:dyDescent="0.25">
      <c r="A846" t="s">
        <v>1094</v>
      </c>
      <c r="B846" s="1">
        <v>40603</v>
      </c>
      <c r="C846" s="1">
        <v>40606</v>
      </c>
      <c r="D846" t="s">
        <v>18</v>
      </c>
      <c r="E846" t="s">
        <v>1095</v>
      </c>
      <c r="F846" t="s">
        <v>26</v>
      </c>
      <c r="G846" t="s">
        <v>471</v>
      </c>
      <c r="H846" t="s">
        <v>305</v>
      </c>
      <c r="I846" t="s">
        <v>29</v>
      </c>
      <c r="J846" t="s">
        <v>76</v>
      </c>
      <c r="K846" t="s">
        <v>38</v>
      </c>
      <c r="L846" t="s">
        <v>39</v>
      </c>
      <c r="M846">
        <v>47</v>
      </c>
      <c r="N846">
        <v>1</v>
      </c>
      <c r="O846">
        <v>0</v>
      </c>
      <c r="P846">
        <v>12.54</v>
      </c>
      <c r="Q846">
        <v>6.09</v>
      </c>
      <c r="R846" t="s">
        <v>9</v>
      </c>
    </row>
    <row r="847" spans="1:18" x14ac:dyDescent="0.25">
      <c r="A847" t="s">
        <v>1073</v>
      </c>
      <c r="B847" s="1">
        <v>40603</v>
      </c>
      <c r="C847" s="1">
        <v>40605</v>
      </c>
      <c r="D847" t="s">
        <v>142</v>
      </c>
      <c r="E847" t="s">
        <v>1074</v>
      </c>
      <c r="F847" t="s">
        <v>3</v>
      </c>
      <c r="G847" t="s">
        <v>332</v>
      </c>
      <c r="H847" t="s">
        <v>13</v>
      </c>
      <c r="I847" t="s">
        <v>14</v>
      </c>
      <c r="J847" t="s">
        <v>15</v>
      </c>
      <c r="K847" t="s">
        <v>7</v>
      </c>
      <c r="L847" t="s">
        <v>16</v>
      </c>
      <c r="M847">
        <v>24</v>
      </c>
      <c r="N847">
        <v>1</v>
      </c>
      <c r="O847">
        <v>0.1</v>
      </c>
      <c r="P847">
        <v>8.9039999999999999</v>
      </c>
      <c r="Q847">
        <v>5.44</v>
      </c>
      <c r="R847" t="s">
        <v>23</v>
      </c>
    </row>
    <row r="848" spans="1:18" x14ac:dyDescent="0.25">
      <c r="A848" t="s">
        <v>1092</v>
      </c>
      <c r="B848" s="1">
        <v>40603</v>
      </c>
      <c r="C848" s="1">
        <v>40607</v>
      </c>
      <c r="D848" t="s">
        <v>1</v>
      </c>
      <c r="E848" t="s">
        <v>1089</v>
      </c>
      <c r="F848" t="s">
        <v>3</v>
      </c>
      <c r="G848" t="s">
        <v>1093</v>
      </c>
      <c r="H848" t="s">
        <v>13</v>
      </c>
      <c r="I848" t="s">
        <v>14</v>
      </c>
      <c r="J848" t="s">
        <v>15</v>
      </c>
      <c r="K848" t="s">
        <v>7</v>
      </c>
      <c r="L848" t="s">
        <v>31</v>
      </c>
      <c r="M848">
        <v>24</v>
      </c>
      <c r="N848">
        <v>3</v>
      </c>
      <c r="O848">
        <v>0.4</v>
      </c>
      <c r="P848">
        <v>-7.6319999999999997</v>
      </c>
      <c r="Q848">
        <v>3.9</v>
      </c>
      <c r="R848" t="s">
        <v>23</v>
      </c>
    </row>
    <row r="849" spans="1:18" x14ac:dyDescent="0.25">
      <c r="A849" t="s">
        <v>1066</v>
      </c>
      <c r="B849" s="1">
        <v>40603</v>
      </c>
      <c r="C849" s="1">
        <v>40607</v>
      </c>
      <c r="D849" t="s">
        <v>1</v>
      </c>
      <c r="E849" t="s">
        <v>452</v>
      </c>
      <c r="F849" t="s">
        <v>3</v>
      </c>
      <c r="G849" t="s">
        <v>1067</v>
      </c>
      <c r="H849" t="s">
        <v>1068</v>
      </c>
      <c r="I849" t="s">
        <v>22</v>
      </c>
      <c r="J849" t="s">
        <v>22</v>
      </c>
      <c r="K849" t="s">
        <v>7</v>
      </c>
      <c r="L849" t="s">
        <v>8</v>
      </c>
      <c r="M849">
        <v>62</v>
      </c>
      <c r="N849">
        <v>6</v>
      </c>
      <c r="O849">
        <v>0</v>
      </c>
      <c r="P849">
        <v>17.82</v>
      </c>
      <c r="Q849">
        <v>3.73</v>
      </c>
      <c r="R849" t="s">
        <v>9</v>
      </c>
    </row>
    <row r="850" spans="1:18" x14ac:dyDescent="0.25">
      <c r="A850" t="s">
        <v>1065</v>
      </c>
      <c r="B850" s="1">
        <v>40603</v>
      </c>
      <c r="C850" s="1">
        <v>40608</v>
      </c>
      <c r="D850" t="s">
        <v>1</v>
      </c>
      <c r="E850" t="s">
        <v>616</v>
      </c>
      <c r="F850" t="s">
        <v>43</v>
      </c>
      <c r="G850" t="s">
        <v>65</v>
      </c>
      <c r="H850" t="s">
        <v>66</v>
      </c>
      <c r="I850" t="s">
        <v>29</v>
      </c>
      <c r="J850" t="s">
        <v>30</v>
      </c>
      <c r="K850" t="s">
        <v>7</v>
      </c>
      <c r="L850" t="s">
        <v>91</v>
      </c>
      <c r="M850">
        <v>37</v>
      </c>
      <c r="N850">
        <v>3</v>
      </c>
      <c r="O850">
        <v>0</v>
      </c>
      <c r="P850">
        <v>10.35</v>
      </c>
      <c r="Q850">
        <v>3.55</v>
      </c>
      <c r="R850" t="s">
        <v>23</v>
      </c>
    </row>
    <row r="851" spans="1:18" x14ac:dyDescent="0.25">
      <c r="A851" t="s">
        <v>1094</v>
      </c>
      <c r="B851" s="1">
        <v>40603</v>
      </c>
      <c r="C851" s="1">
        <v>40606</v>
      </c>
      <c r="D851" t="s">
        <v>18</v>
      </c>
      <c r="E851" t="s">
        <v>1095</v>
      </c>
      <c r="F851" t="s">
        <v>26</v>
      </c>
      <c r="G851" t="s">
        <v>471</v>
      </c>
      <c r="H851" t="s">
        <v>305</v>
      </c>
      <c r="I851" t="s">
        <v>29</v>
      </c>
      <c r="J851" t="s">
        <v>76</v>
      </c>
      <c r="K851" t="s">
        <v>7</v>
      </c>
      <c r="L851" t="s">
        <v>91</v>
      </c>
      <c r="M851">
        <v>147</v>
      </c>
      <c r="N851">
        <v>12</v>
      </c>
      <c r="O851">
        <v>0</v>
      </c>
      <c r="P851">
        <v>0</v>
      </c>
      <c r="Q851">
        <v>3.35</v>
      </c>
      <c r="R851" t="s">
        <v>9</v>
      </c>
    </row>
    <row r="852" spans="1:18" x14ac:dyDescent="0.25">
      <c r="A852" t="s">
        <v>1094</v>
      </c>
      <c r="B852" s="1">
        <v>40603</v>
      </c>
      <c r="C852" s="1">
        <v>40606</v>
      </c>
      <c r="D852" t="s">
        <v>18</v>
      </c>
      <c r="E852" t="s">
        <v>1095</v>
      </c>
      <c r="F852" t="s">
        <v>26</v>
      </c>
      <c r="G852" t="s">
        <v>471</v>
      </c>
      <c r="H852" t="s">
        <v>305</v>
      </c>
      <c r="I852" t="s">
        <v>29</v>
      </c>
      <c r="J852" t="s">
        <v>76</v>
      </c>
      <c r="K852" t="s">
        <v>7</v>
      </c>
      <c r="L852" t="s">
        <v>8</v>
      </c>
      <c r="M852">
        <v>102</v>
      </c>
      <c r="N852">
        <v>2</v>
      </c>
      <c r="O852">
        <v>0.1</v>
      </c>
      <c r="P852">
        <v>35.238</v>
      </c>
      <c r="Q852">
        <v>3.3</v>
      </c>
      <c r="R852" t="s">
        <v>9</v>
      </c>
    </row>
    <row r="853" spans="1:18" x14ac:dyDescent="0.25">
      <c r="A853" t="s">
        <v>1064</v>
      </c>
      <c r="B853" s="1">
        <v>40603</v>
      </c>
      <c r="C853" s="1">
        <v>40606</v>
      </c>
      <c r="D853" t="s">
        <v>142</v>
      </c>
      <c r="E853" t="s">
        <v>785</v>
      </c>
      <c r="F853" t="s">
        <v>3</v>
      </c>
      <c r="G853" t="s">
        <v>36</v>
      </c>
      <c r="H853" t="s">
        <v>37</v>
      </c>
      <c r="I853" t="s">
        <v>37</v>
      </c>
      <c r="J853" t="s">
        <v>37</v>
      </c>
      <c r="K853" t="s">
        <v>7</v>
      </c>
      <c r="L853" t="s">
        <v>97</v>
      </c>
      <c r="M853">
        <v>12</v>
      </c>
      <c r="N853">
        <v>1</v>
      </c>
      <c r="O853">
        <v>0</v>
      </c>
      <c r="P853">
        <v>2.46</v>
      </c>
      <c r="Q853">
        <v>3.1</v>
      </c>
      <c r="R853" t="s">
        <v>23</v>
      </c>
    </row>
    <row r="854" spans="1:18" x14ac:dyDescent="0.25">
      <c r="A854" t="s">
        <v>1064</v>
      </c>
      <c r="B854" s="1">
        <v>40603</v>
      </c>
      <c r="C854" s="1">
        <v>40606</v>
      </c>
      <c r="D854" t="s">
        <v>142</v>
      </c>
      <c r="E854" t="s">
        <v>785</v>
      </c>
      <c r="F854" t="s">
        <v>3</v>
      </c>
      <c r="G854" t="s">
        <v>36</v>
      </c>
      <c r="H854" t="s">
        <v>37</v>
      </c>
      <c r="I854" t="s">
        <v>37</v>
      </c>
      <c r="J854" t="s">
        <v>37</v>
      </c>
      <c r="K854" t="s">
        <v>7</v>
      </c>
      <c r="L854" t="s">
        <v>87</v>
      </c>
      <c r="M854">
        <v>12</v>
      </c>
      <c r="N854">
        <v>1</v>
      </c>
      <c r="O854">
        <v>0</v>
      </c>
      <c r="P854">
        <v>5.64</v>
      </c>
      <c r="Q854">
        <v>2.2400000000000002</v>
      </c>
      <c r="R854" t="s">
        <v>23</v>
      </c>
    </row>
    <row r="855" spans="1:18" x14ac:dyDescent="0.25">
      <c r="A855" t="s">
        <v>1066</v>
      </c>
      <c r="B855" s="1">
        <v>40603</v>
      </c>
      <c r="C855" s="1">
        <v>40607</v>
      </c>
      <c r="D855" t="s">
        <v>1</v>
      </c>
      <c r="E855" t="s">
        <v>452</v>
      </c>
      <c r="F855" t="s">
        <v>3</v>
      </c>
      <c r="G855" t="s">
        <v>1067</v>
      </c>
      <c r="H855" t="s">
        <v>1068</v>
      </c>
      <c r="I855" t="s">
        <v>22</v>
      </c>
      <c r="J855" t="s">
        <v>22</v>
      </c>
      <c r="K855" t="s">
        <v>32</v>
      </c>
      <c r="L855" t="s">
        <v>56</v>
      </c>
      <c r="M855">
        <v>48</v>
      </c>
      <c r="N855">
        <v>1</v>
      </c>
      <c r="O855">
        <v>0</v>
      </c>
      <c r="P855">
        <v>12.09</v>
      </c>
      <c r="Q855">
        <v>2.21</v>
      </c>
      <c r="R855" t="s">
        <v>9</v>
      </c>
    </row>
    <row r="856" spans="1:18" x14ac:dyDescent="0.25">
      <c r="A856" t="s">
        <v>1079</v>
      </c>
      <c r="B856" s="1">
        <v>40603</v>
      </c>
      <c r="C856" s="1">
        <v>40607</v>
      </c>
      <c r="D856" t="s">
        <v>1</v>
      </c>
      <c r="E856" t="s">
        <v>1080</v>
      </c>
      <c r="F856" t="s">
        <v>3</v>
      </c>
      <c r="G856" t="s">
        <v>125</v>
      </c>
      <c r="H856" t="s">
        <v>126</v>
      </c>
      <c r="I856" t="s">
        <v>127</v>
      </c>
      <c r="J856" t="s">
        <v>76</v>
      </c>
      <c r="K856" t="s">
        <v>7</v>
      </c>
      <c r="L856" t="s">
        <v>97</v>
      </c>
      <c r="M856">
        <v>19</v>
      </c>
      <c r="N856">
        <v>5</v>
      </c>
      <c r="O856">
        <v>0.2</v>
      </c>
      <c r="P856">
        <v>-3.5325000000000002</v>
      </c>
      <c r="Q856">
        <v>2.0499999999999998</v>
      </c>
      <c r="R856" t="s">
        <v>9</v>
      </c>
    </row>
    <row r="857" spans="1:18" x14ac:dyDescent="0.25">
      <c r="A857" t="s">
        <v>1071</v>
      </c>
      <c r="B857" s="1">
        <v>40603</v>
      </c>
      <c r="C857" s="1">
        <v>40607</v>
      </c>
      <c r="D857" t="s">
        <v>1</v>
      </c>
      <c r="E857" t="s">
        <v>1072</v>
      </c>
      <c r="F857" t="s">
        <v>26</v>
      </c>
      <c r="G857" t="s">
        <v>146</v>
      </c>
      <c r="H857" t="s">
        <v>126</v>
      </c>
      <c r="I857" t="s">
        <v>127</v>
      </c>
      <c r="J857" t="s">
        <v>76</v>
      </c>
      <c r="K857" t="s">
        <v>7</v>
      </c>
      <c r="L857" t="s">
        <v>31</v>
      </c>
      <c r="M857">
        <v>17</v>
      </c>
      <c r="N857">
        <v>3</v>
      </c>
      <c r="O857">
        <v>0.2</v>
      </c>
      <c r="P857">
        <v>5.6783999999999999</v>
      </c>
      <c r="Q857">
        <v>1.94</v>
      </c>
      <c r="R857" t="s">
        <v>23</v>
      </c>
    </row>
    <row r="858" spans="1:18" x14ac:dyDescent="0.25">
      <c r="A858" t="s">
        <v>1081</v>
      </c>
      <c r="B858" s="1">
        <v>40603</v>
      </c>
      <c r="C858" s="1">
        <v>40603</v>
      </c>
      <c r="D858" t="s">
        <v>41</v>
      </c>
      <c r="E858" t="s">
        <v>1082</v>
      </c>
      <c r="F858" t="s">
        <v>26</v>
      </c>
      <c r="G858" t="s">
        <v>1083</v>
      </c>
      <c r="H858" t="s">
        <v>1068</v>
      </c>
      <c r="I858" t="s">
        <v>22</v>
      </c>
      <c r="J858" t="s">
        <v>22</v>
      </c>
      <c r="K858" t="s">
        <v>7</v>
      </c>
      <c r="L858" t="s">
        <v>87</v>
      </c>
      <c r="M858">
        <v>13</v>
      </c>
      <c r="N858">
        <v>2</v>
      </c>
      <c r="O858">
        <v>0</v>
      </c>
      <c r="P858">
        <v>5.46</v>
      </c>
      <c r="Q858">
        <v>1.94</v>
      </c>
      <c r="R858" t="s">
        <v>9</v>
      </c>
    </row>
    <row r="859" spans="1:18" x14ac:dyDescent="0.25">
      <c r="A859" t="s">
        <v>1066</v>
      </c>
      <c r="B859" s="1">
        <v>40603</v>
      </c>
      <c r="C859" s="1">
        <v>40607</v>
      </c>
      <c r="D859" t="s">
        <v>1</v>
      </c>
      <c r="E859" t="s">
        <v>452</v>
      </c>
      <c r="F859" t="s">
        <v>3</v>
      </c>
      <c r="G859" t="s">
        <v>1067</v>
      </c>
      <c r="H859" t="s">
        <v>1068</v>
      </c>
      <c r="I859" t="s">
        <v>22</v>
      </c>
      <c r="J859" t="s">
        <v>22</v>
      </c>
      <c r="K859" t="s">
        <v>7</v>
      </c>
      <c r="L859" t="s">
        <v>8</v>
      </c>
      <c r="M859">
        <v>17</v>
      </c>
      <c r="N859">
        <v>1</v>
      </c>
      <c r="O859">
        <v>0</v>
      </c>
      <c r="P859">
        <v>7.41</v>
      </c>
      <c r="Q859">
        <v>1.1399999999999999</v>
      </c>
      <c r="R859" t="s">
        <v>9</v>
      </c>
    </row>
    <row r="860" spans="1:18" x14ac:dyDescent="0.25">
      <c r="A860" t="s">
        <v>1073</v>
      </c>
      <c r="B860" s="1">
        <v>40603</v>
      </c>
      <c r="C860" s="1">
        <v>40605</v>
      </c>
      <c r="D860" t="s">
        <v>142</v>
      </c>
      <c r="E860" t="s">
        <v>1074</v>
      </c>
      <c r="F860" t="s">
        <v>3</v>
      </c>
      <c r="G860" t="s">
        <v>332</v>
      </c>
      <c r="H860" t="s">
        <v>13</v>
      </c>
      <c r="I860" t="s">
        <v>14</v>
      </c>
      <c r="J860" t="s">
        <v>15</v>
      </c>
      <c r="K860" t="s">
        <v>7</v>
      </c>
      <c r="L860" t="s">
        <v>137</v>
      </c>
      <c r="M860">
        <v>13</v>
      </c>
      <c r="N860">
        <v>2</v>
      </c>
      <c r="O860">
        <v>0.1</v>
      </c>
      <c r="P860">
        <v>-1.1639999999999999</v>
      </c>
      <c r="Q860">
        <v>1.05</v>
      </c>
      <c r="R860" t="s">
        <v>23</v>
      </c>
    </row>
    <row r="861" spans="1:18" x14ac:dyDescent="0.25">
      <c r="A861" t="s">
        <v>1096</v>
      </c>
      <c r="B861" s="1">
        <v>40603</v>
      </c>
      <c r="C861" s="1">
        <v>40607</v>
      </c>
      <c r="D861" t="s">
        <v>1</v>
      </c>
      <c r="E861" t="s">
        <v>1097</v>
      </c>
      <c r="F861" t="s">
        <v>3</v>
      </c>
      <c r="G861" t="s">
        <v>660</v>
      </c>
      <c r="H861" t="s">
        <v>13</v>
      </c>
      <c r="I861" t="s">
        <v>14</v>
      </c>
      <c r="J861" t="s">
        <v>15</v>
      </c>
      <c r="K861" t="s">
        <v>7</v>
      </c>
      <c r="L861" t="s">
        <v>137</v>
      </c>
      <c r="M861">
        <v>22</v>
      </c>
      <c r="N861">
        <v>6</v>
      </c>
      <c r="O861">
        <v>0.1</v>
      </c>
      <c r="P861">
        <v>4.266</v>
      </c>
      <c r="Q861">
        <v>1.02</v>
      </c>
      <c r="R861" t="s">
        <v>9</v>
      </c>
    </row>
    <row r="862" spans="1:18" x14ac:dyDescent="0.25">
      <c r="A862" t="s">
        <v>1098</v>
      </c>
      <c r="B862" s="1">
        <v>40603</v>
      </c>
      <c r="C862" s="1">
        <v>40607</v>
      </c>
      <c r="D862" t="s">
        <v>1</v>
      </c>
      <c r="E862" t="s">
        <v>1099</v>
      </c>
      <c r="F862" t="s">
        <v>3</v>
      </c>
      <c r="G862" t="s">
        <v>1006</v>
      </c>
      <c r="H862" t="s">
        <v>298</v>
      </c>
      <c r="I862" t="s">
        <v>29</v>
      </c>
      <c r="J862" t="s">
        <v>102</v>
      </c>
      <c r="K862" t="s">
        <v>7</v>
      </c>
      <c r="L862" t="s">
        <v>137</v>
      </c>
      <c r="M862">
        <v>18</v>
      </c>
      <c r="N862">
        <v>2</v>
      </c>
      <c r="O862">
        <v>0</v>
      </c>
      <c r="P862">
        <v>3.18</v>
      </c>
      <c r="Q862">
        <v>0.97</v>
      </c>
      <c r="R862" t="s">
        <v>9</v>
      </c>
    </row>
    <row r="863" spans="1:18" x14ac:dyDescent="0.25">
      <c r="A863" t="s">
        <v>1066</v>
      </c>
      <c r="B863" s="1">
        <v>40603</v>
      </c>
      <c r="C863" s="1">
        <v>40607</v>
      </c>
      <c r="D863" t="s">
        <v>1</v>
      </c>
      <c r="E863" t="s">
        <v>452</v>
      </c>
      <c r="F863" t="s">
        <v>3</v>
      </c>
      <c r="G863" t="s">
        <v>1067</v>
      </c>
      <c r="H863" t="s">
        <v>1068</v>
      </c>
      <c r="I863" t="s">
        <v>22</v>
      </c>
      <c r="J863" t="s">
        <v>22</v>
      </c>
      <c r="K863" t="s">
        <v>7</v>
      </c>
      <c r="L863" t="s">
        <v>8</v>
      </c>
      <c r="M863">
        <v>31</v>
      </c>
      <c r="N863">
        <v>2</v>
      </c>
      <c r="O863">
        <v>0</v>
      </c>
      <c r="P863">
        <v>14.28</v>
      </c>
      <c r="Q863">
        <v>0.81</v>
      </c>
      <c r="R863" t="s">
        <v>9</v>
      </c>
    </row>
    <row r="864" spans="1:18" x14ac:dyDescent="0.25">
      <c r="A864" t="s">
        <v>1100</v>
      </c>
      <c r="B864" s="1">
        <v>40603</v>
      </c>
      <c r="C864" s="1">
        <v>40608</v>
      </c>
      <c r="D864" t="s">
        <v>1</v>
      </c>
      <c r="E864" t="s">
        <v>383</v>
      </c>
      <c r="F864" t="s">
        <v>43</v>
      </c>
      <c r="G864" t="s">
        <v>450</v>
      </c>
      <c r="H864" t="s">
        <v>223</v>
      </c>
      <c r="I864" t="s">
        <v>6</v>
      </c>
      <c r="J864" t="s">
        <v>6</v>
      </c>
      <c r="K864" t="s">
        <v>7</v>
      </c>
      <c r="L864" t="s">
        <v>44</v>
      </c>
      <c r="M864">
        <v>25</v>
      </c>
      <c r="N864">
        <v>1</v>
      </c>
      <c r="O864">
        <v>0.7</v>
      </c>
      <c r="P864">
        <v>-28.713000000000001</v>
      </c>
      <c r="Q864">
        <v>0.79</v>
      </c>
      <c r="R864" t="s">
        <v>9</v>
      </c>
    </row>
    <row r="865" spans="1:18" x14ac:dyDescent="0.25">
      <c r="A865" t="s">
        <v>1101</v>
      </c>
      <c r="B865" s="1">
        <v>40603</v>
      </c>
      <c r="C865" s="1">
        <v>40607</v>
      </c>
      <c r="D865" t="s">
        <v>1</v>
      </c>
      <c r="E865" t="s">
        <v>797</v>
      </c>
      <c r="F865" t="s">
        <v>26</v>
      </c>
      <c r="G865" t="s">
        <v>649</v>
      </c>
      <c r="H865" t="s">
        <v>126</v>
      </c>
      <c r="I865" t="s">
        <v>127</v>
      </c>
      <c r="J865" t="s">
        <v>173</v>
      </c>
      <c r="K865" t="s">
        <v>38</v>
      </c>
      <c r="L865" t="s">
        <v>77</v>
      </c>
      <c r="M865">
        <v>6</v>
      </c>
      <c r="N865">
        <v>3</v>
      </c>
      <c r="O865">
        <v>0</v>
      </c>
      <c r="P865">
        <v>1.6037999999999999</v>
      </c>
      <c r="Q865">
        <v>0.42</v>
      </c>
      <c r="R865" t="s">
        <v>9</v>
      </c>
    </row>
    <row r="866" spans="1:18" x14ac:dyDescent="0.25">
      <c r="A866" t="s">
        <v>1102</v>
      </c>
      <c r="B866" s="1">
        <v>40604</v>
      </c>
      <c r="C866" s="1">
        <v>40609</v>
      </c>
      <c r="D866" t="s">
        <v>1</v>
      </c>
      <c r="E866" t="s">
        <v>531</v>
      </c>
      <c r="F866" t="s">
        <v>26</v>
      </c>
      <c r="G866" t="s">
        <v>660</v>
      </c>
      <c r="H866" t="s">
        <v>13</v>
      </c>
      <c r="I866" t="s">
        <v>14</v>
      </c>
      <c r="J866" t="s">
        <v>15</v>
      </c>
      <c r="K866" t="s">
        <v>32</v>
      </c>
      <c r="L866" t="s">
        <v>67</v>
      </c>
      <c r="M866">
        <v>775</v>
      </c>
      <c r="N866">
        <v>7</v>
      </c>
      <c r="O866">
        <v>0.1</v>
      </c>
      <c r="P866">
        <v>146.328</v>
      </c>
      <c r="Q866">
        <v>52.13</v>
      </c>
      <c r="R866" t="s">
        <v>9</v>
      </c>
    </row>
    <row r="867" spans="1:18" x14ac:dyDescent="0.25">
      <c r="A867" t="s">
        <v>1102</v>
      </c>
      <c r="B867" s="1">
        <v>40604</v>
      </c>
      <c r="C867" s="1">
        <v>40609</v>
      </c>
      <c r="D867" t="s">
        <v>1</v>
      </c>
      <c r="E867" t="s">
        <v>531</v>
      </c>
      <c r="F867" t="s">
        <v>26</v>
      </c>
      <c r="G867" t="s">
        <v>660</v>
      </c>
      <c r="H867" t="s">
        <v>13</v>
      </c>
      <c r="I867" t="s">
        <v>14</v>
      </c>
      <c r="J867" t="s">
        <v>15</v>
      </c>
      <c r="K867" t="s">
        <v>32</v>
      </c>
      <c r="L867" t="s">
        <v>67</v>
      </c>
      <c r="M867">
        <v>776</v>
      </c>
      <c r="N867">
        <v>6</v>
      </c>
      <c r="O867">
        <v>0.1</v>
      </c>
      <c r="P867">
        <v>94.805999999999997</v>
      </c>
      <c r="Q867">
        <v>51.08</v>
      </c>
      <c r="R867" t="s">
        <v>9</v>
      </c>
    </row>
    <row r="868" spans="1:18" x14ac:dyDescent="0.25">
      <c r="A868" t="s">
        <v>1103</v>
      </c>
      <c r="B868" s="1">
        <v>40604</v>
      </c>
      <c r="C868" s="1">
        <v>40604</v>
      </c>
      <c r="D868" t="s">
        <v>41</v>
      </c>
      <c r="E868" t="s">
        <v>1104</v>
      </c>
      <c r="F868" t="s">
        <v>43</v>
      </c>
      <c r="G868" t="s">
        <v>271</v>
      </c>
      <c r="H868" t="s">
        <v>157</v>
      </c>
      <c r="I868" t="s">
        <v>14</v>
      </c>
      <c r="J868" t="s">
        <v>61</v>
      </c>
      <c r="K868" t="s">
        <v>32</v>
      </c>
      <c r="L868" t="s">
        <v>56</v>
      </c>
      <c r="M868">
        <v>682</v>
      </c>
      <c r="N868">
        <v>2</v>
      </c>
      <c r="O868">
        <v>0.27</v>
      </c>
      <c r="P868">
        <v>186.96780000000001</v>
      </c>
      <c r="Q868">
        <v>48.69</v>
      </c>
      <c r="R868" t="s">
        <v>9</v>
      </c>
    </row>
    <row r="869" spans="1:18" x14ac:dyDescent="0.25">
      <c r="A869" t="s">
        <v>1105</v>
      </c>
      <c r="B869" s="1">
        <v>40604</v>
      </c>
      <c r="C869" s="1">
        <v>40608</v>
      </c>
      <c r="D869" t="s">
        <v>1</v>
      </c>
      <c r="E869" t="s">
        <v>715</v>
      </c>
      <c r="F869" t="s">
        <v>43</v>
      </c>
      <c r="G869" t="s">
        <v>235</v>
      </c>
      <c r="H869" t="s">
        <v>13</v>
      </c>
      <c r="I869" t="s">
        <v>14</v>
      </c>
      <c r="J869" t="s">
        <v>15</v>
      </c>
      <c r="K869" t="s">
        <v>32</v>
      </c>
      <c r="L869" t="s">
        <v>56</v>
      </c>
      <c r="M869">
        <v>258</v>
      </c>
      <c r="N869">
        <v>3</v>
      </c>
      <c r="O869">
        <v>0.1</v>
      </c>
      <c r="P869">
        <v>31.481999999999999</v>
      </c>
      <c r="Q869">
        <v>28.53</v>
      </c>
      <c r="R869" t="s">
        <v>9</v>
      </c>
    </row>
    <row r="870" spans="1:18" x14ac:dyDescent="0.25">
      <c r="A870" t="s">
        <v>1103</v>
      </c>
      <c r="B870" s="1">
        <v>40604</v>
      </c>
      <c r="C870" s="1">
        <v>40604</v>
      </c>
      <c r="D870" t="s">
        <v>41</v>
      </c>
      <c r="E870" t="s">
        <v>1104</v>
      </c>
      <c r="F870" t="s">
        <v>43</v>
      </c>
      <c r="G870" t="s">
        <v>271</v>
      </c>
      <c r="H870" t="s">
        <v>157</v>
      </c>
      <c r="I870" t="s">
        <v>14</v>
      </c>
      <c r="J870" t="s">
        <v>61</v>
      </c>
      <c r="K870" t="s">
        <v>38</v>
      </c>
      <c r="L870" t="s">
        <v>50</v>
      </c>
      <c r="M870" s="2">
        <v>1055</v>
      </c>
      <c r="N870">
        <v>3</v>
      </c>
      <c r="O870">
        <v>7.0000000000000007E-2</v>
      </c>
      <c r="P870">
        <v>-34.082999999999998</v>
      </c>
      <c r="Q870">
        <v>27.16</v>
      </c>
      <c r="R870" t="s">
        <v>9</v>
      </c>
    </row>
    <row r="871" spans="1:18" x14ac:dyDescent="0.25">
      <c r="A871" t="s">
        <v>1106</v>
      </c>
      <c r="B871" s="1">
        <v>40604</v>
      </c>
      <c r="C871" s="1">
        <v>40608</v>
      </c>
      <c r="D871" t="s">
        <v>1</v>
      </c>
      <c r="E871" t="s">
        <v>755</v>
      </c>
      <c r="F871" t="s">
        <v>3</v>
      </c>
      <c r="G871" t="s">
        <v>1107</v>
      </c>
      <c r="H871" t="s">
        <v>55</v>
      </c>
      <c r="I871" t="s">
        <v>22</v>
      </c>
      <c r="J871" t="s">
        <v>22</v>
      </c>
      <c r="K871" t="s">
        <v>7</v>
      </c>
      <c r="L871" t="s">
        <v>8</v>
      </c>
      <c r="M871">
        <v>211</v>
      </c>
      <c r="N871">
        <v>1</v>
      </c>
      <c r="O871">
        <v>0</v>
      </c>
      <c r="P871">
        <v>52.65</v>
      </c>
      <c r="Q871">
        <v>21.46</v>
      </c>
      <c r="R871" t="s">
        <v>9</v>
      </c>
    </row>
    <row r="872" spans="1:18" x14ac:dyDescent="0.25">
      <c r="A872" t="s">
        <v>1108</v>
      </c>
      <c r="B872" s="1">
        <v>40604</v>
      </c>
      <c r="C872" s="1">
        <v>40608</v>
      </c>
      <c r="D872" t="s">
        <v>1</v>
      </c>
      <c r="E872" t="s">
        <v>1109</v>
      </c>
      <c r="F872" t="s">
        <v>43</v>
      </c>
      <c r="G872" t="s">
        <v>172</v>
      </c>
      <c r="H872" t="s">
        <v>126</v>
      </c>
      <c r="I872" t="s">
        <v>127</v>
      </c>
      <c r="J872" t="s">
        <v>173</v>
      </c>
      <c r="K872" t="s">
        <v>38</v>
      </c>
      <c r="L872" t="s">
        <v>82</v>
      </c>
      <c r="M872">
        <v>151</v>
      </c>
      <c r="N872">
        <v>3</v>
      </c>
      <c r="O872">
        <v>0.2</v>
      </c>
      <c r="P872">
        <v>32.130000000000003</v>
      </c>
      <c r="Q872">
        <v>9.2100000000000009</v>
      </c>
      <c r="R872" t="s">
        <v>23</v>
      </c>
    </row>
    <row r="873" spans="1:18" x14ac:dyDescent="0.25">
      <c r="A873" t="s">
        <v>1102</v>
      </c>
      <c r="B873" s="1">
        <v>40604</v>
      </c>
      <c r="C873" s="1">
        <v>40609</v>
      </c>
      <c r="D873" t="s">
        <v>1</v>
      </c>
      <c r="E873" t="s">
        <v>531</v>
      </c>
      <c r="F873" t="s">
        <v>26</v>
      </c>
      <c r="G873" t="s">
        <v>660</v>
      </c>
      <c r="H873" t="s">
        <v>13</v>
      </c>
      <c r="I873" t="s">
        <v>14</v>
      </c>
      <c r="J873" t="s">
        <v>15</v>
      </c>
      <c r="K873" t="s">
        <v>7</v>
      </c>
      <c r="L873" t="s">
        <v>137</v>
      </c>
      <c r="M873">
        <v>107</v>
      </c>
      <c r="N873">
        <v>8</v>
      </c>
      <c r="O873">
        <v>0.1</v>
      </c>
      <c r="P873">
        <v>16.463999999999999</v>
      </c>
      <c r="Q873">
        <v>7.66</v>
      </c>
      <c r="R873" t="s">
        <v>9</v>
      </c>
    </row>
    <row r="874" spans="1:18" x14ac:dyDescent="0.25">
      <c r="A874" t="s">
        <v>1110</v>
      </c>
      <c r="B874" s="1">
        <v>40604</v>
      </c>
      <c r="C874" s="1">
        <v>40608</v>
      </c>
      <c r="D874" t="s">
        <v>1</v>
      </c>
      <c r="E874" t="s">
        <v>1111</v>
      </c>
      <c r="F874" t="s">
        <v>43</v>
      </c>
      <c r="G874" t="s">
        <v>1112</v>
      </c>
      <c r="H874" t="s">
        <v>110</v>
      </c>
      <c r="I874" t="s">
        <v>75</v>
      </c>
      <c r="J874" t="s">
        <v>111</v>
      </c>
      <c r="K874" t="s">
        <v>7</v>
      </c>
      <c r="L874" t="s">
        <v>31</v>
      </c>
      <c r="M874">
        <v>36</v>
      </c>
      <c r="N874">
        <v>2</v>
      </c>
      <c r="O874">
        <v>0</v>
      </c>
      <c r="P874">
        <v>14.2</v>
      </c>
      <c r="Q874">
        <v>2.25</v>
      </c>
      <c r="R874" t="s">
        <v>9</v>
      </c>
    </row>
    <row r="875" spans="1:18" x14ac:dyDescent="0.25">
      <c r="A875" t="s">
        <v>1113</v>
      </c>
      <c r="B875" s="1">
        <v>40604</v>
      </c>
      <c r="C875" s="1">
        <v>40610</v>
      </c>
      <c r="D875" t="s">
        <v>1</v>
      </c>
      <c r="E875" t="s">
        <v>1114</v>
      </c>
      <c r="F875" t="s">
        <v>26</v>
      </c>
      <c r="G875" t="s">
        <v>649</v>
      </c>
      <c r="H875" t="s">
        <v>126</v>
      </c>
      <c r="I875" t="s">
        <v>127</v>
      </c>
      <c r="J875" t="s">
        <v>173</v>
      </c>
      <c r="K875" t="s">
        <v>7</v>
      </c>
      <c r="L875" t="s">
        <v>31</v>
      </c>
      <c r="M875">
        <v>36</v>
      </c>
      <c r="N875">
        <v>5</v>
      </c>
      <c r="O875">
        <v>0</v>
      </c>
      <c r="P875">
        <v>17.472000000000001</v>
      </c>
      <c r="Q875">
        <v>2.1800000000000002</v>
      </c>
      <c r="R875" t="s">
        <v>9</v>
      </c>
    </row>
    <row r="876" spans="1:18" x14ac:dyDescent="0.25">
      <c r="A876" t="s">
        <v>1102</v>
      </c>
      <c r="B876" s="1">
        <v>40604</v>
      </c>
      <c r="C876" s="1">
        <v>40609</v>
      </c>
      <c r="D876" t="s">
        <v>1</v>
      </c>
      <c r="E876" t="s">
        <v>531</v>
      </c>
      <c r="F876" t="s">
        <v>26</v>
      </c>
      <c r="G876" t="s">
        <v>660</v>
      </c>
      <c r="H876" t="s">
        <v>13</v>
      </c>
      <c r="I876" t="s">
        <v>14</v>
      </c>
      <c r="J876" t="s">
        <v>15</v>
      </c>
      <c r="K876" t="s">
        <v>7</v>
      </c>
      <c r="L876" t="s">
        <v>91</v>
      </c>
      <c r="M876">
        <v>46</v>
      </c>
      <c r="N876">
        <v>2</v>
      </c>
      <c r="O876">
        <v>0.1</v>
      </c>
      <c r="P876">
        <v>4.524</v>
      </c>
      <c r="Q876">
        <v>1.46</v>
      </c>
      <c r="R876" t="s">
        <v>9</v>
      </c>
    </row>
    <row r="877" spans="1:18" x14ac:dyDescent="0.25">
      <c r="A877" t="s">
        <v>1113</v>
      </c>
      <c r="B877" s="1">
        <v>40604</v>
      </c>
      <c r="C877" s="1">
        <v>40610</v>
      </c>
      <c r="D877" t="s">
        <v>1</v>
      </c>
      <c r="E877" t="s">
        <v>1114</v>
      </c>
      <c r="F877" t="s">
        <v>26</v>
      </c>
      <c r="G877" t="s">
        <v>649</v>
      </c>
      <c r="H877" t="s">
        <v>126</v>
      </c>
      <c r="I877" t="s">
        <v>127</v>
      </c>
      <c r="J877" t="s">
        <v>173</v>
      </c>
      <c r="K877" t="s">
        <v>7</v>
      </c>
      <c r="L877" t="s">
        <v>96</v>
      </c>
      <c r="M877">
        <v>11</v>
      </c>
      <c r="N877">
        <v>2</v>
      </c>
      <c r="O877">
        <v>0</v>
      </c>
      <c r="P877">
        <v>5.3391999999999999</v>
      </c>
      <c r="Q877">
        <v>0.94</v>
      </c>
      <c r="R877" t="s">
        <v>9</v>
      </c>
    </row>
    <row r="878" spans="1:18" x14ac:dyDescent="0.25">
      <c r="A878" t="s">
        <v>1108</v>
      </c>
      <c r="B878" s="1">
        <v>40604</v>
      </c>
      <c r="C878" s="1">
        <v>40608</v>
      </c>
      <c r="D878" t="s">
        <v>1</v>
      </c>
      <c r="E878" t="s">
        <v>1109</v>
      </c>
      <c r="F878" t="s">
        <v>43</v>
      </c>
      <c r="G878" t="s">
        <v>172</v>
      </c>
      <c r="H878" t="s">
        <v>126</v>
      </c>
      <c r="I878" t="s">
        <v>127</v>
      </c>
      <c r="J878" t="s">
        <v>173</v>
      </c>
      <c r="K878" t="s">
        <v>7</v>
      </c>
      <c r="L878" t="s">
        <v>31</v>
      </c>
      <c r="M878">
        <v>3</v>
      </c>
      <c r="N878">
        <v>1</v>
      </c>
      <c r="O878">
        <v>0.2</v>
      </c>
      <c r="P878">
        <v>1.07</v>
      </c>
      <c r="Q878">
        <v>0.41</v>
      </c>
      <c r="R878" t="s">
        <v>23</v>
      </c>
    </row>
    <row r="879" spans="1:18" x14ac:dyDescent="0.25">
      <c r="A879" t="s">
        <v>1115</v>
      </c>
      <c r="B879" s="1">
        <v>40605</v>
      </c>
      <c r="C879" s="1">
        <v>40607</v>
      </c>
      <c r="D879" t="s">
        <v>18</v>
      </c>
      <c r="E879" t="s">
        <v>1116</v>
      </c>
      <c r="F879" t="s">
        <v>43</v>
      </c>
      <c r="G879" t="s">
        <v>1117</v>
      </c>
      <c r="H879" t="s">
        <v>1118</v>
      </c>
      <c r="I879" t="s">
        <v>22</v>
      </c>
      <c r="J879" t="s">
        <v>22</v>
      </c>
      <c r="K879" t="s">
        <v>38</v>
      </c>
      <c r="L879" t="s">
        <v>39</v>
      </c>
      <c r="M879" s="2">
        <v>1619</v>
      </c>
      <c r="N879">
        <v>10</v>
      </c>
      <c r="O879">
        <v>0</v>
      </c>
      <c r="P879">
        <v>258.89999999999998</v>
      </c>
      <c r="Q879">
        <v>301.73</v>
      </c>
      <c r="R879" t="s">
        <v>23</v>
      </c>
    </row>
    <row r="880" spans="1:18" x14ac:dyDescent="0.25">
      <c r="A880" t="s">
        <v>1119</v>
      </c>
      <c r="B880" s="1">
        <v>40605</v>
      </c>
      <c r="C880" s="1">
        <v>40610</v>
      </c>
      <c r="D880" t="s">
        <v>18</v>
      </c>
      <c r="E880" t="s">
        <v>662</v>
      </c>
      <c r="F880" t="s">
        <v>3</v>
      </c>
      <c r="G880" t="s">
        <v>677</v>
      </c>
      <c r="H880" t="s">
        <v>678</v>
      </c>
      <c r="I880" t="s">
        <v>14</v>
      </c>
      <c r="J880" t="s">
        <v>281</v>
      </c>
      <c r="K880" t="s">
        <v>32</v>
      </c>
      <c r="L880" t="s">
        <v>56</v>
      </c>
      <c r="M880" s="2">
        <v>1096</v>
      </c>
      <c r="N880">
        <v>6</v>
      </c>
      <c r="O880">
        <v>0</v>
      </c>
      <c r="P880">
        <v>65.7</v>
      </c>
      <c r="Q880">
        <v>100.65</v>
      </c>
      <c r="R880" t="s">
        <v>23</v>
      </c>
    </row>
    <row r="881" spans="1:18" x14ac:dyDescent="0.25">
      <c r="A881" t="s">
        <v>1120</v>
      </c>
      <c r="B881" s="1">
        <v>40605</v>
      </c>
      <c r="C881" s="1">
        <v>40607</v>
      </c>
      <c r="D881" t="s">
        <v>18</v>
      </c>
      <c r="E881" t="s">
        <v>1121</v>
      </c>
      <c r="F881" t="s">
        <v>43</v>
      </c>
      <c r="G881" t="s">
        <v>673</v>
      </c>
      <c r="H881" t="s">
        <v>368</v>
      </c>
      <c r="I881" t="s">
        <v>75</v>
      </c>
      <c r="J881" t="s">
        <v>111</v>
      </c>
      <c r="K881" t="s">
        <v>32</v>
      </c>
      <c r="L881" t="s">
        <v>56</v>
      </c>
      <c r="M881">
        <v>752</v>
      </c>
      <c r="N881">
        <v>3</v>
      </c>
      <c r="O881">
        <v>0.2</v>
      </c>
      <c r="P881">
        <v>56.351999999999997</v>
      </c>
      <c r="Q881">
        <v>70.489999999999995</v>
      </c>
      <c r="R881" t="s">
        <v>23</v>
      </c>
    </row>
    <row r="882" spans="1:18" x14ac:dyDescent="0.25">
      <c r="A882" t="s">
        <v>1122</v>
      </c>
      <c r="B882" s="1">
        <v>40605</v>
      </c>
      <c r="C882" s="1">
        <v>40609</v>
      </c>
      <c r="D882" t="s">
        <v>1</v>
      </c>
      <c r="E882" t="s">
        <v>319</v>
      </c>
      <c r="F882" t="s">
        <v>3</v>
      </c>
      <c r="G882" t="s">
        <v>848</v>
      </c>
      <c r="H882" t="s">
        <v>580</v>
      </c>
      <c r="I882" t="s">
        <v>6</v>
      </c>
      <c r="J882" t="s">
        <v>6</v>
      </c>
      <c r="K882" t="s">
        <v>38</v>
      </c>
      <c r="L882" t="s">
        <v>39</v>
      </c>
      <c r="M882">
        <v>311</v>
      </c>
      <c r="N882">
        <v>1</v>
      </c>
      <c r="O882">
        <v>0</v>
      </c>
      <c r="P882">
        <v>90.03</v>
      </c>
      <c r="Q882">
        <v>48.52</v>
      </c>
      <c r="R882" t="s">
        <v>23</v>
      </c>
    </row>
    <row r="883" spans="1:18" x14ac:dyDescent="0.25">
      <c r="A883" t="s">
        <v>1122</v>
      </c>
      <c r="B883" s="1">
        <v>40605</v>
      </c>
      <c r="C883" s="1">
        <v>40609</v>
      </c>
      <c r="D883" t="s">
        <v>1</v>
      </c>
      <c r="E883" t="s">
        <v>319</v>
      </c>
      <c r="F883" t="s">
        <v>3</v>
      </c>
      <c r="G883" t="s">
        <v>848</v>
      </c>
      <c r="H883" t="s">
        <v>580</v>
      </c>
      <c r="I883" t="s">
        <v>6</v>
      </c>
      <c r="J883" t="s">
        <v>6</v>
      </c>
      <c r="K883" t="s">
        <v>38</v>
      </c>
      <c r="L883" t="s">
        <v>39</v>
      </c>
      <c r="M883">
        <v>598</v>
      </c>
      <c r="N883">
        <v>2</v>
      </c>
      <c r="O883">
        <v>0</v>
      </c>
      <c r="P883">
        <v>263.04000000000002</v>
      </c>
      <c r="Q883">
        <v>43.14</v>
      </c>
      <c r="R883" t="s">
        <v>23</v>
      </c>
    </row>
    <row r="884" spans="1:18" x14ac:dyDescent="0.25">
      <c r="A884" t="s">
        <v>1123</v>
      </c>
      <c r="B884" s="1">
        <v>40605</v>
      </c>
      <c r="C884" s="1">
        <v>40611</v>
      </c>
      <c r="D884" t="s">
        <v>1</v>
      </c>
      <c r="E884" t="s">
        <v>1124</v>
      </c>
      <c r="F884" t="s">
        <v>3</v>
      </c>
      <c r="G884" t="s">
        <v>1125</v>
      </c>
      <c r="H884" t="s">
        <v>1126</v>
      </c>
      <c r="I884" t="s">
        <v>22</v>
      </c>
      <c r="J884" t="s">
        <v>22</v>
      </c>
      <c r="K884" t="s">
        <v>38</v>
      </c>
      <c r="L884" t="s">
        <v>39</v>
      </c>
      <c r="M884">
        <v>489</v>
      </c>
      <c r="N884">
        <v>4</v>
      </c>
      <c r="O884">
        <v>0</v>
      </c>
      <c r="P884">
        <v>97.8</v>
      </c>
      <c r="Q884">
        <v>36.03</v>
      </c>
      <c r="R884" t="s">
        <v>9</v>
      </c>
    </row>
    <row r="885" spans="1:18" x14ac:dyDescent="0.25">
      <c r="A885" t="s">
        <v>1127</v>
      </c>
      <c r="B885" s="1">
        <v>40605</v>
      </c>
      <c r="C885" s="1">
        <v>40612</v>
      </c>
      <c r="D885" t="s">
        <v>1</v>
      </c>
      <c r="E885" t="s">
        <v>1128</v>
      </c>
      <c r="F885" t="s">
        <v>3</v>
      </c>
      <c r="G885" t="s">
        <v>1129</v>
      </c>
      <c r="H885" t="s">
        <v>1130</v>
      </c>
      <c r="I885" t="s">
        <v>75</v>
      </c>
      <c r="J885" t="s">
        <v>76</v>
      </c>
      <c r="K885" t="s">
        <v>38</v>
      </c>
      <c r="L885" t="s">
        <v>50</v>
      </c>
      <c r="M885">
        <v>825</v>
      </c>
      <c r="N885">
        <v>7</v>
      </c>
      <c r="O885">
        <v>0.40200000000000002</v>
      </c>
      <c r="P885">
        <v>-389.15940000000001</v>
      </c>
      <c r="Q885">
        <v>35.200000000000003</v>
      </c>
      <c r="R885" t="s">
        <v>51</v>
      </c>
    </row>
    <row r="886" spans="1:18" x14ac:dyDescent="0.25">
      <c r="A886" t="s">
        <v>1131</v>
      </c>
      <c r="B886" s="1">
        <v>40605</v>
      </c>
      <c r="C886" s="1">
        <v>40610</v>
      </c>
      <c r="D886" t="s">
        <v>1</v>
      </c>
      <c r="E886" t="s">
        <v>1132</v>
      </c>
      <c r="F886" t="s">
        <v>43</v>
      </c>
      <c r="G886" t="s">
        <v>359</v>
      </c>
      <c r="H886" t="s">
        <v>126</v>
      </c>
      <c r="I886" t="s">
        <v>127</v>
      </c>
      <c r="J886" t="s">
        <v>173</v>
      </c>
      <c r="K886" t="s">
        <v>32</v>
      </c>
      <c r="L886" t="s">
        <v>67</v>
      </c>
      <c r="M886">
        <v>302</v>
      </c>
      <c r="N886">
        <v>5</v>
      </c>
      <c r="O886">
        <v>0.5</v>
      </c>
      <c r="P886">
        <v>-199.61699999999999</v>
      </c>
      <c r="Q886">
        <v>34.51</v>
      </c>
      <c r="R886" t="s">
        <v>9</v>
      </c>
    </row>
    <row r="887" spans="1:18" x14ac:dyDescent="0.25">
      <c r="A887" t="s">
        <v>1133</v>
      </c>
      <c r="B887" s="1">
        <v>40605</v>
      </c>
      <c r="C887" s="1">
        <v>40609</v>
      </c>
      <c r="D887" t="s">
        <v>1</v>
      </c>
      <c r="E887" t="s">
        <v>1134</v>
      </c>
      <c r="F887" t="s">
        <v>3</v>
      </c>
      <c r="G887" t="s">
        <v>191</v>
      </c>
      <c r="H887" t="s">
        <v>126</v>
      </c>
      <c r="I887" t="s">
        <v>127</v>
      </c>
      <c r="J887" t="s">
        <v>192</v>
      </c>
      <c r="K887" t="s">
        <v>32</v>
      </c>
      <c r="L887" t="s">
        <v>62</v>
      </c>
      <c r="M887">
        <v>626</v>
      </c>
      <c r="N887">
        <v>3</v>
      </c>
      <c r="O887">
        <v>0.2</v>
      </c>
      <c r="P887">
        <v>-23.488199999999999</v>
      </c>
      <c r="Q887">
        <v>32.549999999999997</v>
      </c>
      <c r="R887" t="s">
        <v>9</v>
      </c>
    </row>
    <row r="888" spans="1:18" x14ac:dyDescent="0.25">
      <c r="A888" t="s">
        <v>1123</v>
      </c>
      <c r="B888" s="1">
        <v>40605</v>
      </c>
      <c r="C888" s="1">
        <v>40611</v>
      </c>
      <c r="D888" t="s">
        <v>1</v>
      </c>
      <c r="E888" t="s">
        <v>1124</v>
      </c>
      <c r="F888" t="s">
        <v>3</v>
      </c>
      <c r="G888" t="s">
        <v>1125</v>
      </c>
      <c r="H888" t="s">
        <v>1126</v>
      </c>
      <c r="I888" t="s">
        <v>22</v>
      </c>
      <c r="J888" t="s">
        <v>22</v>
      </c>
      <c r="K888" t="s">
        <v>32</v>
      </c>
      <c r="L888" t="s">
        <v>67</v>
      </c>
      <c r="M888">
        <v>492</v>
      </c>
      <c r="N888">
        <v>4</v>
      </c>
      <c r="O888">
        <v>0</v>
      </c>
      <c r="P888">
        <v>4.8</v>
      </c>
      <c r="Q888">
        <v>27.75</v>
      </c>
      <c r="R888" t="s">
        <v>9</v>
      </c>
    </row>
    <row r="889" spans="1:18" x14ac:dyDescent="0.25">
      <c r="A889" t="s">
        <v>1135</v>
      </c>
      <c r="B889" s="1">
        <v>40605</v>
      </c>
      <c r="C889" s="1">
        <v>40610</v>
      </c>
      <c r="D889" t="s">
        <v>1</v>
      </c>
      <c r="E889" t="s">
        <v>1136</v>
      </c>
      <c r="F889" t="s">
        <v>26</v>
      </c>
      <c r="G889" t="s">
        <v>649</v>
      </c>
      <c r="H889" t="s">
        <v>126</v>
      </c>
      <c r="I889" t="s">
        <v>127</v>
      </c>
      <c r="J889" t="s">
        <v>173</v>
      </c>
      <c r="K889" t="s">
        <v>7</v>
      </c>
      <c r="L889" t="s">
        <v>137</v>
      </c>
      <c r="M889">
        <v>126</v>
      </c>
      <c r="N889">
        <v>3</v>
      </c>
      <c r="O889">
        <v>0.2</v>
      </c>
      <c r="P889">
        <v>40.872</v>
      </c>
      <c r="Q889">
        <v>22.16</v>
      </c>
      <c r="R889" t="s">
        <v>23</v>
      </c>
    </row>
    <row r="890" spans="1:18" x14ac:dyDescent="0.25">
      <c r="A890" t="s">
        <v>1127</v>
      </c>
      <c r="B890" s="1">
        <v>40605</v>
      </c>
      <c r="C890" s="1">
        <v>40612</v>
      </c>
      <c r="D890" t="s">
        <v>1</v>
      </c>
      <c r="E890" t="s">
        <v>1128</v>
      </c>
      <c r="F890" t="s">
        <v>3</v>
      </c>
      <c r="G890" t="s">
        <v>1129</v>
      </c>
      <c r="H890" t="s">
        <v>1130</v>
      </c>
      <c r="I890" t="s">
        <v>75</v>
      </c>
      <c r="J890" t="s">
        <v>76</v>
      </c>
      <c r="K890" t="s">
        <v>38</v>
      </c>
      <c r="L890" t="s">
        <v>77</v>
      </c>
      <c r="M890">
        <v>334</v>
      </c>
      <c r="N890">
        <v>5</v>
      </c>
      <c r="O890">
        <v>0.4</v>
      </c>
      <c r="P890">
        <v>-200.24</v>
      </c>
      <c r="Q890">
        <v>19.72</v>
      </c>
      <c r="R890" t="s">
        <v>51</v>
      </c>
    </row>
    <row r="891" spans="1:18" x14ac:dyDescent="0.25">
      <c r="A891" t="s">
        <v>1119</v>
      </c>
      <c r="B891" s="1">
        <v>40605</v>
      </c>
      <c r="C891" s="1">
        <v>40610</v>
      </c>
      <c r="D891" t="s">
        <v>18</v>
      </c>
      <c r="E891" t="s">
        <v>662</v>
      </c>
      <c r="F891" t="s">
        <v>3</v>
      </c>
      <c r="G891" t="s">
        <v>677</v>
      </c>
      <c r="H891" t="s">
        <v>678</v>
      </c>
      <c r="I891" t="s">
        <v>14</v>
      </c>
      <c r="J891" t="s">
        <v>281</v>
      </c>
      <c r="K891" t="s">
        <v>38</v>
      </c>
      <c r="L891" t="s">
        <v>50</v>
      </c>
      <c r="M891">
        <v>731</v>
      </c>
      <c r="N891">
        <v>3</v>
      </c>
      <c r="O891">
        <v>0</v>
      </c>
      <c r="P891">
        <v>160.83000000000001</v>
      </c>
      <c r="Q891">
        <v>18.07</v>
      </c>
      <c r="R891" t="s">
        <v>23</v>
      </c>
    </row>
    <row r="892" spans="1:18" x14ac:dyDescent="0.25">
      <c r="A892" t="s">
        <v>1137</v>
      </c>
      <c r="B892" s="1">
        <v>40605</v>
      </c>
      <c r="C892" s="1">
        <v>40609</v>
      </c>
      <c r="D892" t="s">
        <v>1</v>
      </c>
      <c r="E892" t="s">
        <v>1136</v>
      </c>
      <c r="F892" t="s">
        <v>26</v>
      </c>
      <c r="G892" t="s">
        <v>240</v>
      </c>
      <c r="H892" t="s">
        <v>241</v>
      </c>
      <c r="I892" t="s">
        <v>6</v>
      </c>
      <c r="J892" t="s">
        <v>6</v>
      </c>
      <c r="K892" t="s">
        <v>7</v>
      </c>
      <c r="L892" t="s">
        <v>44</v>
      </c>
      <c r="M892">
        <v>140</v>
      </c>
      <c r="N892">
        <v>2</v>
      </c>
      <c r="O892">
        <v>0</v>
      </c>
      <c r="P892">
        <v>57.3</v>
      </c>
      <c r="Q892">
        <v>11.09</v>
      </c>
      <c r="R892" t="s">
        <v>9</v>
      </c>
    </row>
    <row r="893" spans="1:18" x14ac:dyDescent="0.25">
      <c r="A893" t="s">
        <v>1138</v>
      </c>
      <c r="B893" s="1">
        <v>40605</v>
      </c>
      <c r="C893" s="1">
        <v>40609</v>
      </c>
      <c r="D893" t="s">
        <v>1</v>
      </c>
      <c r="E893" t="s">
        <v>944</v>
      </c>
      <c r="F893" t="s">
        <v>3</v>
      </c>
      <c r="G893" t="s">
        <v>125</v>
      </c>
      <c r="H893" t="s">
        <v>126</v>
      </c>
      <c r="I893" t="s">
        <v>127</v>
      </c>
      <c r="J893" t="s">
        <v>76</v>
      </c>
      <c r="K893" t="s">
        <v>7</v>
      </c>
      <c r="L893" t="s">
        <v>44</v>
      </c>
      <c r="M893">
        <v>177</v>
      </c>
      <c r="N893">
        <v>3</v>
      </c>
      <c r="O893">
        <v>0.8</v>
      </c>
      <c r="P893">
        <v>-459.60719999999998</v>
      </c>
      <c r="Q893">
        <v>10.65</v>
      </c>
      <c r="R893" t="s">
        <v>9</v>
      </c>
    </row>
    <row r="894" spans="1:18" x14ac:dyDescent="0.25">
      <c r="A894" t="s">
        <v>1139</v>
      </c>
      <c r="B894" s="1">
        <v>40605</v>
      </c>
      <c r="C894" s="1">
        <v>40611</v>
      </c>
      <c r="D894" t="s">
        <v>1</v>
      </c>
      <c r="E894" t="s">
        <v>734</v>
      </c>
      <c r="F894" t="s">
        <v>3</v>
      </c>
      <c r="G894" t="s">
        <v>195</v>
      </c>
      <c r="H894" t="s">
        <v>5</v>
      </c>
      <c r="I894" t="s">
        <v>6</v>
      </c>
      <c r="J894" t="s">
        <v>6</v>
      </c>
      <c r="K894" t="s">
        <v>32</v>
      </c>
      <c r="L894" t="s">
        <v>33</v>
      </c>
      <c r="M894">
        <v>113</v>
      </c>
      <c r="N894">
        <v>1</v>
      </c>
      <c r="O894">
        <v>0</v>
      </c>
      <c r="P894">
        <v>29.43</v>
      </c>
      <c r="Q894">
        <v>9.51</v>
      </c>
      <c r="R894" t="s">
        <v>9</v>
      </c>
    </row>
    <row r="895" spans="1:18" x14ac:dyDescent="0.25">
      <c r="A895" t="s">
        <v>1140</v>
      </c>
      <c r="B895" s="1">
        <v>40605</v>
      </c>
      <c r="C895" s="1">
        <v>40612</v>
      </c>
      <c r="D895" t="s">
        <v>1</v>
      </c>
      <c r="E895" t="s">
        <v>1141</v>
      </c>
      <c r="F895" t="s">
        <v>3</v>
      </c>
      <c r="G895" t="s">
        <v>1142</v>
      </c>
      <c r="H895" t="s">
        <v>223</v>
      </c>
      <c r="I895" t="s">
        <v>6</v>
      </c>
      <c r="J895" t="s">
        <v>6</v>
      </c>
      <c r="K895" t="s">
        <v>7</v>
      </c>
      <c r="L895" t="s">
        <v>8</v>
      </c>
      <c r="M895">
        <v>119</v>
      </c>
      <c r="N895">
        <v>2</v>
      </c>
      <c r="O895">
        <v>0.7</v>
      </c>
      <c r="P895">
        <v>-99.27</v>
      </c>
      <c r="Q895">
        <v>9.39</v>
      </c>
      <c r="R895" t="s">
        <v>9</v>
      </c>
    </row>
    <row r="896" spans="1:18" x14ac:dyDescent="0.25">
      <c r="A896" t="s">
        <v>1123</v>
      </c>
      <c r="B896" s="1">
        <v>40605</v>
      </c>
      <c r="C896" s="1">
        <v>40611</v>
      </c>
      <c r="D896" t="s">
        <v>1</v>
      </c>
      <c r="E896" t="s">
        <v>1124</v>
      </c>
      <c r="F896" t="s">
        <v>3</v>
      </c>
      <c r="G896" t="s">
        <v>1125</v>
      </c>
      <c r="H896" t="s">
        <v>1126</v>
      </c>
      <c r="I896" t="s">
        <v>22</v>
      </c>
      <c r="J896" t="s">
        <v>22</v>
      </c>
      <c r="K896" t="s">
        <v>38</v>
      </c>
      <c r="L896" t="s">
        <v>77</v>
      </c>
      <c r="M896">
        <v>126</v>
      </c>
      <c r="N896">
        <v>1</v>
      </c>
      <c r="O896">
        <v>0</v>
      </c>
      <c r="P896">
        <v>27.75</v>
      </c>
      <c r="Q896">
        <v>7.47</v>
      </c>
      <c r="R896" t="s">
        <v>9</v>
      </c>
    </row>
    <row r="897" spans="1:18" x14ac:dyDescent="0.25">
      <c r="A897" t="s">
        <v>1143</v>
      </c>
      <c r="B897" s="1">
        <v>40605</v>
      </c>
      <c r="C897" s="1">
        <v>40611</v>
      </c>
      <c r="D897" t="s">
        <v>1</v>
      </c>
      <c r="E897" t="s">
        <v>653</v>
      </c>
      <c r="F897" t="s">
        <v>3</v>
      </c>
      <c r="G897" t="s">
        <v>520</v>
      </c>
      <c r="H897" t="s">
        <v>298</v>
      </c>
      <c r="I897" t="s">
        <v>29</v>
      </c>
      <c r="J897" t="s">
        <v>102</v>
      </c>
      <c r="K897" t="s">
        <v>7</v>
      </c>
      <c r="L897" t="s">
        <v>97</v>
      </c>
      <c r="M897">
        <v>58</v>
      </c>
      <c r="N897">
        <v>3</v>
      </c>
      <c r="O897">
        <v>0</v>
      </c>
      <c r="P897">
        <v>28.8</v>
      </c>
      <c r="Q897">
        <v>6.89</v>
      </c>
      <c r="R897" t="s">
        <v>51</v>
      </c>
    </row>
    <row r="898" spans="1:18" x14ac:dyDescent="0.25">
      <c r="A898" t="s">
        <v>1144</v>
      </c>
      <c r="B898" s="1">
        <v>40605</v>
      </c>
      <c r="C898" s="1">
        <v>40609</v>
      </c>
      <c r="D898" t="s">
        <v>1</v>
      </c>
      <c r="E898" t="s">
        <v>1145</v>
      </c>
      <c r="F898" t="s">
        <v>3</v>
      </c>
      <c r="G898" t="s">
        <v>1146</v>
      </c>
      <c r="H898" t="s">
        <v>1147</v>
      </c>
      <c r="I898" t="s">
        <v>22</v>
      </c>
      <c r="J898" t="s">
        <v>22</v>
      </c>
      <c r="K898" t="s">
        <v>38</v>
      </c>
      <c r="L898" t="s">
        <v>82</v>
      </c>
      <c r="M898">
        <v>69</v>
      </c>
      <c r="N898">
        <v>1</v>
      </c>
      <c r="O898">
        <v>0</v>
      </c>
      <c r="P898">
        <v>1.38</v>
      </c>
      <c r="Q898">
        <v>5.58</v>
      </c>
      <c r="R898" t="s">
        <v>9</v>
      </c>
    </row>
    <row r="899" spans="1:18" x14ac:dyDescent="0.25">
      <c r="A899" t="s">
        <v>1148</v>
      </c>
      <c r="B899" s="1">
        <v>40605</v>
      </c>
      <c r="C899" s="1">
        <v>40608</v>
      </c>
      <c r="D899" t="s">
        <v>18</v>
      </c>
      <c r="E899" t="s">
        <v>1149</v>
      </c>
      <c r="F899" t="s">
        <v>26</v>
      </c>
      <c r="G899" t="s">
        <v>1150</v>
      </c>
      <c r="H899" t="s">
        <v>115</v>
      </c>
      <c r="I899" t="s">
        <v>29</v>
      </c>
      <c r="J899" t="s">
        <v>76</v>
      </c>
      <c r="K899" t="s">
        <v>7</v>
      </c>
      <c r="L899" t="s">
        <v>8</v>
      </c>
      <c r="M899">
        <v>42</v>
      </c>
      <c r="N899">
        <v>2</v>
      </c>
      <c r="O899">
        <v>0.1</v>
      </c>
      <c r="P899">
        <v>10.656000000000001</v>
      </c>
      <c r="Q899">
        <v>3.77</v>
      </c>
      <c r="R899" t="s">
        <v>9</v>
      </c>
    </row>
    <row r="900" spans="1:18" x14ac:dyDescent="0.25">
      <c r="A900" t="s">
        <v>1148</v>
      </c>
      <c r="B900" s="1">
        <v>40605</v>
      </c>
      <c r="C900" s="1">
        <v>40608</v>
      </c>
      <c r="D900" t="s">
        <v>18</v>
      </c>
      <c r="E900" t="s">
        <v>1149</v>
      </c>
      <c r="F900" t="s">
        <v>26</v>
      </c>
      <c r="G900" t="s">
        <v>1150</v>
      </c>
      <c r="H900" t="s">
        <v>115</v>
      </c>
      <c r="I900" t="s">
        <v>29</v>
      </c>
      <c r="J900" t="s">
        <v>76</v>
      </c>
      <c r="K900" t="s">
        <v>7</v>
      </c>
      <c r="L900" t="s">
        <v>137</v>
      </c>
      <c r="M900">
        <v>59</v>
      </c>
      <c r="N900">
        <v>2</v>
      </c>
      <c r="O900">
        <v>0</v>
      </c>
      <c r="P900">
        <v>12.36</v>
      </c>
      <c r="Q900">
        <v>3.1</v>
      </c>
      <c r="R900" t="s">
        <v>9</v>
      </c>
    </row>
    <row r="901" spans="1:18" x14ac:dyDescent="0.25">
      <c r="A901" t="s">
        <v>1135</v>
      </c>
      <c r="B901" s="1">
        <v>40605</v>
      </c>
      <c r="C901" s="1">
        <v>40610</v>
      </c>
      <c r="D901" t="s">
        <v>1</v>
      </c>
      <c r="E901" t="s">
        <v>1136</v>
      </c>
      <c r="F901" t="s">
        <v>26</v>
      </c>
      <c r="G901" t="s">
        <v>649</v>
      </c>
      <c r="H901" t="s">
        <v>126</v>
      </c>
      <c r="I901" t="s">
        <v>127</v>
      </c>
      <c r="J901" t="s">
        <v>173</v>
      </c>
      <c r="K901" t="s">
        <v>7</v>
      </c>
      <c r="L901" t="s">
        <v>137</v>
      </c>
      <c r="M901">
        <v>25</v>
      </c>
      <c r="N901">
        <v>5</v>
      </c>
      <c r="O901">
        <v>0.2</v>
      </c>
      <c r="P901">
        <v>9.1784999999999997</v>
      </c>
      <c r="Q901">
        <v>2.48</v>
      </c>
      <c r="R901" t="s">
        <v>23</v>
      </c>
    </row>
    <row r="902" spans="1:18" x14ac:dyDescent="0.25">
      <c r="A902" t="s">
        <v>1151</v>
      </c>
      <c r="B902" s="1">
        <v>40605</v>
      </c>
      <c r="C902" s="1">
        <v>40611</v>
      </c>
      <c r="D902" t="s">
        <v>1</v>
      </c>
      <c r="E902" t="s">
        <v>1152</v>
      </c>
      <c r="F902" t="s">
        <v>43</v>
      </c>
      <c r="G902" t="s">
        <v>90</v>
      </c>
      <c r="H902" t="s">
        <v>81</v>
      </c>
      <c r="I902" t="s">
        <v>22</v>
      </c>
      <c r="J902" t="s">
        <v>22</v>
      </c>
      <c r="K902" t="s">
        <v>7</v>
      </c>
      <c r="L902" t="s">
        <v>8</v>
      </c>
      <c r="M902">
        <v>31</v>
      </c>
      <c r="N902">
        <v>1</v>
      </c>
      <c r="O902">
        <v>0</v>
      </c>
      <c r="P902">
        <v>4.3499999999999996</v>
      </c>
      <c r="Q902">
        <v>2.2000000000000002</v>
      </c>
      <c r="R902" t="s">
        <v>9</v>
      </c>
    </row>
    <row r="903" spans="1:18" x14ac:dyDescent="0.25">
      <c r="A903" t="s">
        <v>1140</v>
      </c>
      <c r="B903" s="1">
        <v>40605</v>
      </c>
      <c r="C903" s="1">
        <v>40612</v>
      </c>
      <c r="D903" t="s">
        <v>1</v>
      </c>
      <c r="E903" t="s">
        <v>1141</v>
      </c>
      <c r="F903" t="s">
        <v>3</v>
      </c>
      <c r="G903" t="s">
        <v>1142</v>
      </c>
      <c r="H903" t="s">
        <v>223</v>
      </c>
      <c r="I903" t="s">
        <v>6</v>
      </c>
      <c r="J903" t="s">
        <v>6</v>
      </c>
      <c r="K903" t="s">
        <v>32</v>
      </c>
      <c r="L903" t="s">
        <v>56</v>
      </c>
      <c r="M903">
        <v>57</v>
      </c>
      <c r="N903">
        <v>4</v>
      </c>
      <c r="O903">
        <v>0.7</v>
      </c>
      <c r="P903">
        <v>-91.512</v>
      </c>
      <c r="Q903">
        <v>2.08</v>
      </c>
      <c r="R903" t="s">
        <v>9</v>
      </c>
    </row>
    <row r="904" spans="1:18" x14ac:dyDescent="0.25">
      <c r="A904" t="s">
        <v>1131</v>
      </c>
      <c r="B904" s="1">
        <v>40605</v>
      </c>
      <c r="C904" s="1">
        <v>40610</v>
      </c>
      <c r="D904" t="s">
        <v>1</v>
      </c>
      <c r="E904" t="s">
        <v>1132</v>
      </c>
      <c r="F904" t="s">
        <v>43</v>
      </c>
      <c r="G904" t="s">
        <v>359</v>
      </c>
      <c r="H904" t="s">
        <v>126</v>
      </c>
      <c r="I904" t="s">
        <v>127</v>
      </c>
      <c r="J904" t="s">
        <v>173</v>
      </c>
      <c r="K904" t="s">
        <v>7</v>
      </c>
      <c r="L904" t="s">
        <v>8</v>
      </c>
      <c r="M904">
        <v>45</v>
      </c>
      <c r="N904">
        <v>8</v>
      </c>
      <c r="O904">
        <v>0.2</v>
      </c>
      <c r="P904">
        <v>-10.0512</v>
      </c>
      <c r="Q904">
        <v>1.94</v>
      </c>
      <c r="R904" t="s">
        <v>9</v>
      </c>
    </row>
    <row r="905" spans="1:18" x14ac:dyDescent="0.25">
      <c r="A905" t="s">
        <v>1127</v>
      </c>
      <c r="B905" s="1">
        <v>40605</v>
      </c>
      <c r="C905" s="1">
        <v>40612</v>
      </c>
      <c r="D905" t="s">
        <v>1</v>
      </c>
      <c r="E905" t="s">
        <v>1128</v>
      </c>
      <c r="F905" t="s">
        <v>3</v>
      </c>
      <c r="G905" t="s">
        <v>1129</v>
      </c>
      <c r="H905" t="s">
        <v>1130</v>
      </c>
      <c r="I905" t="s">
        <v>75</v>
      </c>
      <c r="J905" t="s">
        <v>76</v>
      </c>
      <c r="K905" t="s">
        <v>7</v>
      </c>
      <c r="L905" t="s">
        <v>97</v>
      </c>
      <c r="M905">
        <v>16</v>
      </c>
      <c r="N905">
        <v>3</v>
      </c>
      <c r="O905">
        <v>0.4</v>
      </c>
      <c r="P905">
        <v>-9.5519999999999996</v>
      </c>
      <c r="Q905">
        <v>1.74</v>
      </c>
      <c r="R905" t="s">
        <v>51</v>
      </c>
    </row>
    <row r="906" spans="1:18" x14ac:dyDescent="0.25">
      <c r="A906" t="s">
        <v>1131</v>
      </c>
      <c r="B906" s="1">
        <v>40605</v>
      </c>
      <c r="C906" s="1">
        <v>40610</v>
      </c>
      <c r="D906" t="s">
        <v>1</v>
      </c>
      <c r="E906" t="s">
        <v>1132</v>
      </c>
      <c r="F906" t="s">
        <v>43</v>
      </c>
      <c r="G906" t="s">
        <v>359</v>
      </c>
      <c r="H906" t="s">
        <v>126</v>
      </c>
      <c r="I906" t="s">
        <v>127</v>
      </c>
      <c r="J906" t="s">
        <v>173</v>
      </c>
      <c r="K906" t="s">
        <v>7</v>
      </c>
      <c r="L906" t="s">
        <v>87</v>
      </c>
      <c r="M906">
        <v>15</v>
      </c>
      <c r="N906">
        <v>3</v>
      </c>
      <c r="O906">
        <v>0.2</v>
      </c>
      <c r="P906">
        <v>4.9139999999999997</v>
      </c>
      <c r="Q906">
        <v>1.37</v>
      </c>
      <c r="R906" t="s">
        <v>9</v>
      </c>
    </row>
    <row r="907" spans="1:18" x14ac:dyDescent="0.25">
      <c r="A907" t="s">
        <v>1127</v>
      </c>
      <c r="B907" s="1">
        <v>40605</v>
      </c>
      <c r="C907" s="1">
        <v>40612</v>
      </c>
      <c r="D907" t="s">
        <v>1</v>
      </c>
      <c r="E907" t="s">
        <v>1128</v>
      </c>
      <c r="F907" t="s">
        <v>3</v>
      </c>
      <c r="G907" t="s">
        <v>1129</v>
      </c>
      <c r="H907" t="s">
        <v>1130</v>
      </c>
      <c r="I907" t="s">
        <v>75</v>
      </c>
      <c r="J907" t="s">
        <v>76</v>
      </c>
      <c r="K907" t="s">
        <v>7</v>
      </c>
      <c r="L907" t="s">
        <v>87</v>
      </c>
      <c r="M907">
        <v>8</v>
      </c>
      <c r="N907">
        <v>3</v>
      </c>
      <c r="O907">
        <v>0.4</v>
      </c>
      <c r="P907">
        <v>-0.67200000000000004</v>
      </c>
      <c r="Q907">
        <v>1.23</v>
      </c>
      <c r="R907" t="s">
        <v>51</v>
      </c>
    </row>
    <row r="908" spans="1:18" x14ac:dyDescent="0.25">
      <c r="A908" t="s">
        <v>1153</v>
      </c>
      <c r="B908" s="1">
        <v>40605</v>
      </c>
      <c r="C908" s="1">
        <v>40609</v>
      </c>
      <c r="D908" t="s">
        <v>1</v>
      </c>
      <c r="E908" t="s">
        <v>1154</v>
      </c>
      <c r="F908" t="s">
        <v>3</v>
      </c>
      <c r="G908" t="s">
        <v>1129</v>
      </c>
      <c r="H908" t="s">
        <v>1130</v>
      </c>
      <c r="I908" t="s">
        <v>75</v>
      </c>
      <c r="J908" t="s">
        <v>76</v>
      </c>
      <c r="K908" t="s">
        <v>7</v>
      </c>
      <c r="L908" t="s">
        <v>96</v>
      </c>
      <c r="M908">
        <v>12</v>
      </c>
      <c r="N908">
        <v>1</v>
      </c>
      <c r="O908">
        <v>0.4</v>
      </c>
      <c r="P908">
        <v>-6.6079999999999997</v>
      </c>
      <c r="Q908">
        <v>1.07</v>
      </c>
      <c r="R908" t="s">
        <v>9</v>
      </c>
    </row>
    <row r="909" spans="1:18" x14ac:dyDescent="0.25">
      <c r="A909" t="s">
        <v>1155</v>
      </c>
      <c r="B909" s="1">
        <v>40605</v>
      </c>
      <c r="C909" s="1">
        <v>40609</v>
      </c>
      <c r="D909" t="s">
        <v>18</v>
      </c>
      <c r="E909" t="s">
        <v>1156</v>
      </c>
      <c r="F909" t="s">
        <v>3</v>
      </c>
      <c r="G909" t="s">
        <v>1157</v>
      </c>
      <c r="H909" t="s">
        <v>126</v>
      </c>
      <c r="I909" t="s">
        <v>127</v>
      </c>
      <c r="J909" t="s">
        <v>102</v>
      </c>
      <c r="K909" t="s">
        <v>7</v>
      </c>
      <c r="L909" t="s">
        <v>91</v>
      </c>
      <c r="M909">
        <v>19</v>
      </c>
      <c r="N909">
        <v>4</v>
      </c>
      <c r="O909">
        <v>0.2</v>
      </c>
      <c r="P909">
        <v>3.4047999999999998</v>
      </c>
      <c r="Q909">
        <v>1.05</v>
      </c>
      <c r="R909" t="s">
        <v>9</v>
      </c>
    </row>
    <row r="910" spans="1:18" x14ac:dyDescent="0.25">
      <c r="A910" t="s">
        <v>1137</v>
      </c>
      <c r="B910" s="1">
        <v>40605</v>
      </c>
      <c r="C910" s="1">
        <v>40609</v>
      </c>
      <c r="D910" t="s">
        <v>1</v>
      </c>
      <c r="E910" t="s">
        <v>1136</v>
      </c>
      <c r="F910" t="s">
        <v>26</v>
      </c>
      <c r="G910" t="s">
        <v>240</v>
      </c>
      <c r="H910" t="s">
        <v>241</v>
      </c>
      <c r="I910" t="s">
        <v>6</v>
      </c>
      <c r="J910" t="s">
        <v>6</v>
      </c>
      <c r="K910" t="s">
        <v>7</v>
      </c>
      <c r="L910" t="s">
        <v>91</v>
      </c>
      <c r="M910">
        <v>24</v>
      </c>
      <c r="N910">
        <v>2</v>
      </c>
      <c r="O910">
        <v>0</v>
      </c>
      <c r="P910">
        <v>10.02</v>
      </c>
      <c r="Q910">
        <v>1.02</v>
      </c>
      <c r="R910" t="s">
        <v>9</v>
      </c>
    </row>
    <row r="911" spans="1:18" x14ac:dyDescent="0.25">
      <c r="A911" t="s">
        <v>1135</v>
      </c>
      <c r="B911" s="1">
        <v>40605</v>
      </c>
      <c r="C911" s="1">
        <v>40610</v>
      </c>
      <c r="D911" t="s">
        <v>1</v>
      </c>
      <c r="E911" t="s">
        <v>1136</v>
      </c>
      <c r="F911" t="s">
        <v>26</v>
      </c>
      <c r="G911" t="s">
        <v>649</v>
      </c>
      <c r="H911" t="s">
        <v>126</v>
      </c>
      <c r="I911" t="s">
        <v>127</v>
      </c>
      <c r="J911" t="s">
        <v>173</v>
      </c>
      <c r="K911" t="s">
        <v>38</v>
      </c>
      <c r="L911" t="s">
        <v>77</v>
      </c>
      <c r="M911">
        <v>10</v>
      </c>
      <c r="N911">
        <v>1</v>
      </c>
      <c r="O911">
        <v>0</v>
      </c>
      <c r="P911">
        <v>4.5953999999999997</v>
      </c>
      <c r="Q911">
        <v>0.99</v>
      </c>
      <c r="R911" t="s">
        <v>23</v>
      </c>
    </row>
    <row r="912" spans="1:18" x14ac:dyDescent="0.25">
      <c r="A912" t="s">
        <v>1144</v>
      </c>
      <c r="B912" s="1">
        <v>40605</v>
      </c>
      <c r="C912" s="1">
        <v>40609</v>
      </c>
      <c r="D912" t="s">
        <v>1</v>
      </c>
      <c r="E912" t="s">
        <v>1145</v>
      </c>
      <c r="F912" t="s">
        <v>3</v>
      </c>
      <c r="G912" t="s">
        <v>1146</v>
      </c>
      <c r="H912" t="s">
        <v>1147</v>
      </c>
      <c r="I912" t="s">
        <v>22</v>
      </c>
      <c r="J912" t="s">
        <v>22</v>
      </c>
      <c r="K912" t="s">
        <v>7</v>
      </c>
      <c r="L912" t="s">
        <v>97</v>
      </c>
      <c r="M912">
        <v>14</v>
      </c>
      <c r="N912">
        <v>1</v>
      </c>
      <c r="O912">
        <v>0</v>
      </c>
      <c r="P912">
        <v>6.39</v>
      </c>
      <c r="Q912">
        <v>0.39</v>
      </c>
      <c r="R912" t="s">
        <v>9</v>
      </c>
    </row>
    <row r="913" spans="1:18" x14ac:dyDescent="0.25">
      <c r="A913" t="s">
        <v>1158</v>
      </c>
      <c r="B913" s="1">
        <v>40606</v>
      </c>
      <c r="C913" s="1">
        <v>40611</v>
      </c>
      <c r="D913" t="s">
        <v>1</v>
      </c>
      <c r="E913" t="s">
        <v>1159</v>
      </c>
      <c r="F913" t="s">
        <v>26</v>
      </c>
      <c r="G913" t="s">
        <v>1160</v>
      </c>
      <c r="H913" t="s">
        <v>169</v>
      </c>
      <c r="I913" t="s">
        <v>14</v>
      </c>
      <c r="J913" t="s">
        <v>132</v>
      </c>
      <c r="K913" t="s">
        <v>38</v>
      </c>
      <c r="L913" t="s">
        <v>77</v>
      </c>
      <c r="M913">
        <v>555</v>
      </c>
      <c r="N913">
        <v>3</v>
      </c>
      <c r="O913">
        <v>0</v>
      </c>
      <c r="P913">
        <v>0</v>
      </c>
      <c r="Q913">
        <v>83.22</v>
      </c>
      <c r="R913" t="s">
        <v>23</v>
      </c>
    </row>
    <row r="914" spans="1:18" x14ac:dyDescent="0.25">
      <c r="A914" t="s">
        <v>1161</v>
      </c>
      <c r="B914" s="1">
        <v>40606</v>
      </c>
      <c r="C914" s="1">
        <v>40606</v>
      </c>
      <c r="D914" t="s">
        <v>41</v>
      </c>
      <c r="E914" t="s">
        <v>791</v>
      </c>
      <c r="F914" t="s">
        <v>3</v>
      </c>
      <c r="G914" t="s">
        <v>341</v>
      </c>
      <c r="H914" t="s">
        <v>126</v>
      </c>
      <c r="I914" t="s">
        <v>127</v>
      </c>
      <c r="J914" t="s">
        <v>102</v>
      </c>
      <c r="K914" t="s">
        <v>7</v>
      </c>
      <c r="L914" t="s">
        <v>8</v>
      </c>
      <c r="M914">
        <v>355</v>
      </c>
      <c r="N914">
        <v>5</v>
      </c>
      <c r="O914">
        <v>0</v>
      </c>
      <c r="P914">
        <v>17.745000000000001</v>
      </c>
      <c r="Q914">
        <v>74.5</v>
      </c>
      <c r="R914" t="s">
        <v>23</v>
      </c>
    </row>
    <row r="915" spans="1:18" x14ac:dyDescent="0.25">
      <c r="A915" t="s">
        <v>1162</v>
      </c>
      <c r="B915" s="1">
        <v>40606</v>
      </c>
      <c r="C915" s="1">
        <v>40610</v>
      </c>
      <c r="D915" t="s">
        <v>1</v>
      </c>
      <c r="E915" t="s">
        <v>1163</v>
      </c>
      <c r="F915" t="s">
        <v>3</v>
      </c>
      <c r="G915" t="s">
        <v>459</v>
      </c>
      <c r="H915" t="s">
        <v>345</v>
      </c>
      <c r="I915" t="s">
        <v>75</v>
      </c>
      <c r="J915" t="s">
        <v>76</v>
      </c>
      <c r="K915" t="s">
        <v>7</v>
      </c>
      <c r="L915" t="s">
        <v>137</v>
      </c>
      <c r="M915">
        <v>91</v>
      </c>
      <c r="N915">
        <v>8</v>
      </c>
      <c r="O915">
        <v>0</v>
      </c>
      <c r="P915">
        <v>25.28</v>
      </c>
      <c r="Q915">
        <v>11.87</v>
      </c>
      <c r="R915" t="s">
        <v>23</v>
      </c>
    </row>
    <row r="916" spans="1:18" x14ac:dyDescent="0.25">
      <c r="A916" t="s">
        <v>1162</v>
      </c>
      <c r="B916" s="1">
        <v>40606</v>
      </c>
      <c r="C916" s="1">
        <v>40610</v>
      </c>
      <c r="D916" t="s">
        <v>1</v>
      </c>
      <c r="E916" t="s">
        <v>1163</v>
      </c>
      <c r="F916" t="s">
        <v>3</v>
      </c>
      <c r="G916" t="s">
        <v>459</v>
      </c>
      <c r="H916" t="s">
        <v>345</v>
      </c>
      <c r="I916" t="s">
        <v>75</v>
      </c>
      <c r="J916" t="s">
        <v>76</v>
      </c>
      <c r="K916" t="s">
        <v>7</v>
      </c>
      <c r="L916" t="s">
        <v>16</v>
      </c>
      <c r="M916">
        <v>90</v>
      </c>
      <c r="N916">
        <v>3</v>
      </c>
      <c r="O916">
        <v>0</v>
      </c>
      <c r="P916">
        <v>15.18</v>
      </c>
      <c r="Q916">
        <v>6.54</v>
      </c>
      <c r="R916" t="s">
        <v>23</v>
      </c>
    </row>
    <row r="917" spans="1:18" x14ac:dyDescent="0.25">
      <c r="A917" t="s">
        <v>1164</v>
      </c>
      <c r="B917" s="1">
        <v>40606</v>
      </c>
      <c r="C917" s="1">
        <v>40611</v>
      </c>
      <c r="D917" t="s">
        <v>1</v>
      </c>
      <c r="E917" t="s">
        <v>1165</v>
      </c>
      <c r="F917" t="s">
        <v>3</v>
      </c>
      <c r="G917" t="s">
        <v>1166</v>
      </c>
      <c r="H917" t="s">
        <v>285</v>
      </c>
      <c r="I917" t="s">
        <v>22</v>
      </c>
      <c r="J917" t="s">
        <v>22</v>
      </c>
      <c r="K917" t="s">
        <v>38</v>
      </c>
      <c r="L917" t="s">
        <v>39</v>
      </c>
      <c r="M917">
        <v>94</v>
      </c>
      <c r="N917">
        <v>2</v>
      </c>
      <c r="O917">
        <v>0.6</v>
      </c>
      <c r="P917">
        <v>-25.98</v>
      </c>
      <c r="Q917">
        <v>4.07</v>
      </c>
      <c r="R917" t="s">
        <v>9</v>
      </c>
    </row>
    <row r="918" spans="1:18" x14ac:dyDescent="0.25">
      <c r="A918" t="s">
        <v>1167</v>
      </c>
      <c r="B918" s="1">
        <v>40606</v>
      </c>
      <c r="C918" s="1">
        <v>40610</v>
      </c>
      <c r="D918" t="s">
        <v>1</v>
      </c>
      <c r="E918" t="s">
        <v>1168</v>
      </c>
      <c r="F918" t="s">
        <v>3</v>
      </c>
      <c r="G918" t="s">
        <v>1169</v>
      </c>
      <c r="H918" t="s">
        <v>223</v>
      </c>
      <c r="I918" t="s">
        <v>6</v>
      </c>
      <c r="J918" t="s">
        <v>6</v>
      </c>
      <c r="K918" t="s">
        <v>38</v>
      </c>
      <c r="L918" t="s">
        <v>50</v>
      </c>
      <c r="M918">
        <v>43</v>
      </c>
      <c r="N918">
        <v>1</v>
      </c>
      <c r="O918">
        <v>0.7</v>
      </c>
      <c r="P918">
        <v>-92.349000000000004</v>
      </c>
      <c r="Q918">
        <v>3.02</v>
      </c>
      <c r="R918" t="s">
        <v>9</v>
      </c>
    </row>
    <row r="919" spans="1:18" x14ac:dyDescent="0.25">
      <c r="A919" t="s">
        <v>1170</v>
      </c>
      <c r="B919" s="1">
        <v>40606</v>
      </c>
      <c r="C919" s="1">
        <v>40611</v>
      </c>
      <c r="D919" t="s">
        <v>1</v>
      </c>
      <c r="E919" t="s">
        <v>854</v>
      </c>
      <c r="F919" t="s">
        <v>3</v>
      </c>
      <c r="G919" t="s">
        <v>505</v>
      </c>
      <c r="H919" t="s">
        <v>126</v>
      </c>
      <c r="I919" t="s">
        <v>127</v>
      </c>
      <c r="J919" t="s">
        <v>102</v>
      </c>
      <c r="K919" t="s">
        <v>7</v>
      </c>
      <c r="L919" t="s">
        <v>91</v>
      </c>
      <c r="M919">
        <v>16</v>
      </c>
      <c r="N919">
        <v>3</v>
      </c>
      <c r="O919">
        <v>0.2</v>
      </c>
      <c r="P919">
        <v>2.3328000000000002</v>
      </c>
      <c r="Q919">
        <v>1.31</v>
      </c>
      <c r="R919" t="s">
        <v>9</v>
      </c>
    </row>
    <row r="920" spans="1:18" x14ac:dyDescent="0.25">
      <c r="A920" t="s">
        <v>1171</v>
      </c>
      <c r="B920" s="1">
        <v>40607</v>
      </c>
      <c r="C920" s="1">
        <v>40610</v>
      </c>
      <c r="D920" t="s">
        <v>18</v>
      </c>
      <c r="E920" t="s">
        <v>555</v>
      </c>
      <c r="F920" t="s">
        <v>3</v>
      </c>
      <c r="G920" t="s">
        <v>649</v>
      </c>
      <c r="H920" t="s">
        <v>126</v>
      </c>
      <c r="I920" t="s">
        <v>127</v>
      </c>
      <c r="J920" t="s">
        <v>173</v>
      </c>
      <c r="K920" t="s">
        <v>38</v>
      </c>
      <c r="L920" t="s">
        <v>82</v>
      </c>
      <c r="M920">
        <v>480</v>
      </c>
      <c r="N920">
        <v>3</v>
      </c>
      <c r="O920">
        <v>0</v>
      </c>
      <c r="P920">
        <v>177.5889</v>
      </c>
      <c r="Q920">
        <v>55.01</v>
      </c>
      <c r="R920" t="s">
        <v>9</v>
      </c>
    </row>
    <row r="921" spans="1:18" x14ac:dyDescent="0.25">
      <c r="A921" t="s">
        <v>1171</v>
      </c>
      <c r="B921" s="1">
        <v>40607</v>
      </c>
      <c r="C921" s="1">
        <v>40610</v>
      </c>
      <c r="D921" t="s">
        <v>18</v>
      </c>
      <c r="E921" t="s">
        <v>555</v>
      </c>
      <c r="F921" t="s">
        <v>3</v>
      </c>
      <c r="G921" t="s">
        <v>649</v>
      </c>
      <c r="H921" t="s">
        <v>126</v>
      </c>
      <c r="I921" t="s">
        <v>127</v>
      </c>
      <c r="J921" t="s">
        <v>173</v>
      </c>
      <c r="K921" t="s">
        <v>7</v>
      </c>
      <c r="L921" t="s">
        <v>31</v>
      </c>
      <c r="M921">
        <v>98</v>
      </c>
      <c r="N921">
        <v>2</v>
      </c>
      <c r="O921">
        <v>0</v>
      </c>
      <c r="P921">
        <v>45.9754</v>
      </c>
      <c r="Q921">
        <v>10.130000000000001</v>
      </c>
      <c r="R921" t="s">
        <v>9</v>
      </c>
    </row>
    <row r="922" spans="1:18" x14ac:dyDescent="0.25">
      <c r="A922" t="s">
        <v>1171</v>
      </c>
      <c r="B922" s="1">
        <v>40607</v>
      </c>
      <c r="C922" s="1">
        <v>40610</v>
      </c>
      <c r="D922" t="s">
        <v>18</v>
      </c>
      <c r="E922" t="s">
        <v>555</v>
      </c>
      <c r="F922" t="s">
        <v>3</v>
      </c>
      <c r="G922" t="s">
        <v>649</v>
      </c>
      <c r="H922" t="s">
        <v>126</v>
      </c>
      <c r="I922" t="s">
        <v>127</v>
      </c>
      <c r="J922" t="s">
        <v>173</v>
      </c>
      <c r="K922" t="s">
        <v>7</v>
      </c>
      <c r="L922" t="s">
        <v>91</v>
      </c>
      <c r="M922">
        <v>60</v>
      </c>
      <c r="N922">
        <v>3</v>
      </c>
      <c r="O922">
        <v>0</v>
      </c>
      <c r="P922">
        <v>15.475199999999999</v>
      </c>
      <c r="Q922">
        <v>8.02</v>
      </c>
      <c r="R922" t="s">
        <v>9</v>
      </c>
    </row>
    <row r="923" spans="1:18" x14ac:dyDescent="0.25">
      <c r="A923" t="s">
        <v>1171</v>
      </c>
      <c r="B923" s="1">
        <v>40607</v>
      </c>
      <c r="C923" s="1">
        <v>40610</v>
      </c>
      <c r="D923" t="s">
        <v>18</v>
      </c>
      <c r="E923" t="s">
        <v>555</v>
      </c>
      <c r="F923" t="s">
        <v>3</v>
      </c>
      <c r="G923" t="s">
        <v>649</v>
      </c>
      <c r="H923" t="s">
        <v>126</v>
      </c>
      <c r="I923" t="s">
        <v>127</v>
      </c>
      <c r="J923" t="s">
        <v>173</v>
      </c>
      <c r="K923" t="s">
        <v>7</v>
      </c>
      <c r="L923" t="s">
        <v>137</v>
      </c>
      <c r="M923">
        <v>50</v>
      </c>
      <c r="N923">
        <v>6</v>
      </c>
      <c r="O923">
        <v>0.2</v>
      </c>
      <c r="P923">
        <v>16.750800000000002</v>
      </c>
      <c r="Q923">
        <v>7.52</v>
      </c>
      <c r="R923" t="s">
        <v>9</v>
      </c>
    </row>
    <row r="924" spans="1:18" x14ac:dyDescent="0.25">
      <c r="A924" t="s">
        <v>1172</v>
      </c>
      <c r="B924" s="1">
        <v>40607</v>
      </c>
      <c r="C924" s="1">
        <v>40613</v>
      </c>
      <c r="D924" t="s">
        <v>1</v>
      </c>
      <c r="E924" t="s">
        <v>392</v>
      </c>
      <c r="F924" t="s">
        <v>26</v>
      </c>
      <c r="G924" t="s">
        <v>65</v>
      </c>
      <c r="H924" t="s">
        <v>66</v>
      </c>
      <c r="I924" t="s">
        <v>29</v>
      </c>
      <c r="J924" t="s">
        <v>30</v>
      </c>
      <c r="K924" t="s">
        <v>7</v>
      </c>
      <c r="L924" t="s">
        <v>91</v>
      </c>
      <c r="M924">
        <v>102</v>
      </c>
      <c r="N924">
        <v>2</v>
      </c>
      <c r="O924">
        <v>0.1</v>
      </c>
      <c r="P924">
        <v>-10.295999999999999</v>
      </c>
      <c r="Q924">
        <v>7.29</v>
      </c>
      <c r="R924" t="s">
        <v>9</v>
      </c>
    </row>
    <row r="925" spans="1:18" x14ac:dyDescent="0.25">
      <c r="A925" t="s">
        <v>1173</v>
      </c>
      <c r="B925" s="1">
        <v>40607</v>
      </c>
      <c r="C925" s="1">
        <v>40614</v>
      </c>
      <c r="D925" t="s">
        <v>1</v>
      </c>
      <c r="E925" t="s">
        <v>1174</v>
      </c>
      <c r="F925" t="s">
        <v>43</v>
      </c>
      <c r="G925" t="s">
        <v>1175</v>
      </c>
      <c r="H925" t="s">
        <v>972</v>
      </c>
      <c r="I925" t="s">
        <v>22</v>
      </c>
      <c r="J925" t="s">
        <v>22</v>
      </c>
      <c r="K925" t="s">
        <v>7</v>
      </c>
      <c r="L925" t="s">
        <v>137</v>
      </c>
      <c r="M925">
        <v>26</v>
      </c>
      <c r="N925">
        <v>2</v>
      </c>
      <c r="O925">
        <v>0</v>
      </c>
      <c r="P925">
        <v>1.8</v>
      </c>
      <c r="Q925">
        <v>1.99</v>
      </c>
      <c r="R925" t="s">
        <v>51</v>
      </c>
    </row>
    <row r="926" spans="1:18" x14ac:dyDescent="0.25">
      <c r="A926" t="s">
        <v>1171</v>
      </c>
      <c r="B926" s="1">
        <v>40607</v>
      </c>
      <c r="C926" s="1">
        <v>40610</v>
      </c>
      <c r="D926" t="s">
        <v>18</v>
      </c>
      <c r="E926" t="s">
        <v>555</v>
      </c>
      <c r="F926" t="s">
        <v>3</v>
      </c>
      <c r="G926" t="s">
        <v>649</v>
      </c>
      <c r="H926" t="s">
        <v>126</v>
      </c>
      <c r="I926" t="s">
        <v>127</v>
      </c>
      <c r="J926" t="s">
        <v>173</v>
      </c>
      <c r="K926" t="s">
        <v>7</v>
      </c>
      <c r="L926" t="s">
        <v>16</v>
      </c>
      <c r="M926">
        <v>19</v>
      </c>
      <c r="N926">
        <v>2</v>
      </c>
      <c r="O926">
        <v>0</v>
      </c>
      <c r="P926">
        <v>5.3997999999999999</v>
      </c>
      <c r="Q926">
        <v>1.91</v>
      </c>
      <c r="R926" t="s">
        <v>9</v>
      </c>
    </row>
    <row r="927" spans="1:18" x14ac:dyDescent="0.25">
      <c r="A927" t="s">
        <v>1176</v>
      </c>
      <c r="B927" s="1">
        <v>40608</v>
      </c>
      <c r="C927" s="1">
        <v>40611</v>
      </c>
      <c r="D927" t="s">
        <v>18</v>
      </c>
      <c r="E927" t="s">
        <v>1177</v>
      </c>
      <c r="F927" t="s">
        <v>3</v>
      </c>
      <c r="G927" t="s">
        <v>74</v>
      </c>
      <c r="H927" t="s">
        <v>74</v>
      </c>
      <c r="I927" t="s">
        <v>75</v>
      </c>
      <c r="J927" t="s">
        <v>76</v>
      </c>
      <c r="K927" t="s">
        <v>7</v>
      </c>
      <c r="L927" t="s">
        <v>96</v>
      </c>
      <c r="M927">
        <v>127</v>
      </c>
      <c r="N927">
        <v>5</v>
      </c>
      <c r="O927">
        <v>0</v>
      </c>
      <c r="P927">
        <v>29.2</v>
      </c>
      <c r="Q927">
        <v>15.77</v>
      </c>
      <c r="R927" t="s">
        <v>23</v>
      </c>
    </row>
    <row r="928" spans="1:18" x14ac:dyDescent="0.25">
      <c r="A928" t="s">
        <v>1176</v>
      </c>
      <c r="B928" s="1">
        <v>40608</v>
      </c>
      <c r="C928" s="1">
        <v>40611</v>
      </c>
      <c r="D928" t="s">
        <v>18</v>
      </c>
      <c r="E928" t="s">
        <v>1177</v>
      </c>
      <c r="F928" t="s">
        <v>3</v>
      </c>
      <c r="G928" t="s">
        <v>74</v>
      </c>
      <c r="H928" t="s">
        <v>74</v>
      </c>
      <c r="I928" t="s">
        <v>75</v>
      </c>
      <c r="J928" t="s">
        <v>76</v>
      </c>
      <c r="K928" t="s">
        <v>7</v>
      </c>
      <c r="L928" t="s">
        <v>137</v>
      </c>
      <c r="M928">
        <v>8</v>
      </c>
      <c r="N928">
        <v>2</v>
      </c>
      <c r="O928">
        <v>0</v>
      </c>
      <c r="P928">
        <v>1.48</v>
      </c>
      <c r="Q928">
        <v>0.69</v>
      </c>
      <c r="R928" t="s">
        <v>23</v>
      </c>
    </row>
    <row r="929" spans="1:18" x14ac:dyDescent="0.25">
      <c r="A929" t="s">
        <v>1178</v>
      </c>
      <c r="B929" s="1">
        <v>40609</v>
      </c>
      <c r="C929" s="1">
        <v>40613</v>
      </c>
      <c r="D929" t="s">
        <v>1</v>
      </c>
      <c r="E929" t="s">
        <v>1179</v>
      </c>
      <c r="F929" t="s">
        <v>3</v>
      </c>
      <c r="G929" t="s">
        <v>1180</v>
      </c>
      <c r="H929" t="s">
        <v>410</v>
      </c>
      <c r="I929" t="s">
        <v>22</v>
      </c>
      <c r="J929" t="s">
        <v>22</v>
      </c>
      <c r="K929" t="s">
        <v>38</v>
      </c>
      <c r="L929" t="s">
        <v>82</v>
      </c>
      <c r="M929" s="2">
        <v>1012</v>
      </c>
      <c r="N929">
        <v>10</v>
      </c>
      <c r="O929">
        <v>0</v>
      </c>
      <c r="P929">
        <v>20.100000000000001</v>
      </c>
      <c r="Q929">
        <v>137.13999999999999</v>
      </c>
      <c r="R929" t="s">
        <v>23</v>
      </c>
    </row>
    <row r="930" spans="1:18" x14ac:dyDescent="0.25">
      <c r="A930" t="s">
        <v>1181</v>
      </c>
      <c r="B930" s="1">
        <v>40609</v>
      </c>
      <c r="C930" s="1">
        <v>40614</v>
      </c>
      <c r="D930" t="s">
        <v>1</v>
      </c>
      <c r="E930" t="s">
        <v>1182</v>
      </c>
      <c r="F930" t="s">
        <v>43</v>
      </c>
      <c r="G930" t="s">
        <v>740</v>
      </c>
      <c r="H930" t="s">
        <v>126</v>
      </c>
      <c r="I930" t="s">
        <v>127</v>
      </c>
      <c r="J930" t="s">
        <v>192</v>
      </c>
      <c r="K930" t="s">
        <v>32</v>
      </c>
      <c r="L930" t="s">
        <v>56</v>
      </c>
      <c r="M930">
        <v>482</v>
      </c>
      <c r="N930">
        <v>2</v>
      </c>
      <c r="O930">
        <v>0.2</v>
      </c>
      <c r="P930">
        <v>54.176400000000001</v>
      </c>
      <c r="Q930">
        <v>42.74</v>
      </c>
      <c r="R930" t="s">
        <v>9</v>
      </c>
    </row>
    <row r="931" spans="1:18" x14ac:dyDescent="0.25">
      <c r="A931" t="s">
        <v>1181</v>
      </c>
      <c r="B931" s="1">
        <v>40609</v>
      </c>
      <c r="C931" s="1">
        <v>40614</v>
      </c>
      <c r="D931" t="s">
        <v>1</v>
      </c>
      <c r="E931" t="s">
        <v>1182</v>
      </c>
      <c r="F931" t="s">
        <v>43</v>
      </c>
      <c r="G931" t="s">
        <v>740</v>
      </c>
      <c r="H931" t="s">
        <v>126</v>
      </c>
      <c r="I931" t="s">
        <v>127</v>
      </c>
      <c r="J931" t="s">
        <v>192</v>
      </c>
      <c r="K931" t="s">
        <v>32</v>
      </c>
      <c r="L931" t="s">
        <v>56</v>
      </c>
      <c r="M931">
        <v>437</v>
      </c>
      <c r="N931">
        <v>6</v>
      </c>
      <c r="O931">
        <v>0.2</v>
      </c>
      <c r="P931">
        <v>21.8352</v>
      </c>
      <c r="Q931">
        <v>38.450000000000003</v>
      </c>
      <c r="R931" t="s">
        <v>9</v>
      </c>
    </row>
    <row r="932" spans="1:18" x14ac:dyDescent="0.25">
      <c r="A932" t="s">
        <v>1183</v>
      </c>
      <c r="B932" s="1">
        <v>40609</v>
      </c>
      <c r="C932" s="1">
        <v>40613</v>
      </c>
      <c r="D932" t="s">
        <v>1</v>
      </c>
      <c r="E932" t="s">
        <v>968</v>
      </c>
      <c r="F932" t="s">
        <v>3</v>
      </c>
      <c r="G932" t="s">
        <v>74</v>
      </c>
      <c r="H932" t="s">
        <v>74</v>
      </c>
      <c r="I932" t="s">
        <v>75</v>
      </c>
      <c r="J932" t="s">
        <v>76</v>
      </c>
      <c r="K932" t="s">
        <v>7</v>
      </c>
      <c r="L932" t="s">
        <v>8</v>
      </c>
      <c r="M932">
        <v>846</v>
      </c>
      <c r="N932">
        <v>6</v>
      </c>
      <c r="O932">
        <v>0</v>
      </c>
      <c r="P932">
        <v>25.32</v>
      </c>
      <c r="Q932">
        <v>35.979999999999997</v>
      </c>
      <c r="R932" t="s">
        <v>9</v>
      </c>
    </row>
    <row r="933" spans="1:18" x14ac:dyDescent="0.25">
      <c r="A933" t="s">
        <v>1184</v>
      </c>
      <c r="B933" s="1">
        <v>40609</v>
      </c>
      <c r="C933" s="1">
        <v>40610</v>
      </c>
      <c r="D933" t="s">
        <v>142</v>
      </c>
      <c r="E933" t="s">
        <v>439</v>
      </c>
      <c r="F933" t="s">
        <v>3</v>
      </c>
      <c r="G933" t="s">
        <v>153</v>
      </c>
      <c r="H933" t="s">
        <v>115</v>
      </c>
      <c r="I933" t="s">
        <v>29</v>
      </c>
      <c r="J933" t="s">
        <v>76</v>
      </c>
      <c r="K933" t="s">
        <v>7</v>
      </c>
      <c r="L933" t="s">
        <v>91</v>
      </c>
      <c r="M933">
        <v>108</v>
      </c>
      <c r="N933">
        <v>2</v>
      </c>
      <c r="O933">
        <v>0</v>
      </c>
      <c r="P933">
        <v>36.659999999999997</v>
      </c>
      <c r="Q933">
        <v>16.03</v>
      </c>
      <c r="R933" t="s">
        <v>23</v>
      </c>
    </row>
    <row r="934" spans="1:18" x14ac:dyDescent="0.25">
      <c r="A934" t="s">
        <v>1185</v>
      </c>
      <c r="B934" s="1">
        <v>40609</v>
      </c>
      <c r="C934" s="1">
        <v>40610</v>
      </c>
      <c r="D934" t="s">
        <v>142</v>
      </c>
      <c r="E934" t="s">
        <v>942</v>
      </c>
      <c r="F934" t="s">
        <v>3</v>
      </c>
      <c r="G934" t="s">
        <v>740</v>
      </c>
      <c r="H934" t="s">
        <v>126</v>
      </c>
      <c r="I934" t="s">
        <v>127</v>
      </c>
      <c r="J934" t="s">
        <v>192</v>
      </c>
      <c r="K934" t="s">
        <v>32</v>
      </c>
      <c r="L934" t="s">
        <v>56</v>
      </c>
      <c r="M934">
        <v>49</v>
      </c>
      <c r="N934">
        <v>1</v>
      </c>
      <c r="O934">
        <v>0.2</v>
      </c>
      <c r="P934">
        <v>5.4801000000000002</v>
      </c>
      <c r="Q934">
        <v>11.13</v>
      </c>
      <c r="R934" t="s">
        <v>23</v>
      </c>
    </row>
    <row r="935" spans="1:18" x14ac:dyDescent="0.25">
      <c r="A935" t="s">
        <v>1181</v>
      </c>
      <c r="B935" s="1">
        <v>40609</v>
      </c>
      <c r="C935" s="1">
        <v>40614</v>
      </c>
      <c r="D935" t="s">
        <v>1</v>
      </c>
      <c r="E935" t="s">
        <v>1182</v>
      </c>
      <c r="F935" t="s">
        <v>43</v>
      </c>
      <c r="G935" t="s">
        <v>740</v>
      </c>
      <c r="H935" t="s">
        <v>126</v>
      </c>
      <c r="I935" t="s">
        <v>127</v>
      </c>
      <c r="J935" t="s">
        <v>192</v>
      </c>
      <c r="K935" t="s">
        <v>7</v>
      </c>
      <c r="L935" t="s">
        <v>8</v>
      </c>
      <c r="M935">
        <v>205</v>
      </c>
      <c r="N935">
        <v>5</v>
      </c>
      <c r="O935">
        <v>0</v>
      </c>
      <c r="P935">
        <v>0</v>
      </c>
      <c r="Q935">
        <v>10.65</v>
      </c>
      <c r="R935" t="s">
        <v>9</v>
      </c>
    </row>
    <row r="936" spans="1:18" x14ac:dyDescent="0.25">
      <c r="A936" t="s">
        <v>1178</v>
      </c>
      <c r="B936" s="1">
        <v>40609</v>
      </c>
      <c r="C936" s="1">
        <v>40613</v>
      </c>
      <c r="D936" t="s">
        <v>1</v>
      </c>
      <c r="E936" t="s">
        <v>1179</v>
      </c>
      <c r="F936" t="s">
        <v>3</v>
      </c>
      <c r="G936" t="s">
        <v>1180</v>
      </c>
      <c r="H936" t="s">
        <v>410</v>
      </c>
      <c r="I936" t="s">
        <v>22</v>
      </c>
      <c r="J936" t="s">
        <v>22</v>
      </c>
      <c r="K936" t="s">
        <v>7</v>
      </c>
      <c r="L936" t="s">
        <v>97</v>
      </c>
      <c r="M936">
        <v>58</v>
      </c>
      <c r="N936">
        <v>4</v>
      </c>
      <c r="O936">
        <v>0</v>
      </c>
      <c r="P936">
        <v>2.2799999999999998</v>
      </c>
      <c r="Q936">
        <v>9.01</v>
      </c>
      <c r="R936" t="s">
        <v>23</v>
      </c>
    </row>
    <row r="937" spans="1:18" x14ac:dyDescent="0.25">
      <c r="A937" t="s">
        <v>1186</v>
      </c>
      <c r="B937" s="1">
        <v>40609</v>
      </c>
      <c r="C937" s="1">
        <v>40613</v>
      </c>
      <c r="D937" t="s">
        <v>18</v>
      </c>
      <c r="E937" t="s">
        <v>1187</v>
      </c>
      <c r="F937" t="s">
        <v>26</v>
      </c>
      <c r="G937" t="s">
        <v>740</v>
      </c>
      <c r="H937" t="s">
        <v>126</v>
      </c>
      <c r="I937" t="s">
        <v>127</v>
      </c>
      <c r="J937" t="s">
        <v>192</v>
      </c>
      <c r="K937" t="s">
        <v>7</v>
      </c>
      <c r="L937" t="s">
        <v>137</v>
      </c>
      <c r="M937">
        <v>108</v>
      </c>
      <c r="N937">
        <v>2</v>
      </c>
      <c r="O937">
        <v>0.2</v>
      </c>
      <c r="P937">
        <v>33.64</v>
      </c>
      <c r="Q937">
        <v>6.44</v>
      </c>
      <c r="R937" t="s">
        <v>9</v>
      </c>
    </row>
    <row r="938" spans="1:18" x14ac:dyDescent="0.25">
      <c r="A938" t="s">
        <v>1178</v>
      </c>
      <c r="B938" s="1">
        <v>40609</v>
      </c>
      <c r="C938" s="1">
        <v>40613</v>
      </c>
      <c r="D938" t="s">
        <v>1</v>
      </c>
      <c r="E938" t="s">
        <v>1179</v>
      </c>
      <c r="F938" t="s">
        <v>3</v>
      </c>
      <c r="G938" t="s">
        <v>1180</v>
      </c>
      <c r="H938" t="s">
        <v>410</v>
      </c>
      <c r="I938" t="s">
        <v>22</v>
      </c>
      <c r="J938" t="s">
        <v>22</v>
      </c>
      <c r="K938" t="s">
        <v>38</v>
      </c>
      <c r="L938" t="s">
        <v>77</v>
      </c>
      <c r="M938">
        <v>75</v>
      </c>
      <c r="N938">
        <v>1</v>
      </c>
      <c r="O938">
        <v>0</v>
      </c>
      <c r="P938">
        <v>19.38</v>
      </c>
      <c r="Q938">
        <v>6.38</v>
      </c>
      <c r="R938" t="s">
        <v>23</v>
      </c>
    </row>
    <row r="939" spans="1:18" x14ac:dyDescent="0.25">
      <c r="A939" t="s">
        <v>1178</v>
      </c>
      <c r="B939" s="1">
        <v>40609</v>
      </c>
      <c r="C939" s="1">
        <v>40613</v>
      </c>
      <c r="D939" t="s">
        <v>1</v>
      </c>
      <c r="E939" t="s">
        <v>1179</v>
      </c>
      <c r="F939" t="s">
        <v>3</v>
      </c>
      <c r="G939" t="s">
        <v>1180</v>
      </c>
      <c r="H939" t="s">
        <v>410</v>
      </c>
      <c r="I939" t="s">
        <v>22</v>
      </c>
      <c r="J939" t="s">
        <v>22</v>
      </c>
      <c r="K939" t="s">
        <v>7</v>
      </c>
      <c r="L939" t="s">
        <v>137</v>
      </c>
      <c r="M939">
        <v>31</v>
      </c>
      <c r="N939">
        <v>2</v>
      </c>
      <c r="O939">
        <v>0</v>
      </c>
      <c r="P939">
        <v>8.64</v>
      </c>
      <c r="Q939">
        <v>4.62</v>
      </c>
      <c r="R939" t="s">
        <v>23</v>
      </c>
    </row>
    <row r="940" spans="1:18" x14ac:dyDescent="0.25">
      <c r="A940" t="s">
        <v>1185</v>
      </c>
      <c r="B940" s="1">
        <v>40609</v>
      </c>
      <c r="C940" s="1">
        <v>40610</v>
      </c>
      <c r="D940" t="s">
        <v>142</v>
      </c>
      <c r="E940" t="s">
        <v>942</v>
      </c>
      <c r="F940" t="s">
        <v>3</v>
      </c>
      <c r="G940" t="s">
        <v>740</v>
      </c>
      <c r="H940" t="s">
        <v>126</v>
      </c>
      <c r="I940" t="s">
        <v>127</v>
      </c>
      <c r="J940" t="s">
        <v>192</v>
      </c>
      <c r="K940" t="s">
        <v>7</v>
      </c>
      <c r="L940" t="s">
        <v>91</v>
      </c>
      <c r="M940">
        <v>18</v>
      </c>
      <c r="N940">
        <v>3</v>
      </c>
      <c r="O940">
        <v>0</v>
      </c>
      <c r="P940">
        <v>4.6643999999999997</v>
      </c>
      <c r="Q940">
        <v>4.29</v>
      </c>
      <c r="R940" t="s">
        <v>23</v>
      </c>
    </row>
    <row r="941" spans="1:18" x14ac:dyDescent="0.25">
      <c r="A941" t="s">
        <v>1188</v>
      </c>
      <c r="B941" s="1">
        <v>40609</v>
      </c>
      <c r="C941" s="1">
        <v>40612</v>
      </c>
      <c r="D941" t="s">
        <v>18</v>
      </c>
      <c r="E941" t="s">
        <v>1189</v>
      </c>
      <c r="F941" t="s">
        <v>3</v>
      </c>
      <c r="G941" t="s">
        <v>677</v>
      </c>
      <c r="H941" t="s">
        <v>678</v>
      </c>
      <c r="I941" t="s">
        <v>14</v>
      </c>
      <c r="J941" t="s">
        <v>281</v>
      </c>
      <c r="K941" t="s">
        <v>32</v>
      </c>
      <c r="L941" t="s">
        <v>67</v>
      </c>
      <c r="M941">
        <v>122</v>
      </c>
      <c r="N941">
        <v>1</v>
      </c>
      <c r="O941">
        <v>0</v>
      </c>
      <c r="P941">
        <v>44.97</v>
      </c>
      <c r="Q941">
        <v>3.96</v>
      </c>
      <c r="R941" t="s">
        <v>9</v>
      </c>
    </row>
    <row r="942" spans="1:18" x14ac:dyDescent="0.25">
      <c r="A942" t="s">
        <v>1190</v>
      </c>
      <c r="B942" s="1">
        <v>40609</v>
      </c>
      <c r="C942" s="1">
        <v>40616</v>
      </c>
      <c r="D942" t="s">
        <v>1</v>
      </c>
      <c r="E942" t="s">
        <v>903</v>
      </c>
      <c r="F942" t="s">
        <v>43</v>
      </c>
      <c r="G942" t="s">
        <v>1191</v>
      </c>
      <c r="H942" t="s">
        <v>1192</v>
      </c>
      <c r="I942" t="s">
        <v>6</v>
      </c>
      <c r="J942" t="s">
        <v>6</v>
      </c>
      <c r="K942" t="s">
        <v>7</v>
      </c>
      <c r="L942" t="s">
        <v>8</v>
      </c>
      <c r="M942">
        <v>24</v>
      </c>
      <c r="N942">
        <v>1</v>
      </c>
      <c r="O942">
        <v>0</v>
      </c>
      <c r="P942">
        <v>0.45</v>
      </c>
      <c r="Q942">
        <v>2.11</v>
      </c>
      <c r="R942" t="s">
        <v>51</v>
      </c>
    </row>
    <row r="943" spans="1:18" x14ac:dyDescent="0.25">
      <c r="A943" t="s">
        <v>1190</v>
      </c>
      <c r="B943" s="1">
        <v>40609</v>
      </c>
      <c r="C943" s="1">
        <v>40616</v>
      </c>
      <c r="D943" t="s">
        <v>1</v>
      </c>
      <c r="E943" t="s">
        <v>903</v>
      </c>
      <c r="F943" t="s">
        <v>43</v>
      </c>
      <c r="G943" t="s">
        <v>1191</v>
      </c>
      <c r="H943" t="s">
        <v>1192</v>
      </c>
      <c r="I943" t="s">
        <v>6</v>
      </c>
      <c r="J943" t="s">
        <v>6</v>
      </c>
      <c r="K943" t="s">
        <v>7</v>
      </c>
      <c r="L943" t="s">
        <v>8</v>
      </c>
      <c r="M943">
        <v>11</v>
      </c>
      <c r="N943">
        <v>1</v>
      </c>
      <c r="O943">
        <v>0</v>
      </c>
      <c r="P943">
        <v>0</v>
      </c>
      <c r="Q943">
        <v>1.44</v>
      </c>
      <c r="R943" t="s">
        <v>51</v>
      </c>
    </row>
    <row r="944" spans="1:18" x14ac:dyDescent="0.25">
      <c r="A944" t="s">
        <v>1185</v>
      </c>
      <c r="B944" s="1">
        <v>40609</v>
      </c>
      <c r="C944" s="1">
        <v>40610</v>
      </c>
      <c r="D944" t="s">
        <v>142</v>
      </c>
      <c r="E944" t="s">
        <v>942</v>
      </c>
      <c r="F944" t="s">
        <v>3</v>
      </c>
      <c r="G944" t="s">
        <v>740</v>
      </c>
      <c r="H944" t="s">
        <v>126</v>
      </c>
      <c r="I944" t="s">
        <v>127</v>
      </c>
      <c r="J944" t="s">
        <v>192</v>
      </c>
      <c r="K944" t="s">
        <v>7</v>
      </c>
      <c r="L944" t="s">
        <v>8</v>
      </c>
      <c r="M944">
        <v>243</v>
      </c>
      <c r="N944">
        <v>3</v>
      </c>
      <c r="O944">
        <v>0</v>
      </c>
      <c r="P944">
        <v>4.8587999999999996</v>
      </c>
      <c r="Q944">
        <v>1.28</v>
      </c>
      <c r="R944" t="s">
        <v>23</v>
      </c>
    </row>
    <row r="945" spans="1:18" x14ac:dyDescent="0.25">
      <c r="A945" t="s">
        <v>1183</v>
      </c>
      <c r="B945" s="1">
        <v>40609</v>
      </c>
      <c r="C945" s="1">
        <v>40613</v>
      </c>
      <c r="D945" t="s">
        <v>1</v>
      </c>
      <c r="E945" t="s">
        <v>968</v>
      </c>
      <c r="F945" t="s">
        <v>3</v>
      </c>
      <c r="G945" t="s">
        <v>74</v>
      </c>
      <c r="H945" t="s">
        <v>74</v>
      </c>
      <c r="I945" t="s">
        <v>75</v>
      </c>
      <c r="J945" t="s">
        <v>76</v>
      </c>
      <c r="K945" t="s">
        <v>7</v>
      </c>
      <c r="L945" t="s">
        <v>96</v>
      </c>
      <c r="M945">
        <v>16</v>
      </c>
      <c r="N945">
        <v>2</v>
      </c>
      <c r="O945">
        <v>0</v>
      </c>
      <c r="P945">
        <v>2.04</v>
      </c>
      <c r="Q945">
        <v>1.05</v>
      </c>
      <c r="R945" t="s">
        <v>9</v>
      </c>
    </row>
    <row r="946" spans="1:18" x14ac:dyDescent="0.25">
      <c r="A946" t="s">
        <v>1181</v>
      </c>
      <c r="B946" s="1">
        <v>40609</v>
      </c>
      <c r="C946" s="1">
        <v>40614</v>
      </c>
      <c r="D946" t="s">
        <v>1</v>
      </c>
      <c r="E946" t="s">
        <v>1182</v>
      </c>
      <c r="F946" t="s">
        <v>43</v>
      </c>
      <c r="G946" t="s">
        <v>740</v>
      </c>
      <c r="H946" t="s">
        <v>126</v>
      </c>
      <c r="I946" t="s">
        <v>127</v>
      </c>
      <c r="J946" t="s">
        <v>192</v>
      </c>
      <c r="K946" t="s">
        <v>7</v>
      </c>
      <c r="L946" t="s">
        <v>91</v>
      </c>
      <c r="M946">
        <v>21</v>
      </c>
      <c r="N946">
        <v>5</v>
      </c>
      <c r="O946">
        <v>0</v>
      </c>
      <c r="P946">
        <v>9.4990000000000006</v>
      </c>
      <c r="Q946">
        <v>0.52</v>
      </c>
      <c r="R946" t="s">
        <v>9</v>
      </c>
    </row>
    <row r="947" spans="1:18" x14ac:dyDescent="0.25">
      <c r="A947" t="s">
        <v>1193</v>
      </c>
      <c r="B947" s="1">
        <v>40610</v>
      </c>
      <c r="C947" s="1">
        <v>40615</v>
      </c>
      <c r="D947" t="s">
        <v>1</v>
      </c>
      <c r="E947" t="s">
        <v>1194</v>
      </c>
      <c r="F947" t="s">
        <v>3</v>
      </c>
      <c r="G947" t="s">
        <v>380</v>
      </c>
      <c r="H947" t="s">
        <v>381</v>
      </c>
      <c r="I947" t="s">
        <v>75</v>
      </c>
      <c r="J947" t="s">
        <v>76</v>
      </c>
      <c r="K947" t="s">
        <v>32</v>
      </c>
      <c r="L947" t="s">
        <v>56</v>
      </c>
      <c r="M947" s="2">
        <v>2855</v>
      </c>
      <c r="N947">
        <v>9</v>
      </c>
      <c r="O947">
        <v>0</v>
      </c>
      <c r="P947">
        <v>1313.28</v>
      </c>
      <c r="Q947">
        <v>145.5</v>
      </c>
      <c r="R947" t="s">
        <v>9</v>
      </c>
    </row>
    <row r="948" spans="1:18" x14ac:dyDescent="0.25">
      <c r="A948" t="s">
        <v>1195</v>
      </c>
      <c r="B948" s="1">
        <v>40610</v>
      </c>
      <c r="C948" s="1">
        <v>40614</v>
      </c>
      <c r="D948" t="s">
        <v>18</v>
      </c>
      <c r="E948" t="s">
        <v>932</v>
      </c>
      <c r="F948" t="s">
        <v>3</v>
      </c>
      <c r="G948" t="s">
        <v>660</v>
      </c>
      <c r="H948" t="s">
        <v>13</v>
      </c>
      <c r="I948" t="s">
        <v>14</v>
      </c>
      <c r="J948" t="s">
        <v>15</v>
      </c>
      <c r="K948" t="s">
        <v>38</v>
      </c>
      <c r="L948" t="s">
        <v>77</v>
      </c>
      <c r="M948">
        <v>861</v>
      </c>
      <c r="N948">
        <v>7</v>
      </c>
      <c r="O948">
        <v>0.1</v>
      </c>
      <c r="P948">
        <v>143.32499999999999</v>
      </c>
      <c r="Q948">
        <v>142.19</v>
      </c>
      <c r="R948" t="s">
        <v>9</v>
      </c>
    </row>
    <row r="949" spans="1:18" x14ac:dyDescent="0.25">
      <c r="A949" t="s">
        <v>1196</v>
      </c>
      <c r="B949" s="1">
        <v>40610</v>
      </c>
      <c r="C949" s="1">
        <v>40615</v>
      </c>
      <c r="D949" t="s">
        <v>1</v>
      </c>
      <c r="E949" t="s">
        <v>273</v>
      </c>
      <c r="F949" t="s">
        <v>26</v>
      </c>
      <c r="G949" t="s">
        <v>1197</v>
      </c>
      <c r="H949" t="s">
        <v>1198</v>
      </c>
      <c r="I949" t="s">
        <v>14</v>
      </c>
      <c r="J949" t="s">
        <v>61</v>
      </c>
      <c r="K949" t="s">
        <v>32</v>
      </c>
      <c r="L949" t="s">
        <v>62</v>
      </c>
      <c r="M949" s="2">
        <v>1330</v>
      </c>
      <c r="N949">
        <v>3</v>
      </c>
      <c r="O949">
        <v>0</v>
      </c>
      <c r="P949">
        <v>292.58999999999997</v>
      </c>
      <c r="Q949">
        <v>78.66</v>
      </c>
      <c r="R949" t="s">
        <v>9</v>
      </c>
    </row>
    <row r="950" spans="1:18" x14ac:dyDescent="0.25">
      <c r="A950" t="s">
        <v>1193</v>
      </c>
      <c r="B950" s="1">
        <v>40610</v>
      </c>
      <c r="C950" s="1">
        <v>40615</v>
      </c>
      <c r="D950" t="s">
        <v>1</v>
      </c>
      <c r="E950" t="s">
        <v>1194</v>
      </c>
      <c r="F950" t="s">
        <v>3</v>
      </c>
      <c r="G950" t="s">
        <v>380</v>
      </c>
      <c r="H950" t="s">
        <v>381</v>
      </c>
      <c r="I950" t="s">
        <v>75</v>
      </c>
      <c r="J950" t="s">
        <v>76</v>
      </c>
      <c r="K950" t="s">
        <v>7</v>
      </c>
      <c r="L950" t="s">
        <v>44</v>
      </c>
      <c r="M950">
        <v>619</v>
      </c>
      <c r="N950">
        <v>11</v>
      </c>
      <c r="O950">
        <v>0</v>
      </c>
      <c r="P950">
        <v>284.45999999999998</v>
      </c>
      <c r="Q950">
        <v>49.07</v>
      </c>
      <c r="R950" t="s">
        <v>9</v>
      </c>
    </row>
    <row r="951" spans="1:18" x14ac:dyDescent="0.25">
      <c r="A951" t="s">
        <v>1199</v>
      </c>
      <c r="B951" s="1">
        <v>40610</v>
      </c>
      <c r="C951" s="1">
        <v>40614</v>
      </c>
      <c r="D951" t="s">
        <v>1</v>
      </c>
      <c r="E951" t="s">
        <v>682</v>
      </c>
      <c r="F951" t="s">
        <v>43</v>
      </c>
      <c r="G951" t="s">
        <v>59</v>
      </c>
      <c r="H951" t="s">
        <v>60</v>
      </c>
      <c r="I951" t="s">
        <v>14</v>
      </c>
      <c r="J951" t="s">
        <v>61</v>
      </c>
      <c r="K951" t="s">
        <v>38</v>
      </c>
      <c r="L951" t="s">
        <v>77</v>
      </c>
      <c r="M951">
        <v>543</v>
      </c>
      <c r="N951">
        <v>9</v>
      </c>
      <c r="O951">
        <v>0.25</v>
      </c>
      <c r="P951">
        <v>-7.4249999999999998</v>
      </c>
      <c r="Q951">
        <v>40.479999999999997</v>
      </c>
      <c r="R951" t="s">
        <v>9</v>
      </c>
    </row>
    <row r="952" spans="1:18" x14ac:dyDescent="0.25">
      <c r="A952" t="s">
        <v>1196</v>
      </c>
      <c r="B952" s="1">
        <v>40610</v>
      </c>
      <c r="C952" s="1">
        <v>40615</v>
      </c>
      <c r="D952" t="s">
        <v>1</v>
      </c>
      <c r="E952" t="s">
        <v>273</v>
      </c>
      <c r="F952" t="s">
        <v>26</v>
      </c>
      <c r="G952" t="s">
        <v>1197</v>
      </c>
      <c r="H952" t="s">
        <v>1198</v>
      </c>
      <c r="I952" t="s">
        <v>14</v>
      </c>
      <c r="J952" t="s">
        <v>61</v>
      </c>
      <c r="K952" t="s">
        <v>38</v>
      </c>
      <c r="L952" t="s">
        <v>50</v>
      </c>
      <c r="M952">
        <v>900</v>
      </c>
      <c r="N952">
        <v>3</v>
      </c>
      <c r="O952">
        <v>0</v>
      </c>
      <c r="P952">
        <v>296.91000000000003</v>
      </c>
      <c r="Q952">
        <v>34.24</v>
      </c>
      <c r="R952" t="s">
        <v>9</v>
      </c>
    </row>
    <row r="953" spans="1:18" x14ac:dyDescent="0.25">
      <c r="A953" t="s">
        <v>1200</v>
      </c>
      <c r="B953" s="1">
        <v>40610</v>
      </c>
      <c r="C953" s="1">
        <v>40616</v>
      </c>
      <c r="D953" t="s">
        <v>1</v>
      </c>
      <c r="E953" t="s">
        <v>1201</v>
      </c>
      <c r="F953" t="s">
        <v>43</v>
      </c>
      <c r="G953" t="s">
        <v>222</v>
      </c>
      <c r="H953" t="s">
        <v>223</v>
      </c>
      <c r="I953" t="s">
        <v>6</v>
      </c>
      <c r="J953" t="s">
        <v>6</v>
      </c>
      <c r="K953" t="s">
        <v>38</v>
      </c>
      <c r="L953" t="s">
        <v>50</v>
      </c>
      <c r="M953">
        <v>384</v>
      </c>
      <c r="N953">
        <v>4</v>
      </c>
      <c r="O953">
        <v>0.7</v>
      </c>
      <c r="P953">
        <v>-575.72400000000005</v>
      </c>
      <c r="Q953">
        <v>29.68</v>
      </c>
      <c r="R953" t="s">
        <v>9</v>
      </c>
    </row>
    <row r="954" spans="1:18" x14ac:dyDescent="0.25">
      <c r="A954" t="s">
        <v>1199</v>
      </c>
      <c r="B954" s="1">
        <v>40610</v>
      </c>
      <c r="C954" s="1">
        <v>40614</v>
      </c>
      <c r="D954" t="s">
        <v>1</v>
      </c>
      <c r="E954" t="s">
        <v>682</v>
      </c>
      <c r="F954" t="s">
        <v>43</v>
      </c>
      <c r="G954" t="s">
        <v>59</v>
      </c>
      <c r="H954" t="s">
        <v>60</v>
      </c>
      <c r="I954" t="s">
        <v>14</v>
      </c>
      <c r="J954" t="s">
        <v>61</v>
      </c>
      <c r="K954" t="s">
        <v>38</v>
      </c>
      <c r="L954" t="s">
        <v>77</v>
      </c>
      <c r="M954">
        <v>954</v>
      </c>
      <c r="N954">
        <v>2</v>
      </c>
      <c r="O954">
        <v>0.25</v>
      </c>
      <c r="P954">
        <v>38.145000000000003</v>
      </c>
      <c r="Q954">
        <v>20.84</v>
      </c>
      <c r="R954" t="s">
        <v>9</v>
      </c>
    </row>
    <row r="955" spans="1:18" x14ac:dyDescent="0.25">
      <c r="A955" t="s">
        <v>1202</v>
      </c>
      <c r="B955" s="1">
        <v>40610</v>
      </c>
      <c r="C955" s="1">
        <v>40610</v>
      </c>
      <c r="D955" t="s">
        <v>41</v>
      </c>
      <c r="E955" t="s">
        <v>511</v>
      </c>
      <c r="F955" t="s">
        <v>26</v>
      </c>
      <c r="G955" t="s">
        <v>689</v>
      </c>
      <c r="H955" t="s">
        <v>689</v>
      </c>
      <c r="I955" t="s">
        <v>75</v>
      </c>
      <c r="J955" t="s">
        <v>76</v>
      </c>
      <c r="K955" t="s">
        <v>38</v>
      </c>
      <c r="L955" t="s">
        <v>50</v>
      </c>
      <c r="M955">
        <v>144</v>
      </c>
      <c r="N955">
        <v>3</v>
      </c>
      <c r="O955">
        <v>0.40200000000000002</v>
      </c>
      <c r="P955">
        <v>9.1199999999999992</v>
      </c>
      <c r="Q955">
        <v>16.2</v>
      </c>
      <c r="R955" t="s">
        <v>23</v>
      </c>
    </row>
    <row r="956" spans="1:18" x14ac:dyDescent="0.25">
      <c r="A956" t="s">
        <v>1195</v>
      </c>
      <c r="B956" s="1">
        <v>40610</v>
      </c>
      <c r="C956" s="1">
        <v>40614</v>
      </c>
      <c r="D956" t="s">
        <v>18</v>
      </c>
      <c r="E956" t="s">
        <v>932</v>
      </c>
      <c r="F956" t="s">
        <v>3</v>
      </c>
      <c r="G956" t="s">
        <v>660</v>
      </c>
      <c r="H956" t="s">
        <v>13</v>
      </c>
      <c r="I956" t="s">
        <v>14</v>
      </c>
      <c r="J956" t="s">
        <v>15</v>
      </c>
      <c r="K956" t="s">
        <v>38</v>
      </c>
      <c r="L956" t="s">
        <v>77</v>
      </c>
      <c r="M956">
        <v>124</v>
      </c>
      <c r="N956">
        <v>1</v>
      </c>
      <c r="O956">
        <v>0.1</v>
      </c>
      <c r="P956">
        <v>39.996000000000002</v>
      </c>
      <c r="Q956">
        <v>10.9</v>
      </c>
      <c r="R956" t="s">
        <v>9</v>
      </c>
    </row>
    <row r="957" spans="1:18" x14ac:dyDescent="0.25">
      <c r="A957" t="s">
        <v>1195</v>
      </c>
      <c r="B957" s="1">
        <v>40610</v>
      </c>
      <c r="C957" s="1">
        <v>40614</v>
      </c>
      <c r="D957" t="s">
        <v>18</v>
      </c>
      <c r="E957" t="s">
        <v>932</v>
      </c>
      <c r="F957" t="s">
        <v>3</v>
      </c>
      <c r="G957" t="s">
        <v>660</v>
      </c>
      <c r="H957" t="s">
        <v>13</v>
      </c>
      <c r="I957" t="s">
        <v>14</v>
      </c>
      <c r="J957" t="s">
        <v>15</v>
      </c>
      <c r="K957" t="s">
        <v>38</v>
      </c>
      <c r="L957" t="s">
        <v>82</v>
      </c>
      <c r="M957">
        <v>143</v>
      </c>
      <c r="N957">
        <v>4</v>
      </c>
      <c r="O957">
        <v>0.1</v>
      </c>
      <c r="P957">
        <v>-12.804</v>
      </c>
      <c r="Q957">
        <v>9.83</v>
      </c>
      <c r="R957" t="s">
        <v>9</v>
      </c>
    </row>
    <row r="958" spans="1:18" x14ac:dyDescent="0.25">
      <c r="A958" t="s">
        <v>1200</v>
      </c>
      <c r="B958" s="1">
        <v>40610</v>
      </c>
      <c r="C958" s="1">
        <v>40616</v>
      </c>
      <c r="D958" t="s">
        <v>1</v>
      </c>
      <c r="E958" t="s">
        <v>1201</v>
      </c>
      <c r="F958" t="s">
        <v>43</v>
      </c>
      <c r="G958" t="s">
        <v>222</v>
      </c>
      <c r="H958" t="s">
        <v>223</v>
      </c>
      <c r="I958" t="s">
        <v>6</v>
      </c>
      <c r="J958" t="s">
        <v>6</v>
      </c>
      <c r="K958" t="s">
        <v>38</v>
      </c>
      <c r="L958" t="s">
        <v>39</v>
      </c>
      <c r="M958">
        <v>80</v>
      </c>
      <c r="N958">
        <v>1</v>
      </c>
      <c r="O958">
        <v>0.7</v>
      </c>
      <c r="P958">
        <v>-106.515</v>
      </c>
      <c r="Q958">
        <v>9.76</v>
      </c>
      <c r="R958" t="s">
        <v>9</v>
      </c>
    </row>
    <row r="959" spans="1:18" x14ac:dyDescent="0.25">
      <c r="A959" t="s">
        <v>1203</v>
      </c>
      <c r="B959" s="1">
        <v>40610</v>
      </c>
      <c r="C959" s="1">
        <v>40615</v>
      </c>
      <c r="D959" t="s">
        <v>1</v>
      </c>
      <c r="E959" t="s">
        <v>563</v>
      </c>
      <c r="F959" t="s">
        <v>3</v>
      </c>
      <c r="G959" t="s">
        <v>1204</v>
      </c>
      <c r="H959" t="s">
        <v>305</v>
      </c>
      <c r="I959" t="s">
        <v>29</v>
      </c>
      <c r="J959" t="s">
        <v>76</v>
      </c>
      <c r="K959" t="s">
        <v>7</v>
      </c>
      <c r="L959" t="s">
        <v>97</v>
      </c>
      <c r="M959">
        <v>117</v>
      </c>
      <c r="N959">
        <v>7</v>
      </c>
      <c r="O959">
        <v>0</v>
      </c>
      <c r="P959">
        <v>15.12</v>
      </c>
      <c r="Q959">
        <v>9.69</v>
      </c>
      <c r="R959" t="s">
        <v>9</v>
      </c>
    </row>
    <row r="960" spans="1:18" x14ac:dyDescent="0.25">
      <c r="A960" t="s">
        <v>1195</v>
      </c>
      <c r="B960" s="1">
        <v>40610</v>
      </c>
      <c r="C960" s="1">
        <v>40614</v>
      </c>
      <c r="D960" t="s">
        <v>18</v>
      </c>
      <c r="E960" t="s">
        <v>932</v>
      </c>
      <c r="F960" t="s">
        <v>3</v>
      </c>
      <c r="G960" t="s">
        <v>660</v>
      </c>
      <c r="H960" t="s">
        <v>13</v>
      </c>
      <c r="I960" t="s">
        <v>14</v>
      </c>
      <c r="J960" t="s">
        <v>15</v>
      </c>
      <c r="K960" t="s">
        <v>38</v>
      </c>
      <c r="L960" t="s">
        <v>39</v>
      </c>
      <c r="M960">
        <v>317</v>
      </c>
      <c r="N960">
        <v>7</v>
      </c>
      <c r="O960">
        <v>0.1</v>
      </c>
      <c r="P960">
        <v>13.944000000000001</v>
      </c>
      <c r="Q960">
        <v>9.56</v>
      </c>
      <c r="R960" t="s">
        <v>9</v>
      </c>
    </row>
    <row r="961" spans="1:18" x14ac:dyDescent="0.25">
      <c r="A961" t="s">
        <v>1205</v>
      </c>
      <c r="B961" s="1">
        <v>40610</v>
      </c>
      <c r="C961" s="1">
        <v>40616</v>
      </c>
      <c r="D961" t="s">
        <v>1</v>
      </c>
      <c r="E961" t="s">
        <v>1099</v>
      </c>
      <c r="F961" t="s">
        <v>3</v>
      </c>
      <c r="G961" t="s">
        <v>1206</v>
      </c>
      <c r="H961" t="s">
        <v>200</v>
      </c>
      <c r="I961" t="s">
        <v>22</v>
      </c>
      <c r="J961" t="s">
        <v>22</v>
      </c>
      <c r="K961" t="s">
        <v>32</v>
      </c>
      <c r="L961" t="s">
        <v>33</v>
      </c>
      <c r="M961">
        <v>101</v>
      </c>
      <c r="N961">
        <v>4</v>
      </c>
      <c r="O961">
        <v>0</v>
      </c>
      <c r="P961">
        <v>31.2</v>
      </c>
      <c r="Q961">
        <v>8.43</v>
      </c>
      <c r="R961" t="s">
        <v>9</v>
      </c>
    </row>
    <row r="962" spans="1:18" x14ac:dyDescent="0.25">
      <c r="A962" t="s">
        <v>1207</v>
      </c>
      <c r="B962" s="1">
        <v>40610</v>
      </c>
      <c r="C962" s="1">
        <v>40615</v>
      </c>
      <c r="D962" t="s">
        <v>18</v>
      </c>
      <c r="E962" t="s">
        <v>1208</v>
      </c>
      <c r="F962" t="s">
        <v>3</v>
      </c>
      <c r="G962" t="s">
        <v>1209</v>
      </c>
      <c r="H962" t="s">
        <v>972</v>
      </c>
      <c r="I962" t="s">
        <v>22</v>
      </c>
      <c r="J962" t="s">
        <v>22</v>
      </c>
      <c r="K962" t="s">
        <v>38</v>
      </c>
      <c r="L962" t="s">
        <v>82</v>
      </c>
      <c r="M962">
        <v>41</v>
      </c>
      <c r="N962">
        <v>1</v>
      </c>
      <c r="O962">
        <v>0</v>
      </c>
      <c r="P962">
        <v>6.12</v>
      </c>
      <c r="Q962">
        <v>7.1</v>
      </c>
      <c r="R962" t="s">
        <v>23</v>
      </c>
    </row>
    <row r="963" spans="1:18" x14ac:dyDescent="0.25">
      <c r="A963" t="s">
        <v>1196</v>
      </c>
      <c r="B963" s="1">
        <v>40610</v>
      </c>
      <c r="C963" s="1">
        <v>40615</v>
      </c>
      <c r="D963" t="s">
        <v>1</v>
      </c>
      <c r="E963" t="s">
        <v>273</v>
      </c>
      <c r="F963" t="s">
        <v>26</v>
      </c>
      <c r="G963" t="s">
        <v>1197</v>
      </c>
      <c r="H963" t="s">
        <v>1198</v>
      </c>
      <c r="I963" t="s">
        <v>14</v>
      </c>
      <c r="J963" t="s">
        <v>61</v>
      </c>
      <c r="K963" t="s">
        <v>7</v>
      </c>
      <c r="L963" t="s">
        <v>16</v>
      </c>
      <c r="M963">
        <v>76</v>
      </c>
      <c r="N963">
        <v>5</v>
      </c>
      <c r="O963">
        <v>0</v>
      </c>
      <c r="P963">
        <v>18.149999999999999</v>
      </c>
      <c r="Q963">
        <v>5.5</v>
      </c>
      <c r="R963" t="s">
        <v>9</v>
      </c>
    </row>
    <row r="964" spans="1:18" x14ac:dyDescent="0.25">
      <c r="A964" t="s">
        <v>1210</v>
      </c>
      <c r="B964" s="1">
        <v>40610</v>
      </c>
      <c r="C964" s="1">
        <v>40614</v>
      </c>
      <c r="D964" t="s">
        <v>1</v>
      </c>
      <c r="E964" t="s">
        <v>1056</v>
      </c>
      <c r="F964" t="s">
        <v>3</v>
      </c>
      <c r="G964" t="s">
        <v>1211</v>
      </c>
      <c r="H964" t="s">
        <v>37</v>
      </c>
      <c r="I964" t="s">
        <v>37</v>
      </c>
      <c r="J964" t="s">
        <v>37</v>
      </c>
      <c r="K964" t="s">
        <v>7</v>
      </c>
      <c r="L964" t="s">
        <v>137</v>
      </c>
      <c r="M964">
        <v>60</v>
      </c>
      <c r="N964">
        <v>2</v>
      </c>
      <c r="O964">
        <v>0</v>
      </c>
      <c r="P964">
        <v>23.88</v>
      </c>
      <c r="Q964">
        <v>5</v>
      </c>
      <c r="R964" t="s">
        <v>9</v>
      </c>
    </row>
    <row r="965" spans="1:18" x14ac:dyDescent="0.25">
      <c r="A965" t="s">
        <v>1212</v>
      </c>
      <c r="B965" s="1">
        <v>40610</v>
      </c>
      <c r="C965" s="1">
        <v>40613</v>
      </c>
      <c r="D965" t="s">
        <v>142</v>
      </c>
      <c r="E965" t="s">
        <v>1213</v>
      </c>
      <c r="F965" t="s">
        <v>3</v>
      </c>
      <c r="G965" t="s">
        <v>1214</v>
      </c>
      <c r="H965" t="s">
        <v>1215</v>
      </c>
      <c r="I965" t="s">
        <v>75</v>
      </c>
      <c r="J965" t="s">
        <v>102</v>
      </c>
      <c r="K965" t="s">
        <v>7</v>
      </c>
      <c r="L965" t="s">
        <v>97</v>
      </c>
      <c r="M965">
        <v>16</v>
      </c>
      <c r="N965">
        <v>3</v>
      </c>
      <c r="O965">
        <v>0.4</v>
      </c>
      <c r="P965">
        <v>-0.86399999999999999</v>
      </c>
      <c r="Q965">
        <v>4.07</v>
      </c>
      <c r="R965" t="s">
        <v>23</v>
      </c>
    </row>
    <row r="966" spans="1:18" x14ac:dyDescent="0.25">
      <c r="A966" t="s">
        <v>1196</v>
      </c>
      <c r="B966" s="1">
        <v>40610</v>
      </c>
      <c r="C966" s="1">
        <v>40615</v>
      </c>
      <c r="D966" t="s">
        <v>1</v>
      </c>
      <c r="E966" t="s">
        <v>273</v>
      </c>
      <c r="F966" t="s">
        <v>26</v>
      </c>
      <c r="G966" t="s">
        <v>1197</v>
      </c>
      <c r="H966" t="s">
        <v>1198</v>
      </c>
      <c r="I966" t="s">
        <v>14</v>
      </c>
      <c r="J966" t="s">
        <v>61</v>
      </c>
      <c r="K966" t="s">
        <v>7</v>
      </c>
      <c r="L966" t="s">
        <v>137</v>
      </c>
      <c r="M966">
        <v>88</v>
      </c>
      <c r="N966">
        <v>6</v>
      </c>
      <c r="O966">
        <v>0</v>
      </c>
      <c r="P966">
        <v>20.16</v>
      </c>
      <c r="Q966">
        <v>3.76</v>
      </c>
      <c r="R966" t="s">
        <v>9</v>
      </c>
    </row>
    <row r="967" spans="1:18" x14ac:dyDescent="0.25">
      <c r="A967" t="s">
        <v>1216</v>
      </c>
      <c r="B967" s="1">
        <v>40610</v>
      </c>
      <c r="C967" s="1">
        <v>40612</v>
      </c>
      <c r="D967" t="s">
        <v>18</v>
      </c>
      <c r="E967" t="s">
        <v>1217</v>
      </c>
      <c r="F967" t="s">
        <v>43</v>
      </c>
      <c r="G967" t="s">
        <v>1043</v>
      </c>
      <c r="H967" t="s">
        <v>157</v>
      </c>
      <c r="I967" t="s">
        <v>14</v>
      </c>
      <c r="J967" t="s">
        <v>61</v>
      </c>
      <c r="K967" t="s">
        <v>7</v>
      </c>
      <c r="L967" t="s">
        <v>31</v>
      </c>
      <c r="M967">
        <v>72</v>
      </c>
      <c r="N967">
        <v>4</v>
      </c>
      <c r="O967">
        <v>0.47</v>
      </c>
      <c r="P967">
        <v>-63.788400000000003</v>
      </c>
      <c r="Q967">
        <v>3.05</v>
      </c>
      <c r="R967" t="s">
        <v>9</v>
      </c>
    </row>
    <row r="968" spans="1:18" x14ac:dyDescent="0.25">
      <c r="A968" t="s">
        <v>1200</v>
      </c>
      <c r="B968" s="1">
        <v>40610</v>
      </c>
      <c r="C968" s="1">
        <v>40616</v>
      </c>
      <c r="D968" t="s">
        <v>1</v>
      </c>
      <c r="E968" t="s">
        <v>1201</v>
      </c>
      <c r="F968" t="s">
        <v>43</v>
      </c>
      <c r="G968" t="s">
        <v>222</v>
      </c>
      <c r="H968" t="s">
        <v>223</v>
      </c>
      <c r="I968" t="s">
        <v>6</v>
      </c>
      <c r="J968" t="s">
        <v>6</v>
      </c>
      <c r="K968" t="s">
        <v>7</v>
      </c>
      <c r="L968" t="s">
        <v>137</v>
      </c>
      <c r="M968">
        <v>31</v>
      </c>
      <c r="N968">
        <v>2</v>
      </c>
      <c r="O968">
        <v>0.7</v>
      </c>
      <c r="P968">
        <v>-41.945999999999998</v>
      </c>
      <c r="Q968">
        <v>2.94</v>
      </c>
      <c r="R968" t="s">
        <v>9</v>
      </c>
    </row>
    <row r="969" spans="1:18" x14ac:dyDescent="0.25">
      <c r="A969" t="s">
        <v>1205</v>
      </c>
      <c r="B969" s="1">
        <v>40610</v>
      </c>
      <c r="C969" s="1">
        <v>40616</v>
      </c>
      <c r="D969" t="s">
        <v>1</v>
      </c>
      <c r="E969" t="s">
        <v>1099</v>
      </c>
      <c r="F969" t="s">
        <v>3</v>
      </c>
      <c r="G969" t="s">
        <v>1206</v>
      </c>
      <c r="H969" t="s">
        <v>200</v>
      </c>
      <c r="I969" t="s">
        <v>22</v>
      </c>
      <c r="J969" t="s">
        <v>22</v>
      </c>
      <c r="K969" t="s">
        <v>7</v>
      </c>
      <c r="L969" t="s">
        <v>97</v>
      </c>
      <c r="M969">
        <v>17</v>
      </c>
      <c r="N969">
        <v>1</v>
      </c>
      <c r="O969">
        <v>0</v>
      </c>
      <c r="P969">
        <v>7.26</v>
      </c>
      <c r="Q969">
        <v>1.06</v>
      </c>
      <c r="R969" t="s">
        <v>9</v>
      </c>
    </row>
    <row r="970" spans="1:18" x14ac:dyDescent="0.25">
      <c r="A970" t="s">
        <v>1218</v>
      </c>
      <c r="B970" s="1">
        <v>40611</v>
      </c>
      <c r="C970" s="1">
        <v>40614</v>
      </c>
      <c r="D970" t="s">
        <v>142</v>
      </c>
      <c r="E970" t="s">
        <v>1219</v>
      </c>
      <c r="F970" t="s">
        <v>3</v>
      </c>
      <c r="G970" t="s">
        <v>737</v>
      </c>
      <c r="H970" t="s">
        <v>259</v>
      </c>
      <c r="I970" t="s">
        <v>6</v>
      </c>
      <c r="J970" t="s">
        <v>6</v>
      </c>
      <c r="K970" t="s">
        <v>7</v>
      </c>
      <c r="L970" t="s">
        <v>91</v>
      </c>
      <c r="M970">
        <v>51</v>
      </c>
      <c r="N970">
        <v>1</v>
      </c>
      <c r="O970">
        <v>0</v>
      </c>
      <c r="P970">
        <v>6.6</v>
      </c>
      <c r="Q970">
        <v>17.690000000000001</v>
      </c>
      <c r="R970" t="s">
        <v>23</v>
      </c>
    </row>
    <row r="971" spans="1:18" x14ac:dyDescent="0.25">
      <c r="A971" t="s">
        <v>1218</v>
      </c>
      <c r="B971" s="1">
        <v>40611</v>
      </c>
      <c r="C971" s="1">
        <v>40614</v>
      </c>
      <c r="D971" t="s">
        <v>142</v>
      </c>
      <c r="E971" t="s">
        <v>1219</v>
      </c>
      <c r="F971" t="s">
        <v>3</v>
      </c>
      <c r="G971" t="s">
        <v>737</v>
      </c>
      <c r="H971" t="s">
        <v>259</v>
      </c>
      <c r="I971" t="s">
        <v>6</v>
      </c>
      <c r="J971" t="s">
        <v>6</v>
      </c>
      <c r="K971" t="s">
        <v>7</v>
      </c>
      <c r="L971" t="s">
        <v>137</v>
      </c>
      <c r="M971">
        <v>50</v>
      </c>
      <c r="N971">
        <v>1</v>
      </c>
      <c r="O971">
        <v>0</v>
      </c>
      <c r="P971">
        <v>0.99</v>
      </c>
      <c r="Q971">
        <v>14.53</v>
      </c>
      <c r="R971" t="s">
        <v>23</v>
      </c>
    </row>
    <row r="972" spans="1:18" x14ac:dyDescent="0.25">
      <c r="A972" t="s">
        <v>1220</v>
      </c>
      <c r="B972" s="1">
        <v>40611</v>
      </c>
      <c r="C972" s="1">
        <v>40615</v>
      </c>
      <c r="D972" t="s">
        <v>1</v>
      </c>
      <c r="E972" t="s">
        <v>1221</v>
      </c>
      <c r="F972" t="s">
        <v>43</v>
      </c>
      <c r="G972" t="s">
        <v>12</v>
      </c>
      <c r="H972" t="s">
        <v>13</v>
      </c>
      <c r="I972" t="s">
        <v>14</v>
      </c>
      <c r="J972" t="s">
        <v>15</v>
      </c>
      <c r="K972" t="s">
        <v>32</v>
      </c>
      <c r="L972" t="s">
        <v>33</v>
      </c>
      <c r="M972">
        <v>103</v>
      </c>
      <c r="N972">
        <v>6</v>
      </c>
      <c r="O972">
        <v>0.1</v>
      </c>
      <c r="P972">
        <v>-1.3140000000000001</v>
      </c>
      <c r="Q972">
        <v>9.1199999999999992</v>
      </c>
      <c r="R972" t="s">
        <v>23</v>
      </c>
    </row>
    <row r="973" spans="1:18" x14ac:dyDescent="0.25">
      <c r="A973" t="s">
        <v>1222</v>
      </c>
      <c r="B973" s="1">
        <v>40611</v>
      </c>
      <c r="C973" s="1">
        <v>40614</v>
      </c>
      <c r="D973" t="s">
        <v>142</v>
      </c>
      <c r="E973" t="s">
        <v>1223</v>
      </c>
      <c r="F973" t="s">
        <v>3</v>
      </c>
      <c r="G973" t="s">
        <v>605</v>
      </c>
      <c r="H973" t="s">
        <v>276</v>
      </c>
      <c r="I973" t="s">
        <v>29</v>
      </c>
      <c r="J973" t="s">
        <v>102</v>
      </c>
      <c r="K973" t="s">
        <v>7</v>
      </c>
      <c r="L973" t="s">
        <v>96</v>
      </c>
      <c r="M973">
        <v>94</v>
      </c>
      <c r="N973">
        <v>2</v>
      </c>
      <c r="O973">
        <v>0</v>
      </c>
      <c r="P973">
        <v>20.64</v>
      </c>
      <c r="Q973">
        <v>7.7</v>
      </c>
      <c r="R973" t="s">
        <v>9</v>
      </c>
    </row>
    <row r="974" spans="1:18" x14ac:dyDescent="0.25">
      <c r="A974" t="s">
        <v>1218</v>
      </c>
      <c r="B974" s="1">
        <v>40611</v>
      </c>
      <c r="C974" s="1">
        <v>40614</v>
      </c>
      <c r="D974" t="s">
        <v>142</v>
      </c>
      <c r="E974" t="s">
        <v>1219</v>
      </c>
      <c r="F974" t="s">
        <v>3</v>
      </c>
      <c r="G974" t="s">
        <v>737</v>
      </c>
      <c r="H974" t="s">
        <v>259</v>
      </c>
      <c r="I974" t="s">
        <v>6</v>
      </c>
      <c r="J974" t="s">
        <v>6</v>
      </c>
      <c r="K974" t="s">
        <v>7</v>
      </c>
      <c r="L974" t="s">
        <v>87</v>
      </c>
      <c r="M974">
        <v>41</v>
      </c>
      <c r="N974">
        <v>4</v>
      </c>
      <c r="O974">
        <v>0</v>
      </c>
      <c r="P974">
        <v>19.32</v>
      </c>
      <c r="Q974">
        <v>5.88</v>
      </c>
      <c r="R974" t="s">
        <v>23</v>
      </c>
    </row>
    <row r="975" spans="1:18" x14ac:dyDescent="0.25">
      <c r="A975" t="s">
        <v>1222</v>
      </c>
      <c r="B975" s="1">
        <v>40611</v>
      </c>
      <c r="C975" s="1">
        <v>40614</v>
      </c>
      <c r="D975" t="s">
        <v>142</v>
      </c>
      <c r="E975" t="s">
        <v>1223</v>
      </c>
      <c r="F975" t="s">
        <v>3</v>
      </c>
      <c r="G975" t="s">
        <v>605</v>
      </c>
      <c r="H975" t="s">
        <v>276</v>
      </c>
      <c r="I975" t="s">
        <v>29</v>
      </c>
      <c r="J975" t="s">
        <v>102</v>
      </c>
      <c r="K975" t="s">
        <v>7</v>
      </c>
      <c r="L975" t="s">
        <v>91</v>
      </c>
      <c r="M975">
        <v>97</v>
      </c>
      <c r="N975">
        <v>3</v>
      </c>
      <c r="O975">
        <v>0</v>
      </c>
      <c r="P975">
        <v>36.630000000000003</v>
      </c>
      <c r="Q975">
        <v>5.83</v>
      </c>
      <c r="R975" t="s">
        <v>9</v>
      </c>
    </row>
    <row r="976" spans="1:18" x14ac:dyDescent="0.25">
      <c r="A976" t="s">
        <v>1222</v>
      </c>
      <c r="B976" s="1">
        <v>40611</v>
      </c>
      <c r="C976" s="1">
        <v>40614</v>
      </c>
      <c r="D976" t="s">
        <v>142</v>
      </c>
      <c r="E976" t="s">
        <v>1223</v>
      </c>
      <c r="F976" t="s">
        <v>3</v>
      </c>
      <c r="G976" t="s">
        <v>605</v>
      </c>
      <c r="H976" t="s">
        <v>276</v>
      </c>
      <c r="I976" t="s">
        <v>29</v>
      </c>
      <c r="J976" t="s">
        <v>102</v>
      </c>
      <c r="K976" t="s">
        <v>38</v>
      </c>
      <c r="L976" t="s">
        <v>50</v>
      </c>
      <c r="M976">
        <v>126</v>
      </c>
      <c r="N976">
        <v>1</v>
      </c>
      <c r="O976">
        <v>0</v>
      </c>
      <c r="P976">
        <v>59.13</v>
      </c>
      <c r="Q976">
        <v>4.0999999999999996</v>
      </c>
      <c r="R976" t="s">
        <v>9</v>
      </c>
    </row>
    <row r="977" spans="1:18" x14ac:dyDescent="0.25">
      <c r="A977" t="s">
        <v>1218</v>
      </c>
      <c r="B977" s="1">
        <v>40611</v>
      </c>
      <c r="C977" s="1">
        <v>40614</v>
      </c>
      <c r="D977" t="s">
        <v>142</v>
      </c>
      <c r="E977" t="s">
        <v>1219</v>
      </c>
      <c r="F977" t="s">
        <v>3</v>
      </c>
      <c r="G977" t="s">
        <v>737</v>
      </c>
      <c r="H977" t="s">
        <v>259</v>
      </c>
      <c r="I977" t="s">
        <v>6</v>
      </c>
      <c r="J977" t="s">
        <v>6</v>
      </c>
      <c r="K977" t="s">
        <v>7</v>
      </c>
      <c r="L977" t="s">
        <v>91</v>
      </c>
      <c r="M977">
        <v>17</v>
      </c>
      <c r="N977">
        <v>1</v>
      </c>
      <c r="O977">
        <v>0</v>
      </c>
      <c r="P977">
        <v>6.06</v>
      </c>
      <c r="Q977">
        <v>2.83</v>
      </c>
      <c r="R977" t="s">
        <v>23</v>
      </c>
    </row>
    <row r="978" spans="1:18" x14ac:dyDescent="0.25">
      <c r="A978" t="s">
        <v>1218</v>
      </c>
      <c r="B978" s="1">
        <v>40611</v>
      </c>
      <c r="C978" s="1">
        <v>40614</v>
      </c>
      <c r="D978" t="s">
        <v>142</v>
      </c>
      <c r="E978" t="s">
        <v>1219</v>
      </c>
      <c r="F978" t="s">
        <v>3</v>
      </c>
      <c r="G978" t="s">
        <v>737</v>
      </c>
      <c r="H978" t="s">
        <v>259</v>
      </c>
      <c r="I978" t="s">
        <v>6</v>
      </c>
      <c r="J978" t="s">
        <v>6</v>
      </c>
      <c r="K978" t="s">
        <v>7</v>
      </c>
      <c r="L978" t="s">
        <v>87</v>
      </c>
      <c r="M978">
        <v>11</v>
      </c>
      <c r="N978">
        <v>1</v>
      </c>
      <c r="O978">
        <v>0</v>
      </c>
      <c r="P978">
        <v>4.83</v>
      </c>
      <c r="Q978">
        <v>2.64</v>
      </c>
      <c r="R978" t="s">
        <v>23</v>
      </c>
    </row>
    <row r="979" spans="1:18" x14ac:dyDescent="0.25">
      <c r="A979" t="s">
        <v>1222</v>
      </c>
      <c r="B979" s="1">
        <v>40611</v>
      </c>
      <c r="C979" s="1">
        <v>40614</v>
      </c>
      <c r="D979" t="s">
        <v>142</v>
      </c>
      <c r="E979" t="s">
        <v>1223</v>
      </c>
      <c r="F979" t="s">
        <v>3</v>
      </c>
      <c r="G979" t="s">
        <v>605</v>
      </c>
      <c r="H979" t="s">
        <v>276</v>
      </c>
      <c r="I979" t="s">
        <v>29</v>
      </c>
      <c r="J979" t="s">
        <v>102</v>
      </c>
      <c r="K979" t="s">
        <v>7</v>
      </c>
      <c r="L979" t="s">
        <v>8</v>
      </c>
      <c r="M979">
        <v>104</v>
      </c>
      <c r="N979">
        <v>5</v>
      </c>
      <c r="O979">
        <v>0.1</v>
      </c>
      <c r="P979">
        <v>26.64</v>
      </c>
      <c r="Q979">
        <v>0.8</v>
      </c>
      <c r="R979" t="s">
        <v>9</v>
      </c>
    </row>
    <row r="980" spans="1:18" x14ac:dyDescent="0.25">
      <c r="A980" t="s">
        <v>1218</v>
      </c>
      <c r="B980" s="1">
        <v>40611</v>
      </c>
      <c r="C980" s="1">
        <v>40614</v>
      </c>
      <c r="D980" t="s">
        <v>142</v>
      </c>
      <c r="E980" t="s">
        <v>1219</v>
      </c>
      <c r="F980" t="s">
        <v>3</v>
      </c>
      <c r="G980" t="s">
        <v>737</v>
      </c>
      <c r="H980" t="s">
        <v>259</v>
      </c>
      <c r="I980" t="s">
        <v>6</v>
      </c>
      <c r="J980" t="s">
        <v>6</v>
      </c>
      <c r="K980" t="s">
        <v>7</v>
      </c>
      <c r="L980" t="s">
        <v>97</v>
      </c>
      <c r="M980">
        <v>29</v>
      </c>
      <c r="N980">
        <v>2</v>
      </c>
      <c r="O980">
        <v>0</v>
      </c>
      <c r="P980">
        <v>7.56</v>
      </c>
      <c r="Q980">
        <v>0.5</v>
      </c>
      <c r="R980" t="s">
        <v>23</v>
      </c>
    </row>
    <row r="981" spans="1:18" x14ac:dyDescent="0.25">
      <c r="A981" t="s">
        <v>1224</v>
      </c>
      <c r="B981" s="1">
        <v>40612</v>
      </c>
      <c r="C981" s="1">
        <v>40614</v>
      </c>
      <c r="D981" t="s">
        <v>142</v>
      </c>
      <c r="E981" t="s">
        <v>1225</v>
      </c>
      <c r="F981" t="s">
        <v>3</v>
      </c>
      <c r="G981" t="s">
        <v>758</v>
      </c>
      <c r="H981" t="s">
        <v>169</v>
      </c>
      <c r="I981" t="s">
        <v>14</v>
      </c>
      <c r="J981" t="s">
        <v>132</v>
      </c>
      <c r="K981" t="s">
        <v>38</v>
      </c>
      <c r="L981" t="s">
        <v>50</v>
      </c>
      <c r="M981" s="2">
        <v>1274</v>
      </c>
      <c r="N981">
        <v>4</v>
      </c>
      <c r="O981">
        <v>0</v>
      </c>
      <c r="P981">
        <v>382.2</v>
      </c>
      <c r="Q981">
        <v>248.59</v>
      </c>
      <c r="R981" t="s">
        <v>45</v>
      </c>
    </row>
    <row r="982" spans="1:18" x14ac:dyDescent="0.25">
      <c r="A982" t="s">
        <v>1226</v>
      </c>
      <c r="B982" s="1">
        <v>40612</v>
      </c>
      <c r="C982" s="1">
        <v>40612</v>
      </c>
      <c r="D982" t="s">
        <v>41</v>
      </c>
      <c r="E982" t="s">
        <v>1227</v>
      </c>
      <c r="F982" t="s">
        <v>26</v>
      </c>
      <c r="G982" t="s">
        <v>1204</v>
      </c>
      <c r="H982" t="s">
        <v>305</v>
      </c>
      <c r="I982" t="s">
        <v>29</v>
      </c>
      <c r="J982" t="s">
        <v>76</v>
      </c>
      <c r="K982" t="s">
        <v>38</v>
      </c>
      <c r="L982" t="s">
        <v>77</v>
      </c>
      <c r="M982">
        <v>520</v>
      </c>
      <c r="N982">
        <v>3</v>
      </c>
      <c r="O982">
        <v>0</v>
      </c>
      <c r="P982">
        <v>202.77</v>
      </c>
      <c r="Q982">
        <v>89.92</v>
      </c>
      <c r="R982" t="s">
        <v>9</v>
      </c>
    </row>
    <row r="983" spans="1:18" x14ac:dyDescent="0.25">
      <c r="A983" t="s">
        <v>1228</v>
      </c>
      <c r="B983" s="1">
        <v>40612</v>
      </c>
      <c r="C983" s="1">
        <v>40619</v>
      </c>
      <c r="D983" t="s">
        <v>1</v>
      </c>
      <c r="E983" t="s">
        <v>1229</v>
      </c>
      <c r="F983" t="s">
        <v>3</v>
      </c>
      <c r="G983" t="s">
        <v>1230</v>
      </c>
      <c r="H983" t="s">
        <v>126</v>
      </c>
      <c r="I983" t="s">
        <v>127</v>
      </c>
      <c r="J983" t="s">
        <v>192</v>
      </c>
      <c r="K983" t="s">
        <v>7</v>
      </c>
      <c r="L983" t="s">
        <v>8</v>
      </c>
      <c r="M983">
        <v>636</v>
      </c>
      <c r="N983">
        <v>3</v>
      </c>
      <c r="O983">
        <v>0.2</v>
      </c>
      <c r="P983">
        <v>-15.9102</v>
      </c>
      <c r="Q983">
        <v>80.790000000000006</v>
      </c>
      <c r="R983" t="s">
        <v>51</v>
      </c>
    </row>
    <row r="984" spans="1:18" x14ac:dyDescent="0.25">
      <c r="A984" t="s">
        <v>1231</v>
      </c>
      <c r="B984" s="1">
        <v>40612</v>
      </c>
      <c r="C984" s="1">
        <v>40618</v>
      </c>
      <c r="D984" t="s">
        <v>1</v>
      </c>
      <c r="E984" t="s">
        <v>205</v>
      </c>
      <c r="F984" t="s">
        <v>3</v>
      </c>
      <c r="G984" t="s">
        <v>698</v>
      </c>
      <c r="H984" t="s">
        <v>169</v>
      </c>
      <c r="I984" t="s">
        <v>14</v>
      </c>
      <c r="J984" t="s">
        <v>132</v>
      </c>
      <c r="K984" t="s">
        <v>32</v>
      </c>
      <c r="L984" t="s">
        <v>56</v>
      </c>
      <c r="M984" s="2">
        <v>1097</v>
      </c>
      <c r="N984">
        <v>8</v>
      </c>
      <c r="O984">
        <v>0</v>
      </c>
      <c r="P984">
        <v>252.24</v>
      </c>
      <c r="Q984">
        <v>56.33</v>
      </c>
      <c r="R984" t="s">
        <v>9</v>
      </c>
    </row>
    <row r="985" spans="1:18" x14ac:dyDescent="0.25">
      <c r="A985" t="s">
        <v>1228</v>
      </c>
      <c r="B985" s="1">
        <v>40612</v>
      </c>
      <c r="C985" s="1">
        <v>40619</v>
      </c>
      <c r="D985" t="s">
        <v>1</v>
      </c>
      <c r="E985" t="s">
        <v>1229</v>
      </c>
      <c r="F985" t="s">
        <v>3</v>
      </c>
      <c r="G985" t="s">
        <v>1230</v>
      </c>
      <c r="H985" t="s">
        <v>126</v>
      </c>
      <c r="I985" t="s">
        <v>127</v>
      </c>
      <c r="J985" t="s">
        <v>192</v>
      </c>
      <c r="K985" t="s">
        <v>7</v>
      </c>
      <c r="L985" t="s">
        <v>91</v>
      </c>
      <c r="M985">
        <v>83</v>
      </c>
      <c r="N985">
        <v>4</v>
      </c>
      <c r="O985">
        <v>0.2</v>
      </c>
      <c r="P985">
        <v>9.3564000000000007</v>
      </c>
      <c r="Q985">
        <v>15.56</v>
      </c>
      <c r="R985" t="s">
        <v>51</v>
      </c>
    </row>
    <row r="986" spans="1:18" x14ac:dyDescent="0.25">
      <c r="A986" t="s">
        <v>1232</v>
      </c>
      <c r="B986" s="1">
        <v>40612</v>
      </c>
      <c r="C986" s="1">
        <v>40616</v>
      </c>
      <c r="D986" t="s">
        <v>1</v>
      </c>
      <c r="E986" t="s">
        <v>1233</v>
      </c>
      <c r="F986" t="s">
        <v>3</v>
      </c>
      <c r="G986" t="s">
        <v>1014</v>
      </c>
      <c r="H986" t="s">
        <v>101</v>
      </c>
      <c r="I986" t="s">
        <v>75</v>
      </c>
      <c r="J986" t="s">
        <v>102</v>
      </c>
      <c r="K986" t="s">
        <v>32</v>
      </c>
      <c r="L986" t="s">
        <v>56</v>
      </c>
      <c r="M986">
        <v>201</v>
      </c>
      <c r="N986">
        <v>3</v>
      </c>
      <c r="O986">
        <v>0</v>
      </c>
      <c r="P986">
        <v>7.98</v>
      </c>
      <c r="Q986">
        <v>13.13</v>
      </c>
      <c r="R986" t="s">
        <v>9</v>
      </c>
    </row>
    <row r="987" spans="1:18" x14ac:dyDescent="0.25">
      <c r="A987" t="s">
        <v>1234</v>
      </c>
      <c r="B987" s="1">
        <v>40612</v>
      </c>
      <c r="C987" s="1">
        <v>40616</v>
      </c>
      <c r="D987" t="s">
        <v>1</v>
      </c>
      <c r="E987" t="s">
        <v>1219</v>
      </c>
      <c r="F987" t="s">
        <v>3</v>
      </c>
      <c r="G987" t="s">
        <v>65</v>
      </c>
      <c r="H987" t="s">
        <v>66</v>
      </c>
      <c r="I987" t="s">
        <v>29</v>
      </c>
      <c r="J987" t="s">
        <v>30</v>
      </c>
      <c r="K987" t="s">
        <v>32</v>
      </c>
      <c r="L987" t="s">
        <v>56</v>
      </c>
      <c r="M987">
        <v>74</v>
      </c>
      <c r="N987">
        <v>2</v>
      </c>
      <c r="O987">
        <v>0.5</v>
      </c>
      <c r="P987">
        <v>-17.91</v>
      </c>
      <c r="Q987">
        <v>9.1199999999999992</v>
      </c>
      <c r="R987" t="s">
        <v>23</v>
      </c>
    </row>
    <row r="988" spans="1:18" x14ac:dyDescent="0.25">
      <c r="A988" t="s">
        <v>1235</v>
      </c>
      <c r="B988" s="1">
        <v>40612</v>
      </c>
      <c r="C988" s="1">
        <v>40617</v>
      </c>
      <c r="D988" t="s">
        <v>1</v>
      </c>
      <c r="E988" t="s">
        <v>287</v>
      </c>
      <c r="F988" t="s">
        <v>26</v>
      </c>
      <c r="G988" t="s">
        <v>1236</v>
      </c>
      <c r="H988" t="s">
        <v>101</v>
      </c>
      <c r="I988" t="s">
        <v>75</v>
      </c>
      <c r="J988" t="s">
        <v>102</v>
      </c>
      <c r="K988" t="s">
        <v>7</v>
      </c>
      <c r="L988" t="s">
        <v>8</v>
      </c>
      <c r="M988">
        <v>63</v>
      </c>
      <c r="N988">
        <v>4</v>
      </c>
      <c r="O988">
        <v>0</v>
      </c>
      <c r="P988">
        <v>1.2</v>
      </c>
      <c r="Q988">
        <v>5.25</v>
      </c>
      <c r="R988" t="s">
        <v>9</v>
      </c>
    </row>
    <row r="989" spans="1:18" x14ac:dyDescent="0.25">
      <c r="A989" t="s">
        <v>1237</v>
      </c>
      <c r="B989" s="1">
        <v>40612</v>
      </c>
      <c r="C989" s="1">
        <v>40618</v>
      </c>
      <c r="D989" t="s">
        <v>1</v>
      </c>
      <c r="E989" t="s">
        <v>1238</v>
      </c>
      <c r="F989" t="s">
        <v>26</v>
      </c>
      <c r="G989" t="s">
        <v>1239</v>
      </c>
      <c r="H989" t="s">
        <v>285</v>
      </c>
      <c r="I989" t="s">
        <v>22</v>
      </c>
      <c r="J989" t="s">
        <v>22</v>
      </c>
      <c r="K989" t="s">
        <v>38</v>
      </c>
      <c r="L989" t="s">
        <v>77</v>
      </c>
      <c r="M989">
        <v>52</v>
      </c>
      <c r="N989">
        <v>1</v>
      </c>
      <c r="O989">
        <v>0.6</v>
      </c>
      <c r="P989">
        <v>-64.242000000000004</v>
      </c>
      <c r="Q989">
        <v>5.0199999999999996</v>
      </c>
      <c r="R989" t="s">
        <v>9</v>
      </c>
    </row>
    <row r="990" spans="1:18" x14ac:dyDescent="0.25">
      <c r="A990" t="s">
        <v>1237</v>
      </c>
      <c r="B990" s="1">
        <v>40612</v>
      </c>
      <c r="C990" s="1">
        <v>40618</v>
      </c>
      <c r="D990" t="s">
        <v>1</v>
      </c>
      <c r="E990" t="s">
        <v>1238</v>
      </c>
      <c r="F990" t="s">
        <v>26</v>
      </c>
      <c r="G990" t="s">
        <v>1239</v>
      </c>
      <c r="H990" t="s">
        <v>285</v>
      </c>
      <c r="I990" t="s">
        <v>22</v>
      </c>
      <c r="J990" t="s">
        <v>22</v>
      </c>
      <c r="K990" t="s">
        <v>7</v>
      </c>
      <c r="L990" t="s">
        <v>91</v>
      </c>
      <c r="M990">
        <v>38</v>
      </c>
      <c r="N990">
        <v>4</v>
      </c>
      <c r="O990">
        <v>0.6</v>
      </c>
      <c r="P990">
        <v>-54.648000000000003</v>
      </c>
      <c r="Q990">
        <v>2.92</v>
      </c>
      <c r="R990" t="s">
        <v>9</v>
      </c>
    </row>
    <row r="991" spans="1:18" x14ac:dyDescent="0.25">
      <c r="A991" t="s">
        <v>1240</v>
      </c>
      <c r="B991" s="1">
        <v>40612</v>
      </c>
      <c r="C991" s="1">
        <v>40619</v>
      </c>
      <c r="D991" t="s">
        <v>1</v>
      </c>
      <c r="E991" t="s">
        <v>1241</v>
      </c>
      <c r="F991" t="s">
        <v>43</v>
      </c>
      <c r="G991" t="s">
        <v>65</v>
      </c>
      <c r="H991" t="s">
        <v>66</v>
      </c>
      <c r="I991" t="s">
        <v>29</v>
      </c>
      <c r="J991" t="s">
        <v>30</v>
      </c>
      <c r="K991" t="s">
        <v>7</v>
      </c>
      <c r="L991" t="s">
        <v>97</v>
      </c>
      <c r="M991">
        <v>28</v>
      </c>
      <c r="N991">
        <v>2</v>
      </c>
      <c r="O991">
        <v>0</v>
      </c>
      <c r="P991">
        <v>10.38</v>
      </c>
      <c r="Q991">
        <v>1.64</v>
      </c>
      <c r="R991" t="s">
        <v>9</v>
      </c>
    </row>
    <row r="992" spans="1:18" x14ac:dyDescent="0.25">
      <c r="A992" t="s">
        <v>1242</v>
      </c>
      <c r="B992" s="1">
        <v>40612</v>
      </c>
      <c r="C992" s="1">
        <v>40616</v>
      </c>
      <c r="D992" t="s">
        <v>1</v>
      </c>
      <c r="E992" t="s">
        <v>764</v>
      </c>
      <c r="F992" t="s">
        <v>3</v>
      </c>
      <c r="G992" t="s">
        <v>468</v>
      </c>
      <c r="H992" t="s">
        <v>126</v>
      </c>
      <c r="I992" t="s">
        <v>127</v>
      </c>
      <c r="J992" t="s">
        <v>76</v>
      </c>
      <c r="K992" t="s">
        <v>7</v>
      </c>
      <c r="L992" t="s">
        <v>31</v>
      </c>
      <c r="M992">
        <v>22</v>
      </c>
      <c r="N992">
        <v>2</v>
      </c>
      <c r="O992">
        <v>0</v>
      </c>
      <c r="P992">
        <v>10.7424</v>
      </c>
      <c r="Q992">
        <v>1.48</v>
      </c>
      <c r="R992" t="s">
        <v>9</v>
      </c>
    </row>
    <row r="993" spans="1:18" x14ac:dyDescent="0.25">
      <c r="A993" t="s">
        <v>1237</v>
      </c>
      <c r="B993" s="1">
        <v>40612</v>
      </c>
      <c r="C993" s="1">
        <v>40618</v>
      </c>
      <c r="D993" t="s">
        <v>1</v>
      </c>
      <c r="E993" t="s">
        <v>1238</v>
      </c>
      <c r="F993" t="s">
        <v>26</v>
      </c>
      <c r="G993" t="s">
        <v>1239</v>
      </c>
      <c r="H993" t="s">
        <v>285</v>
      </c>
      <c r="I993" t="s">
        <v>22</v>
      </c>
      <c r="J993" t="s">
        <v>22</v>
      </c>
      <c r="K993" t="s">
        <v>38</v>
      </c>
      <c r="L993" t="s">
        <v>39</v>
      </c>
      <c r="M993">
        <v>20</v>
      </c>
      <c r="N993">
        <v>1</v>
      </c>
      <c r="O993">
        <v>0.6</v>
      </c>
      <c r="P993">
        <v>-10.247999999999999</v>
      </c>
      <c r="Q993">
        <v>1.36</v>
      </c>
      <c r="R993" t="s">
        <v>9</v>
      </c>
    </row>
    <row r="994" spans="1:18" x14ac:dyDescent="0.25">
      <c r="A994" t="s">
        <v>1243</v>
      </c>
      <c r="B994" s="1">
        <v>40613</v>
      </c>
      <c r="C994" s="1">
        <v>40615</v>
      </c>
      <c r="D994" t="s">
        <v>18</v>
      </c>
      <c r="E994" t="s">
        <v>1244</v>
      </c>
      <c r="F994" t="s">
        <v>26</v>
      </c>
      <c r="G994" t="s">
        <v>975</v>
      </c>
      <c r="H994" t="s">
        <v>81</v>
      </c>
      <c r="I994" t="s">
        <v>22</v>
      </c>
      <c r="J994" t="s">
        <v>22</v>
      </c>
      <c r="K994" t="s">
        <v>38</v>
      </c>
      <c r="L994" t="s">
        <v>77</v>
      </c>
      <c r="M994">
        <v>643</v>
      </c>
      <c r="N994">
        <v>1</v>
      </c>
      <c r="O994">
        <v>0</v>
      </c>
      <c r="P994">
        <v>244.2</v>
      </c>
      <c r="Q994">
        <v>285.83</v>
      </c>
      <c r="R994" t="s">
        <v>45</v>
      </c>
    </row>
    <row r="995" spans="1:18" x14ac:dyDescent="0.25">
      <c r="A995" t="s">
        <v>1245</v>
      </c>
      <c r="B995" s="1">
        <v>40613</v>
      </c>
      <c r="C995" s="1">
        <v>40615</v>
      </c>
      <c r="D995" t="s">
        <v>18</v>
      </c>
      <c r="E995" t="s">
        <v>557</v>
      </c>
      <c r="F995" t="s">
        <v>43</v>
      </c>
      <c r="G995" t="s">
        <v>176</v>
      </c>
      <c r="H995" t="s">
        <v>126</v>
      </c>
      <c r="I995" t="s">
        <v>127</v>
      </c>
      <c r="J995" t="s">
        <v>102</v>
      </c>
      <c r="K995" t="s">
        <v>38</v>
      </c>
      <c r="L995" t="s">
        <v>77</v>
      </c>
      <c r="M995">
        <v>588</v>
      </c>
      <c r="N995">
        <v>3</v>
      </c>
      <c r="O995">
        <v>0</v>
      </c>
      <c r="P995">
        <v>164.63159999999999</v>
      </c>
      <c r="Q995">
        <v>95</v>
      </c>
      <c r="R995" t="s">
        <v>23</v>
      </c>
    </row>
    <row r="996" spans="1:18" x14ac:dyDescent="0.25">
      <c r="A996" t="s">
        <v>1246</v>
      </c>
      <c r="B996" s="1">
        <v>40613</v>
      </c>
      <c r="C996" s="1">
        <v>40616</v>
      </c>
      <c r="D996" t="s">
        <v>142</v>
      </c>
      <c r="E996" t="s">
        <v>1247</v>
      </c>
      <c r="F996" t="s">
        <v>43</v>
      </c>
      <c r="G996" t="s">
        <v>1070</v>
      </c>
      <c r="H996" t="s">
        <v>305</v>
      </c>
      <c r="I996" t="s">
        <v>29</v>
      </c>
      <c r="J996" t="s">
        <v>76</v>
      </c>
      <c r="K996" t="s">
        <v>7</v>
      </c>
      <c r="L996" t="s">
        <v>137</v>
      </c>
      <c r="M996">
        <v>229</v>
      </c>
      <c r="N996">
        <v>9</v>
      </c>
      <c r="O996">
        <v>0.1</v>
      </c>
      <c r="P996">
        <v>27.756</v>
      </c>
      <c r="Q996">
        <v>38.799999999999997</v>
      </c>
      <c r="R996" t="s">
        <v>9</v>
      </c>
    </row>
    <row r="997" spans="1:18" x14ac:dyDescent="0.25">
      <c r="A997" t="s">
        <v>1248</v>
      </c>
      <c r="B997" s="1">
        <v>40613</v>
      </c>
      <c r="C997" s="1">
        <v>40617</v>
      </c>
      <c r="D997" t="s">
        <v>1</v>
      </c>
      <c r="E997" t="s">
        <v>543</v>
      </c>
      <c r="F997" t="s">
        <v>3</v>
      </c>
      <c r="G997" t="s">
        <v>235</v>
      </c>
      <c r="H997" t="s">
        <v>13</v>
      </c>
      <c r="I997" t="s">
        <v>14</v>
      </c>
      <c r="J997" t="s">
        <v>15</v>
      </c>
      <c r="K997" t="s">
        <v>38</v>
      </c>
      <c r="L997" t="s">
        <v>82</v>
      </c>
      <c r="M997">
        <v>259</v>
      </c>
      <c r="N997">
        <v>9</v>
      </c>
      <c r="O997">
        <v>0.1</v>
      </c>
      <c r="P997">
        <v>63.261000000000003</v>
      </c>
      <c r="Q997">
        <v>27.22</v>
      </c>
      <c r="R997" t="s">
        <v>9</v>
      </c>
    </row>
    <row r="998" spans="1:18" x14ac:dyDescent="0.25">
      <c r="A998" t="s">
        <v>1249</v>
      </c>
      <c r="B998" s="1">
        <v>40613</v>
      </c>
      <c r="C998" s="1">
        <v>40618</v>
      </c>
      <c r="D998" t="s">
        <v>1</v>
      </c>
      <c r="E998" t="s">
        <v>1250</v>
      </c>
      <c r="F998" t="s">
        <v>43</v>
      </c>
      <c r="G998" t="s">
        <v>74</v>
      </c>
      <c r="H998" t="s">
        <v>74</v>
      </c>
      <c r="I998" t="s">
        <v>75</v>
      </c>
      <c r="J998" t="s">
        <v>76</v>
      </c>
      <c r="K998" t="s">
        <v>38</v>
      </c>
      <c r="L998" t="s">
        <v>50</v>
      </c>
      <c r="M998">
        <v>324</v>
      </c>
      <c r="N998">
        <v>2</v>
      </c>
      <c r="O998">
        <v>2E-3</v>
      </c>
      <c r="P998">
        <v>5.8311200000000003</v>
      </c>
      <c r="Q998">
        <v>24.1</v>
      </c>
      <c r="R998" t="s">
        <v>9</v>
      </c>
    </row>
    <row r="999" spans="1:18" x14ac:dyDescent="0.25">
      <c r="A999" t="s">
        <v>1251</v>
      </c>
      <c r="B999" s="1">
        <v>40613</v>
      </c>
      <c r="C999" s="1">
        <v>40616</v>
      </c>
      <c r="D999" t="s">
        <v>18</v>
      </c>
      <c r="E999" t="s">
        <v>1252</v>
      </c>
      <c r="F999" t="s">
        <v>3</v>
      </c>
      <c r="G999" t="s">
        <v>649</v>
      </c>
      <c r="H999" t="s">
        <v>126</v>
      </c>
      <c r="I999" t="s">
        <v>127</v>
      </c>
      <c r="J999" t="s">
        <v>173</v>
      </c>
      <c r="K999" t="s">
        <v>7</v>
      </c>
      <c r="L999" t="s">
        <v>31</v>
      </c>
      <c r="M999">
        <v>109</v>
      </c>
      <c r="N999">
        <v>14</v>
      </c>
      <c r="O999">
        <v>0</v>
      </c>
      <c r="P999">
        <v>49.014000000000003</v>
      </c>
      <c r="Q999">
        <v>12.24</v>
      </c>
      <c r="R999" t="s">
        <v>23</v>
      </c>
    </row>
    <row r="1000" spans="1:18" x14ac:dyDescent="0.25">
      <c r="A1000" t="s">
        <v>1245</v>
      </c>
      <c r="B1000" s="1">
        <v>40613</v>
      </c>
      <c r="C1000" s="1">
        <v>40615</v>
      </c>
      <c r="D1000" t="s">
        <v>18</v>
      </c>
      <c r="E1000" t="s">
        <v>557</v>
      </c>
      <c r="F1000" t="s">
        <v>43</v>
      </c>
      <c r="G1000" t="s">
        <v>176</v>
      </c>
      <c r="H1000" t="s">
        <v>126</v>
      </c>
      <c r="I1000" t="s">
        <v>127</v>
      </c>
      <c r="J1000" t="s">
        <v>102</v>
      </c>
      <c r="K1000" t="s">
        <v>7</v>
      </c>
      <c r="L1000" t="s">
        <v>44</v>
      </c>
      <c r="M1000">
        <v>147</v>
      </c>
      <c r="N1000">
        <v>3</v>
      </c>
      <c r="O1000">
        <v>0</v>
      </c>
      <c r="P1000">
        <v>38.157600000000002</v>
      </c>
      <c r="Q1000">
        <v>7</v>
      </c>
      <c r="R1000" t="s">
        <v>23</v>
      </c>
    </row>
    <row r="1001" spans="1:18" x14ac:dyDescent="0.25">
      <c r="A1001" t="s">
        <v>1253</v>
      </c>
      <c r="B1001" s="1">
        <v>40613</v>
      </c>
      <c r="C1001" s="1">
        <v>40618</v>
      </c>
      <c r="D1001" t="s">
        <v>1</v>
      </c>
      <c r="E1001" t="s">
        <v>1254</v>
      </c>
      <c r="F1001" t="s">
        <v>3</v>
      </c>
      <c r="G1001" t="s">
        <v>1032</v>
      </c>
      <c r="H1001" t="s">
        <v>110</v>
      </c>
      <c r="I1001" t="s">
        <v>75</v>
      </c>
      <c r="J1001" t="s">
        <v>111</v>
      </c>
      <c r="K1001" t="s">
        <v>32</v>
      </c>
      <c r="L1001" t="s">
        <v>33</v>
      </c>
      <c r="M1001">
        <v>155</v>
      </c>
      <c r="N1001">
        <v>2</v>
      </c>
      <c r="O1001">
        <v>0</v>
      </c>
      <c r="P1001">
        <v>43.4</v>
      </c>
      <c r="Q1001">
        <v>6.49</v>
      </c>
      <c r="R1001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4907F28-CEE6-403F-9236-44B53566AD1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2026-08-08T01:46:31Z</dcterms:created>
  <dcterms:modified xsi:type="dcterms:W3CDTF">2026-08-09T10:53:50Z</dcterms:modified>
</cp:coreProperties>
</file>